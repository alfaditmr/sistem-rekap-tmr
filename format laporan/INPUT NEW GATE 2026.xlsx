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C\K    A    R     C    I     S\OPNAME 2026\"/>
    </mc:Choice>
  </mc:AlternateContent>
  <xr:revisionPtr revIDLastSave="0" documentId="13_ncr:1_{4C120351-8BA0-4725-982F-44FFD140ECC6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JANUARI 26" sheetId="11" r:id="rId1"/>
    <sheet name="Februari 26" sheetId="14" r:id="rId2"/>
    <sheet name="mARET 26" sheetId="15" r:id="rId3"/>
    <sheet name="APRIL 26" sheetId="16" r:id="rId4"/>
    <sheet name="mei 26" sheetId="17" r:id="rId5"/>
    <sheet name="JUNI IRMA" sheetId="18" r:id="rId6"/>
    <sheet name="JUNI" sheetId="21" r:id="rId7"/>
    <sheet name="JULI" sheetId="20" r:id="rId8"/>
    <sheet name="AGUSTUS" sheetId="22" r:id="rId9"/>
    <sheet name="SEPTEMEBR" sheetId="23" r:id="rId10"/>
    <sheet name="OKTOBER" sheetId="24" r:id="rId11"/>
    <sheet name="Tahun 26" sheetId="13" r:id="rId12"/>
    <sheet name="Tahun 25 (2)" sheetId="19" r:id="rId13"/>
    <sheet name="Sheet1" sheetId="12" r:id="rId14"/>
  </sheets>
  <definedNames>
    <definedName name="_xlnm.Print_Area" localSheetId="8">AGUSTUS!$B$1:$AH$23</definedName>
    <definedName name="_xlnm.Print_Area" localSheetId="3">'APRIL 26'!$B$1:$AG$23</definedName>
    <definedName name="_xlnm.Print_Area" localSheetId="1">'Februari 26'!$B$1:$AE$23</definedName>
    <definedName name="_xlnm.Print_Area" localSheetId="0">'JANUARI 26'!$B$1:$AH$23</definedName>
    <definedName name="_xlnm.Print_Area" localSheetId="7">JULI!$B$1:$AH$23</definedName>
    <definedName name="_xlnm.Print_Area" localSheetId="6">JUNI!$B$1:$AG$23</definedName>
    <definedName name="_xlnm.Print_Area" localSheetId="5">'JUNI IRMA'!$B$1:$AG$23</definedName>
    <definedName name="_xlnm.Print_Area" localSheetId="2">'mARET 26'!$B$1:$AH$23</definedName>
    <definedName name="_xlnm.Print_Area" localSheetId="4">'mei 26'!$B$1:$AH$23</definedName>
    <definedName name="_xlnm.Print_Area" localSheetId="10">OKTOBER!$B$1:$AH$23</definedName>
    <definedName name="_xlnm.Print_Area" localSheetId="9">SEPTEMEBR!$B$1:$AG$23</definedName>
    <definedName name="_xlnm.Print_Area" localSheetId="12">'Tahun 25 (2)'!$B$1:$O$23</definedName>
    <definedName name="_xlnm.Print_Area" localSheetId="11">'Tahun 26'!$B$1:$O$23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6" i="24" l="1"/>
  <c r="AF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AH46" i="24" s="1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AH45" i="24" s="1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AH43" i="24" s="1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AH42" i="24" s="1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AH40" i="24" s="1"/>
  <c r="AN40" i="24" s="1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AH37" i="24" s="1"/>
  <c r="AN37" i="24" s="1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AH35" i="24" s="1"/>
  <c r="AN35" i="24" s="1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AH31" i="24" s="1"/>
  <c r="AN31" i="24" s="1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AH29" i="24" s="1"/>
  <c r="AN29" i="24" s="1"/>
  <c r="AJ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AH22" i="24"/>
  <c r="AH21" i="24"/>
  <c r="AH20" i="24"/>
  <c r="AH19" i="24"/>
  <c r="AH18" i="24"/>
  <c r="AH17" i="24"/>
  <c r="AH16" i="24"/>
  <c r="AH15" i="24"/>
  <c r="AH14" i="24"/>
  <c r="AH13" i="24"/>
  <c r="AH12" i="24"/>
  <c r="AH11" i="24"/>
  <c r="AH10" i="24"/>
  <c r="AH9" i="24"/>
  <c r="AH8" i="24"/>
  <c r="AH7" i="24"/>
  <c r="AH6" i="24"/>
  <c r="AH5" i="24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AG46" i="23" s="1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AG43" i="23" s="1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AG41" i="23" s="1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AG39" i="23" s="1"/>
  <c r="AM39" i="23" s="1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AF37" i="23"/>
  <c r="AE37" i="23"/>
  <c r="AD37" i="23"/>
  <c r="AC37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AG37" i="23" s="1"/>
  <c r="AM37" i="23" s="1"/>
  <c r="AF36" i="23"/>
  <c r="AE36" i="23"/>
  <c r="AD36" i="23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AG36" i="23" s="1"/>
  <c r="AM36" i="23" s="1"/>
  <c r="AF35" i="23"/>
  <c r="AE35" i="23"/>
  <c r="AD35" i="23"/>
  <c r="AC35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AG32" i="23" s="1"/>
  <c r="AM32" i="23" s="1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AG31" i="23" s="1"/>
  <c r="AM31" i="23" s="1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AI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AG22" i="23"/>
  <c r="AG21" i="23"/>
  <c r="AG20" i="23"/>
  <c r="AG19" i="23"/>
  <c r="AG18" i="23"/>
  <c r="AG17" i="23"/>
  <c r="AG16" i="23"/>
  <c r="AG15" i="23"/>
  <c r="AG14" i="23"/>
  <c r="AG13" i="23"/>
  <c r="AG12" i="23"/>
  <c r="AG11" i="23"/>
  <c r="AG10" i="23"/>
  <c r="AG9" i="23"/>
  <c r="AG8" i="23"/>
  <c r="AG7" i="23"/>
  <c r="AG6" i="23"/>
  <c r="AG5" i="23"/>
  <c r="AG46" i="22"/>
  <c r="AF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AH46" i="22" s="1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AH41" i="22" s="1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AH40" i="22" s="1"/>
  <c r="AN40" i="22" s="1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H38" i="22" s="1"/>
  <c r="AN38" i="22" s="1"/>
  <c r="AG37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AG36" i="22"/>
  <c r="AF36" i="22"/>
  <c r="AE36" i="22"/>
  <c r="AD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AH36" i="22" s="1"/>
  <c r="AN36" i="22" s="1"/>
  <c r="AG35" i="22"/>
  <c r="AF35" i="22"/>
  <c r="AE35" i="22"/>
  <c r="AD35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AJ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AH22" i="22"/>
  <c r="AI22" i="22" s="1"/>
  <c r="AH21" i="22"/>
  <c r="AH20" i="22"/>
  <c r="AH19" i="22"/>
  <c r="AH18" i="22"/>
  <c r="AH17" i="22"/>
  <c r="AH16" i="22"/>
  <c r="AH15" i="22"/>
  <c r="AH14" i="22"/>
  <c r="AH13" i="22"/>
  <c r="AH12" i="22"/>
  <c r="AH11" i="22"/>
  <c r="AH10" i="22"/>
  <c r="AH9" i="22"/>
  <c r="AH8" i="22"/>
  <c r="AH7" i="22"/>
  <c r="AH6" i="22"/>
  <c r="AH5" i="22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AG46" i="21" s="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AG45" i="21" s="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AG44" i="21" s="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AG43" i="21" s="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G42" i="21" s="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AG41" i="21" s="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AG40" i="21" s="1"/>
  <c r="AM40" i="21" s="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AG39" i="21" s="1"/>
  <c r="AM39" i="21" s="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AG38" i="21" s="1"/>
  <c r="AM38" i="21" s="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AG37" i="21" s="1"/>
  <c r="AM37" i="21" s="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AG36" i="21" s="1"/>
  <c r="AM36" i="21" s="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AG35" i="21" s="1"/>
  <c r="AM35" i="21" s="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AG34" i="21" s="1"/>
  <c r="AM34" i="21" s="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AG33" i="21" s="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AG32" i="21" s="1"/>
  <c r="AM32" i="21" s="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AG31" i="21" s="1"/>
  <c r="AM31" i="21" s="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AG30" i="21" s="1"/>
  <c r="AM30" i="21" s="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AG29" i="21" s="1"/>
  <c r="AM29" i="21" s="1"/>
  <c r="AI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AG22" i="21"/>
  <c r="AG21" i="21"/>
  <c r="AG20" i="21"/>
  <c r="AG19" i="21"/>
  <c r="AG18" i="21"/>
  <c r="AG17" i="21"/>
  <c r="AG16" i="21"/>
  <c r="AG15" i="21"/>
  <c r="AG14" i="21"/>
  <c r="AG13" i="21"/>
  <c r="AG12" i="21"/>
  <c r="AG11" i="21"/>
  <c r="AG10" i="21"/>
  <c r="AG9" i="21"/>
  <c r="AG8" i="21"/>
  <c r="AG7" i="21"/>
  <c r="AG6" i="21"/>
  <c r="AG5" i="21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AH46" i="20" s="1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AH45" i="20" s="1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AH44" i="20" s="1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AH43" i="20" s="1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AH37" i="20" s="1"/>
  <c r="AN37" i="20" s="1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AH36" i="20" s="1"/>
  <c r="AN36" i="20" s="1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AH30" i="20" s="1"/>
  <c r="AN30" i="20" s="1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AJ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AH22" i="20"/>
  <c r="AH21" i="20"/>
  <c r="AH20" i="20"/>
  <c r="AH19" i="20"/>
  <c r="AH18" i="20"/>
  <c r="AH17" i="20"/>
  <c r="AH16" i="20"/>
  <c r="AH15" i="20"/>
  <c r="AH14" i="20"/>
  <c r="AH13" i="20"/>
  <c r="AH12" i="20"/>
  <c r="AH11" i="20"/>
  <c r="AH10" i="20"/>
  <c r="AH9" i="20"/>
  <c r="AH8" i="20"/>
  <c r="AH7" i="20"/>
  <c r="AH6" i="20"/>
  <c r="AH5" i="20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5" i="13"/>
  <c r="O46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O42" i="19" s="1"/>
  <c r="N41" i="19"/>
  <c r="M41" i="19"/>
  <c r="L41" i="19"/>
  <c r="K41" i="19"/>
  <c r="J41" i="19"/>
  <c r="I41" i="19"/>
  <c r="H41" i="19"/>
  <c r="G41" i="19"/>
  <c r="F41" i="19"/>
  <c r="E41" i="19"/>
  <c r="D41" i="19"/>
  <c r="C41" i="19"/>
  <c r="O41" i="19" s="1"/>
  <c r="N40" i="19"/>
  <c r="M40" i="19"/>
  <c r="L40" i="19"/>
  <c r="K40" i="19"/>
  <c r="J40" i="19"/>
  <c r="I40" i="19"/>
  <c r="H40" i="19"/>
  <c r="G40" i="19"/>
  <c r="F40" i="19"/>
  <c r="E40" i="19"/>
  <c r="D40" i="19"/>
  <c r="C40" i="19"/>
  <c r="O40" i="19" s="1"/>
  <c r="U40" i="19" s="1"/>
  <c r="N39" i="19"/>
  <c r="M39" i="19"/>
  <c r="L39" i="19"/>
  <c r="K39" i="19"/>
  <c r="J39" i="19"/>
  <c r="I39" i="19"/>
  <c r="H39" i="19"/>
  <c r="G39" i="19"/>
  <c r="F39" i="19"/>
  <c r="E39" i="19"/>
  <c r="D39" i="19"/>
  <c r="C39" i="19"/>
  <c r="O39" i="19" s="1"/>
  <c r="U39" i="19" s="1"/>
  <c r="N38" i="19"/>
  <c r="M38" i="19"/>
  <c r="L38" i="19"/>
  <c r="K38" i="19"/>
  <c r="J38" i="19"/>
  <c r="I38" i="19"/>
  <c r="H38" i="19"/>
  <c r="G38" i="19"/>
  <c r="F38" i="19"/>
  <c r="E38" i="19"/>
  <c r="D38" i="19"/>
  <c r="C38" i="19"/>
  <c r="O38" i="19" s="1"/>
  <c r="U38" i="19" s="1"/>
  <c r="N37" i="19"/>
  <c r="M37" i="19"/>
  <c r="L37" i="19"/>
  <c r="K37" i="19"/>
  <c r="J37" i="19"/>
  <c r="I37" i="19"/>
  <c r="H37" i="19"/>
  <c r="G37" i="19"/>
  <c r="F37" i="19"/>
  <c r="E37" i="19"/>
  <c r="D37" i="19"/>
  <c r="C37" i="19"/>
  <c r="O37" i="19" s="1"/>
  <c r="U37" i="19" s="1"/>
  <c r="N36" i="19"/>
  <c r="M36" i="19"/>
  <c r="L36" i="19"/>
  <c r="K36" i="19"/>
  <c r="J36" i="19"/>
  <c r="I36" i="19"/>
  <c r="H36" i="19"/>
  <c r="G36" i="19"/>
  <c r="F36" i="19"/>
  <c r="E36" i="19"/>
  <c r="D36" i="19"/>
  <c r="C36" i="19"/>
  <c r="O36" i="19" s="1"/>
  <c r="U36" i="19" s="1"/>
  <c r="N35" i="19"/>
  <c r="M35" i="19"/>
  <c r="L35" i="19"/>
  <c r="K35" i="19"/>
  <c r="J35" i="19"/>
  <c r="I35" i="19"/>
  <c r="H35" i="19"/>
  <c r="G35" i="19"/>
  <c r="F35" i="19"/>
  <c r="E35" i="19"/>
  <c r="D35" i="19"/>
  <c r="C35" i="19"/>
  <c r="O35" i="19" s="1"/>
  <c r="U35" i="19" s="1"/>
  <c r="N34" i="19"/>
  <c r="M34" i="19"/>
  <c r="L34" i="19"/>
  <c r="K34" i="19"/>
  <c r="J34" i="19"/>
  <c r="I34" i="19"/>
  <c r="H34" i="19"/>
  <c r="G34" i="19"/>
  <c r="F34" i="19"/>
  <c r="E34" i="19"/>
  <c r="D34" i="19"/>
  <c r="C34" i="19"/>
  <c r="O34" i="19" s="1"/>
  <c r="U34" i="19" s="1"/>
  <c r="O33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O32" i="19" s="1"/>
  <c r="U32" i="19" s="1"/>
  <c r="N31" i="19"/>
  <c r="M31" i="19"/>
  <c r="L31" i="19"/>
  <c r="K31" i="19"/>
  <c r="J31" i="19"/>
  <c r="I31" i="19"/>
  <c r="H31" i="19"/>
  <c r="G31" i="19"/>
  <c r="F31" i="19"/>
  <c r="E31" i="19"/>
  <c r="D31" i="19"/>
  <c r="C31" i="19"/>
  <c r="O31" i="19" s="1"/>
  <c r="U31" i="19" s="1"/>
  <c r="N30" i="19"/>
  <c r="M30" i="19"/>
  <c r="L30" i="19"/>
  <c r="K30" i="19"/>
  <c r="J30" i="19"/>
  <c r="I30" i="19"/>
  <c r="H30" i="19"/>
  <c r="G30" i="19"/>
  <c r="F30" i="19"/>
  <c r="E30" i="19"/>
  <c r="D30" i="19"/>
  <c r="C30" i="19"/>
  <c r="O30" i="19" s="1"/>
  <c r="U30" i="19" s="1"/>
  <c r="N29" i="19"/>
  <c r="M29" i="19"/>
  <c r="L29" i="19"/>
  <c r="K29" i="19"/>
  <c r="J29" i="19"/>
  <c r="I29" i="19"/>
  <c r="H29" i="19"/>
  <c r="G29" i="19"/>
  <c r="F29" i="19"/>
  <c r="E29" i="19"/>
  <c r="D29" i="19"/>
  <c r="C29" i="19"/>
  <c r="O29" i="19" s="1"/>
  <c r="U29" i="19" s="1"/>
  <c r="N23" i="19"/>
  <c r="M23" i="19"/>
  <c r="L23" i="19"/>
  <c r="K23" i="19"/>
  <c r="J23" i="19"/>
  <c r="I23" i="19"/>
  <c r="H23" i="19"/>
  <c r="G23" i="19"/>
  <c r="F23" i="19"/>
  <c r="E23" i="19"/>
  <c r="D23" i="19"/>
  <c r="C23" i="19"/>
  <c r="O22" i="19"/>
  <c r="O21" i="19"/>
  <c r="U20" i="19"/>
  <c r="R20" i="19"/>
  <c r="P20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AI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AG22" i="18"/>
  <c r="H22" i="13" s="1"/>
  <c r="AG21" i="18"/>
  <c r="H21" i="13" s="1"/>
  <c r="AG20" i="18"/>
  <c r="H20" i="13" s="1"/>
  <c r="AG19" i="18"/>
  <c r="H19" i="13" s="1"/>
  <c r="AG18" i="18"/>
  <c r="H18" i="13" s="1"/>
  <c r="AG17" i="18"/>
  <c r="H17" i="13" s="1"/>
  <c r="AG16" i="18"/>
  <c r="H16" i="13" s="1"/>
  <c r="AG15" i="18"/>
  <c r="H15" i="13" s="1"/>
  <c r="AG14" i="18"/>
  <c r="H14" i="13" s="1"/>
  <c r="AG13" i="18"/>
  <c r="H13" i="13" s="1"/>
  <c r="AG12" i="18"/>
  <c r="H12" i="13" s="1"/>
  <c r="AG11" i="18"/>
  <c r="H11" i="13" s="1"/>
  <c r="AG10" i="18"/>
  <c r="H10" i="13" s="1"/>
  <c r="AG9" i="18"/>
  <c r="H9" i="13" s="1"/>
  <c r="AG8" i="18"/>
  <c r="H8" i="13" s="1"/>
  <c r="AG7" i="18"/>
  <c r="H7" i="13" s="1"/>
  <c r="AG6" i="18"/>
  <c r="H6" i="13" s="1"/>
  <c r="AG5" i="18"/>
  <c r="H5" i="13" s="1"/>
  <c r="AG46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AH41" i="17" s="1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AJ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AH22" i="17"/>
  <c r="AN22" i="17" s="1"/>
  <c r="AH21" i="17"/>
  <c r="AI21" i="17" s="1"/>
  <c r="AH20" i="17"/>
  <c r="AK20" i="17" s="1"/>
  <c r="AH19" i="17"/>
  <c r="AN19" i="17" s="1"/>
  <c r="AH18" i="17"/>
  <c r="AI18" i="17" s="1"/>
  <c r="AH17" i="17"/>
  <c r="AK17" i="17" s="1"/>
  <c r="AH16" i="17"/>
  <c r="AN16" i="17" s="1"/>
  <c r="AH15" i="17"/>
  <c r="AI15" i="17" s="1"/>
  <c r="AH14" i="17"/>
  <c r="AK14" i="17" s="1"/>
  <c r="AH13" i="17"/>
  <c r="AN13" i="17" s="1"/>
  <c r="AH12" i="17"/>
  <c r="AI12" i="17" s="1"/>
  <c r="AH11" i="17"/>
  <c r="AK11" i="17" s="1"/>
  <c r="AH10" i="17"/>
  <c r="AN10" i="17" s="1"/>
  <c r="AH9" i="17"/>
  <c r="AH8" i="17"/>
  <c r="AI8" i="17" s="1"/>
  <c r="AH7" i="17"/>
  <c r="AN7" i="17" s="1"/>
  <c r="AH6" i="17"/>
  <c r="AN6" i="17" s="1"/>
  <c r="AH5" i="17"/>
  <c r="AI5" i="17" s="1"/>
  <c r="AG19" i="16"/>
  <c r="AH38" i="24" l="1"/>
  <c r="AN38" i="24" s="1"/>
  <c r="AH34" i="24"/>
  <c r="AN34" i="24" s="1"/>
  <c r="AH30" i="24"/>
  <c r="AN30" i="24" s="1"/>
  <c r="AH33" i="24"/>
  <c r="AH36" i="24"/>
  <c r="AN36" i="24" s="1"/>
  <c r="AH41" i="24"/>
  <c r="AH32" i="24"/>
  <c r="AN32" i="24" s="1"/>
  <c r="AH44" i="24"/>
  <c r="AH39" i="24"/>
  <c r="AN39" i="24" s="1"/>
  <c r="AN22" i="24"/>
  <c r="AI22" i="24"/>
  <c r="AK22" i="24"/>
  <c r="AN21" i="24"/>
  <c r="AK21" i="24"/>
  <c r="AI21" i="24"/>
  <c r="AK20" i="24"/>
  <c r="AN20" i="24"/>
  <c r="AI20" i="24"/>
  <c r="AN19" i="24"/>
  <c r="AK19" i="24"/>
  <c r="AI19" i="24"/>
  <c r="AN18" i="24"/>
  <c r="AK18" i="24"/>
  <c r="AI18" i="24"/>
  <c r="AK17" i="24"/>
  <c r="AI17" i="24"/>
  <c r="AN17" i="24"/>
  <c r="AN16" i="24"/>
  <c r="AI16" i="24"/>
  <c r="AK16" i="24"/>
  <c r="AK15" i="24"/>
  <c r="AI15" i="24"/>
  <c r="AN15" i="24"/>
  <c r="AK14" i="24"/>
  <c r="AI14" i="24"/>
  <c r="AN14" i="24"/>
  <c r="AK13" i="24"/>
  <c r="AN13" i="24"/>
  <c r="AI13" i="24"/>
  <c r="AN12" i="24"/>
  <c r="AK12" i="24"/>
  <c r="AI12" i="24"/>
  <c r="AN11" i="24"/>
  <c r="AI11" i="24"/>
  <c r="AK11" i="24"/>
  <c r="AK10" i="24"/>
  <c r="AI10" i="24"/>
  <c r="AN10" i="24"/>
  <c r="AK9" i="24"/>
  <c r="AI9" i="24"/>
  <c r="AK8" i="24"/>
  <c r="AN8" i="24"/>
  <c r="AI8" i="24"/>
  <c r="AI7" i="24"/>
  <c r="AN7" i="24"/>
  <c r="AK7" i="24"/>
  <c r="AI6" i="24"/>
  <c r="AN6" i="24"/>
  <c r="AK6" i="24"/>
  <c r="AI5" i="24"/>
  <c r="AH23" i="24"/>
  <c r="AN23" i="24" s="1"/>
  <c r="AK5" i="24"/>
  <c r="AN5" i="24"/>
  <c r="AG35" i="23"/>
  <c r="AM35" i="23" s="1"/>
  <c r="AG34" i="23"/>
  <c r="AM34" i="23" s="1"/>
  <c r="AG38" i="23"/>
  <c r="AM38" i="23" s="1"/>
  <c r="AG29" i="23"/>
  <c r="AM29" i="23" s="1"/>
  <c r="AG30" i="23"/>
  <c r="AM30" i="23" s="1"/>
  <c r="AG40" i="23"/>
  <c r="AM40" i="23" s="1"/>
  <c r="AG45" i="23"/>
  <c r="AG33" i="23"/>
  <c r="AG44" i="23"/>
  <c r="AG42" i="23"/>
  <c r="AH22" i="23"/>
  <c r="AJ22" i="23"/>
  <c r="AM22" i="23"/>
  <c r="AM21" i="23"/>
  <c r="AH21" i="23"/>
  <c r="AJ21" i="23"/>
  <c r="AH20" i="23"/>
  <c r="AJ20" i="23"/>
  <c r="AM20" i="23"/>
  <c r="AH19" i="23"/>
  <c r="AM19" i="23"/>
  <c r="AJ19" i="23"/>
  <c r="AJ18" i="23"/>
  <c r="AH18" i="23"/>
  <c r="AM18" i="23"/>
  <c r="AH17" i="23"/>
  <c r="AJ17" i="23"/>
  <c r="AM17" i="23"/>
  <c r="AH16" i="23"/>
  <c r="AM16" i="23"/>
  <c r="AJ16" i="23"/>
  <c r="AJ15" i="23"/>
  <c r="AM15" i="23"/>
  <c r="AH15" i="23"/>
  <c r="AH14" i="23"/>
  <c r="AJ14" i="23"/>
  <c r="AM14" i="23"/>
  <c r="AJ13" i="23"/>
  <c r="AM13" i="23"/>
  <c r="AH13" i="23"/>
  <c r="AM12" i="23"/>
  <c r="AH12" i="23"/>
  <c r="AJ12" i="23"/>
  <c r="AJ11" i="23"/>
  <c r="AM11" i="23"/>
  <c r="AH11" i="23"/>
  <c r="AJ10" i="23"/>
  <c r="AH10" i="23"/>
  <c r="AM10" i="23"/>
  <c r="AJ9" i="23"/>
  <c r="AH9" i="23"/>
  <c r="AJ8" i="23"/>
  <c r="AM8" i="23"/>
  <c r="AH8" i="23"/>
  <c r="AM7" i="23"/>
  <c r="AJ7" i="23"/>
  <c r="AH7" i="23"/>
  <c r="AH6" i="23"/>
  <c r="AM6" i="23"/>
  <c r="AJ6" i="23"/>
  <c r="AG23" i="23"/>
  <c r="AM23" i="23" s="1"/>
  <c r="AM5" i="23"/>
  <c r="AH5" i="23"/>
  <c r="AJ5" i="23"/>
  <c r="AH35" i="22"/>
  <c r="AN35" i="22" s="1"/>
  <c r="AH32" i="22"/>
  <c r="AN32" i="22" s="1"/>
  <c r="AH39" i="22"/>
  <c r="AN39" i="22" s="1"/>
  <c r="AH29" i="22"/>
  <c r="AN29" i="22" s="1"/>
  <c r="AH43" i="22"/>
  <c r="AH33" i="22"/>
  <c r="AH34" i="22"/>
  <c r="AN34" i="22" s="1"/>
  <c r="AH44" i="22"/>
  <c r="AH37" i="22"/>
  <c r="AN37" i="22" s="1"/>
  <c r="AH31" i="22"/>
  <c r="AN31" i="22" s="1"/>
  <c r="AH30" i="22"/>
  <c r="AN30" i="22" s="1"/>
  <c r="AH45" i="22"/>
  <c r="AH42" i="22"/>
  <c r="AH29" i="20"/>
  <c r="AN29" i="20" s="1"/>
  <c r="AH38" i="20"/>
  <c r="AN38" i="20" s="1"/>
  <c r="AH33" i="20"/>
  <c r="AK22" i="22"/>
  <c r="AN22" i="22"/>
  <c r="AN21" i="22"/>
  <c r="AI21" i="22"/>
  <c r="AK21" i="22"/>
  <c r="AI20" i="22"/>
  <c r="AK20" i="22"/>
  <c r="AN20" i="22"/>
  <c r="AI19" i="22"/>
  <c r="AN19" i="22"/>
  <c r="AK19" i="22"/>
  <c r="AK18" i="22"/>
  <c r="AN18" i="22"/>
  <c r="AI18" i="22"/>
  <c r="AN17" i="22"/>
  <c r="AI17" i="22"/>
  <c r="AK17" i="22"/>
  <c r="AN16" i="22"/>
  <c r="AI16" i="22"/>
  <c r="AK16" i="22"/>
  <c r="AN15" i="22"/>
  <c r="AI15" i="22"/>
  <c r="AK15" i="22"/>
  <c r="AI14" i="22"/>
  <c r="AK14" i="22"/>
  <c r="AN14" i="22"/>
  <c r="AN13" i="22"/>
  <c r="AK13" i="22"/>
  <c r="AI13" i="22"/>
  <c r="AN12" i="22"/>
  <c r="AK12" i="22"/>
  <c r="AI12" i="22"/>
  <c r="AN11" i="22"/>
  <c r="AK11" i="22"/>
  <c r="AI11" i="22"/>
  <c r="AI10" i="22"/>
  <c r="AN10" i="22"/>
  <c r="AK10" i="22"/>
  <c r="AI9" i="22"/>
  <c r="AK9" i="22"/>
  <c r="AK8" i="22"/>
  <c r="AN8" i="22"/>
  <c r="AI8" i="22"/>
  <c r="AI7" i="22"/>
  <c r="AN7" i="22"/>
  <c r="AK7" i="22"/>
  <c r="AN6" i="22"/>
  <c r="AI6" i="22"/>
  <c r="AK6" i="22"/>
  <c r="AK5" i="22"/>
  <c r="AI5" i="22"/>
  <c r="AH23" i="22"/>
  <c r="AN23" i="22" s="1"/>
  <c r="AN5" i="22"/>
  <c r="AH42" i="20"/>
  <c r="AH40" i="20"/>
  <c r="AN40" i="20" s="1"/>
  <c r="AH34" i="20"/>
  <c r="AN34" i="20" s="1"/>
  <c r="AH39" i="20"/>
  <c r="AN39" i="20" s="1"/>
  <c r="AH32" i="20"/>
  <c r="AN32" i="20" s="1"/>
  <c r="AH31" i="20"/>
  <c r="AN31" i="20" s="1"/>
  <c r="AH35" i="20"/>
  <c r="AN35" i="20" s="1"/>
  <c r="AH41" i="20"/>
  <c r="AH22" i="21"/>
  <c r="AJ22" i="21"/>
  <c r="AM22" i="21"/>
  <c r="AH21" i="21"/>
  <c r="AM21" i="21"/>
  <c r="AJ21" i="21"/>
  <c r="AH20" i="21"/>
  <c r="AM20" i="21"/>
  <c r="AJ20" i="21"/>
  <c r="AJ19" i="21"/>
  <c r="AM19" i="21"/>
  <c r="AH19" i="21"/>
  <c r="AH18" i="21"/>
  <c r="AM18" i="21"/>
  <c r="AJ18" i="21"/>
  <c r="AH17" i="21"/>
  <c r="AM17" i="21"/>
  <c r="AJ17" i="21"/>
  <c r="AM16" i="21"/>
  <c r="AJ16" i="21"/>
  <c r="AH16" i="21"/>
  <c r="AJ15" i="21"/>
  <c r="AM15" i="21"/>
  <c r="AH15" i="21"/>
  <c r="AH14" i="21"/>
  <c r="AJ14" i="21"/>
  <c r="AM14" i="21"/>
  <c r="AH13" i="21"/>
  <c r="AJ13" i="21"/>
  <c r="AM13" i="21"/>
  <c r="AH12" i="21"/>
  <c r="AM12" i="21"/>
  <c r="AJ12" i="21"/>
  <c r="AM11" i="21"/>
  <c r="AJ11" i="21"/>
  <c r="AH11" i="21"/>
  <c r="AM10" i="21"/>
  <c r="AJ10" i="21"/>
  <c r="AH10" i="21"/>
  <c r="AJ9" i="21"/>
  <c r="AH9" i="21"/>
  <c r="AH8" i="21"/>
  <c r="AJ8" i="21"/>
  <c r="AM8" i="21"/>
  <c r="AJ7" i="21"/>
  <c r="AM7" i="21"/>
  <c r="AH7" i="21"/>
  <c r="AJ6" i="21"/>
  <c r="AH6" i="21"/>
  <c r="AM6" i="21"/>
  <c r="AM5" i="21"/>
  <c r="AH5" i="21"/>
  <c r="AH23" i="21" s="1"/>
  <c r="AG23" i="21"/>
  <c r="AM23" i="21" s="1"/>
  <c r="AJ5" i="21"/>
  <c r="AI22" i="20"/>
  <c r="AN22" i="20"/>
  <c r="AK22" i="20"/>
  <c r="AN21" i="20"/>
  <c r="AI21" i="20"/>
  <c r="AK21" i="20"/>
  <c r="AK20" i="20"/>
  <c r="AN20" i="20"/>
  <c r="AI20" i="20"/>
  <c r="AK19" i="20"/>
  <c r="AN19" i="20"/>
  <c r="AI19" i="20"/>
  <c r="AK18" i="20"/>
  <c r="AN18" i="20"/>
  <c r="AI18" i="20"/>
  <c r="AN17" i="20"/>
  <c r="AK17" i="20"/>
  <c r="AI17" i="20"/>
  <c r="AI16" i="20"/>
  <c r="AN16" i="20"/>
  <c r="AK16" i="20"/>
  <c r="AI15" i="20"/>
  <c r="AK15" i="20"/>
  <c r="AN15" i="20"/>
  <c r="AN14" i="20"/>
  <c r="AI14" i="20"/>
  <c r="AK14" i="20"/>
  <c r="AK13" i="20"/>
  <c r="AI13" i="20"/>
  <c r="AN13" i="20"/>
  <c r="AN12" i="20"/>
  <c r="AK12" i="20"/>
  <c r="AI12" i="20"/>
  <c r="AK11" i="20"/>
  <c r="AI11" i="20"/>
  <c r="AN11" i="20"/>
  <c r="AI10" i="20"/>
  <c r="AK10" i="20"/>
  <c r="AN10" i="20"/>
  <c r="AI9" i="20"/>
  <c r="AK9" i="20"/>
  <c r="AK8" i="20"/>
  <c r="AI8" i="20"/>
  <c r="AN8" i="20"/>
  <c r="AI7" i="20"/>
  <c r="AK7" i="20"/>
  <c r="AN7" i="20"/>
  <c r="AN6" i="20"/>
  <c r="AI6" i="20"/>
  <c r="AK6" i="20"/>
  <c r="AN5" i="20"/>
  <c r="AK5" i="20"/>
  <c r="AH23" i="20"/>
  <c r="AN23" i="20" s="1"/>
  <c r="AI5" i="20"/>
  <c r="P22" i="19"/>
  <c r="U22" i="19"/>
  <c r="R22" i="19"/>
  <c r="R21" i="19"/>
  <c r="O23" i="19"/>
  <c r="U23" i="19" s="1"/>
  <c r="P21" i="19"/>
  <c r="U21" i="19"/>
  <c r="U19" i="19"/>
  <c r="R19" i="19"/>
  <c r="P19" i="19"/>
  <c r="U18" i="19"/>
  <c r="R18" i="19"/>
  <c r="P18" i="19"/>
  <c r="U17" i="19"/>
  <c r="R17" i="19"/>
  <c r="P17" i="19"/>
  <c r="U16" i="19"/>
  <c r="R16" i="19"/>
  <c r="P16" i="19"/>
  <c r="U15" i="19"/>
  <c r="R15" i="19"/>
  <c r="P15" i="19"/>
  <c r="U14" i="19"/>
  <c r="R14" i="19"/>
  <c r="P14" i="19"/>
  <c r="P13" i="19"/>
  <c r="R13" i="19"/>
  <c r="U13" i="19"/>
  <c r="U12" i="19"/>
  <c r="P12" i="19"/>
  <c r="R12" i="19"/>
  <c r="R11" i="19"/>
  <c r="P11" i="19"/>
  <c r="U11" i="19"/>
  <c r="U10" i="19"/>
  <c r="P10" i="19"/>
  <c r="R10" i="19"/>
  <c r="R8" i="19"/>
  <c r="P8" i="19"/>
  <c r="U8" i="19"/>
  <c r="P7" i="19"/>
  <c r="U7" i="19"/>
  <c r="R7" i="19"/>
  <c r="U6" i="19"/>
  <c r="R6" i="19"/>
  <c r="P6" i="19"/>
  <c r="U5" i="19"/>
  <c r="R5" i="19"/>
  <c r="P5" i="19"/>
  <c r="AH35" i="17"/>
  <c r="AN35" i="17" s="1"/>
  <c r="AH34" i="17"/>
  <c r="AN34" i="17" s="1"/>
  <c r="AH29" i="17"/>
  <c r="AN29" i="17" s="1"/>
  <c r="AN12" i="17"/>
  <c r="AI13" i="17"/>
  <c r="AK21" i="17"/>
  <c r="AI9" i="17"/>
  <c r="AK8" i="17"/>
  <c r="AI22" i="17"/>
  <c r="AN18" i="17"/>
  <c r="AN17" i="17"/>
  <c r="AK9" i="17"/>
  <c r="AI19" i="17"/>
  <c r="AN14" i="17"/>
  <c r="AK12" i="17"/>
  <c r="AG36" i="18"/>
  <c r="AM36" i="18" s="1"/>
  <c r="AG35" i="18"/>
  <c r="AM35" i="18" s="1"/>
  <c r="AG33" i="18"/>
  <c r="AG31" i="18"/>
  <c r="AM31" i="18" s="1"/>
  <c r="AM22" i="18"/>
  <c r="AJ20" i="18"/>
  <c r="AJ19" i="18"/>
  <c r="AJ18" i="18"/>
  <c r="AJ16" i="18"/>
  <c r="AM13" i="18"/>
  <c r="AH13" i="18"/>
  <c r="AM11" i="18"/>
  <c r="AM10" i="18"/>
  <c r="AJ9" i="18"/>
  <c r="AM8" i="18"/>
  <c r="AH8" i="18"/>
  <c r="AH7" i="18"/>
  <c r="AH6" i="18"/>
  <c r="AJ5" i="18"/>
  <c r="AG46" i="18"/>
  <c r="AG41" i="18"/>
  <c r="AG39" i="18"/>
  <c r="AM39" i="18" s="1"/>
  <c r="AG37" i="18"/>
  <c r="AM37" i="18" s="1"/>
  <c r="AG30" i="18"/>
  <c r="AM30" i="18" s="1"/>
  <c r="AH22" i="18"/>
  <c r="AH21" i="18"/>
  <c r="AH20" i="18"/>
  <c r="AH19" i="18"/>
  <c r="AH18" i="18"/>
  <c r="AJ17" i="18"/>
  <c r="AM16" i="18"/>
  <c r="AH16" i="18"/>
  <c r="AJ15" i="18"/>
  <c r="AM14" i="18"/>
  <c r="AJ12" i="18"/>
  <c r="AJ10" i="18"/>
  <c r="AM6" i="18"/>
  <c r="AG45" i="18"/>
  <c r="AG42" i="18"/>
  <c r="AG32" i="18"/>
  <c r="AM32" i="18" s="1"/>
  <c r="AG29" i="18"/>
  <c r="AM29" i="18" s="1"/>
  <c r="AG23" i="18"/>
  <c r="AM23" i="18" s="1"/>
  <c r="AJ21" i="18"/>
  <c r="AM20" i="18"/>
  <c r="AM18" i="18"/>
  <c r="AM17" i="18"/>
  <c r="AM15" i="18"/>
  <c r="AH14" i="18"/>
  <c r="AM12" i="18"/>
  <c r="AH12" i="18"/>
  <c r="AH11" i="18"/>
  <c r="AH10" i="18"/>
  <c r="AH9" i="18"/>
  <c r="AJ8" i="18"/>
  <c r="AJ7" i="18"/>
  <c r="AJ6" i="18"/>
  <c r="AH5" i="18"/>
  <c r="AG44" i="18"/>
  <c r="AG43" i="18"/>
  <c r="AG40" i="18"/>
  <c r="AM40" i="18" s="1"/>
  <c r="AG38" i="18"/>
  <c r="AM38" i="18" s="1"/>
  <c r="AG34" i="18"/>
  <c r="AM34" i="18" s="1"/>
  <c r="AJ22" i="18"/>
  <c r="AM21" i="18"/>
  <c r="AM19" i="18"/>
  <c r="AH17" i="18"/>
  <c r="AH15" i="18"/>
  <c r="AJ14" i="18"/>
  <c r="AJ13" i="18"/>
  <c r="AJ11" i="18"/>
  <c r="AM7" i="18"/>
  <c r="AM5" i="18"/>
  <c r="AI6" i="17"/>
  <c r="AN11" i="17"/>
  <c r="AI16" i="17"/>
  <c r="AN21" i="17"/>
  <c r="AH30" i="17"/>
  <c r="AN30" i="17" s="1"/>
  <c r="AK6" i="17"/>
  <c r="AH31" i="17"/>
  <c r="AN31" i="17" s="1"/>
  <c r="AH36" i="17"/>
  <c r="AN36" i="17" s="1"/>
  <c r="AH37" i="17"/>
  <c r="AN37" i="17" s="1"/>
  <c r="AH42" i="17"/>
  <c r="AH43" i="17"/>
  <c r="AH32" i="17"/>
  <c r="AN32" i="17" s="1"/>
  <c r="AH38" i="17"/>
  <c r="AN38" i="17" s="1"/>
  <c r="AH44" i="17"/>
  <c r="AH33" i="17"/>
  <c r="AH39" i="17"/>
  <c r="AN39" i="17" s="1"/>
  <c r="AK15" i="17"/>
  <c r="AN20" i="17"/>
  <c r="AK5" i="17"/>
  <c r="AI10" i="17"/>
  <c r="AN15" i="17"/>
  <c r="AK18" i="17"/>
  <c r="AH40" i="17"/>
  <c r="AN40" i="17" s="1"/>
  <c r="AH45" i="17"/>
  <c r="AH46" i="17"/>
  <c r="AI7" i="17"/>
  <c r="AK10" i="17"/>
  <c r="AK13" i="17"/>
  <c r="AK16" i="17"/>
  <c r="AK19" i="17"/>
  <c r="AK22" i="17"/>
  <c r="AN5" i="17"/>
  <c r="AN8" i="17"/>
  <c r="AK7" i="17"/>
  <c r="AI14" i="17"/>
  <c r="AI20" i="17"/>
  <c r="AI11" i="17"/>
  <c r="AI17" i="17"/>
  <c r="AH23" i="17"/>
  <c r="AN23" i="17" s="1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AI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AG22" i="16"/>
  <c r="AH22" i="16" s="1"/>
  <c r="AG21" i="16"/>
  <c r="AM21" i="16" s="1"/>
  <c r="AG20" i="16"/>
  <c r="AM20" i="16" s="1"/>
  <c r="AH19" i="16"/>
  <c r="AG18" i="16"/>
  <c r="AM18" i="16" s="1"/>
  <c r="AG17" i="16"/>
  <c r="AM17" i="16" s="1"/>
  <c r="AG16" i="16"/>
  <c r="AH16" i="16" s="1"/>
  <c r="AG15" i="16"/>
  <c r="AM15" i="16" s="1"/>
  <c r="AG14" i="16"/>
  <c r="AJ14" i="16" s="1"/>
  <c r="AG13" i="16"/>
  <c r="AH13" i="16" s="1"/>
  <c r="AG12" i="16"/>
  <c r="AM12" i="16" s="1"/>
  <c r="AG11" i="16"/>
  <c r="AH11" i="16" s="1"/>
  <c r="AG10" i="16"/>
  <c r="AH10" i="16" s="1"/>
  <c r="AG9" i="16"/>
  <c r="AJ9" i="16" s="1"/>
  <c r="AG8" i="16"/>
  <c r="AH8" i="16" s="1"/>
  <c r="AG7" i="16"/>
  <c r="AM7" i="16" s="1"/>
  <c r="P30" i="16"/>
  <c r="AG5" i="16"/>
  <c r="P6" i="15"/>
  <c r="AH23" i="18" l="1"/>
  <c r="AG36" i="16"/>
  <c r="AM36" i="16" s="1"/>
  <c r="AG42" i="16"/>
  <c r="AG41" i="16"/>
  <c r="AG35" i="16"/>
  <c r="AM35" i="16" s="1"/>
  <c r="AG29" i="16"/>
  <c r="AM29" i="16" s="1"/>
  <c r="AM13" i="16"/>
  <c r="AJ13" i="16"/>
  <c r="AJ7" i="16"/>
  <c r="AH7" i="16"/>
  <c r="AM16" i="16"/>
  <c r="AM10" i="16"/>
  <c r="AM8" i="16"/>
  <c r="AM22" i="16"/>
  <c r="AJ16" i="16"/>
  <c r="AM19" i="16"/>
  <c r="AJ10" i="16"/>
  <c r="AG30" i="16"/>
  <c r="AM30" i="16" s="1"/>
  <c r="AG31" i="16"/>
  <c r="AM31" i="16" s="1"/>
  <c r="AG43" i="16"/>
  <c r="AG32" i="16"/>
  <c r="AM32" i="16" s="1"/>
  <c r="AG37" i="16"/>
  <c r="AM37" i="16" s="1"/>
  <c r="AG38" i="16"/>
  <c r="AM38" i="16" s="1"/>
  <c r="AJ22" i="16"/>
  <c r="AG33" i="16"/>
  <c r="AG44" i="16"/>
  <c r="AG45" i="16"/>
  <c r="AJ19" i="16"/>
  <c r="AG34" i="16"/>
  <c r="AM34" i="16" s="1"/>
  <c r="AG39" i="16"/>
  <c r="AM39" i="16" s="1"/>
  <c r="AG40" i="16"/>
  <c r="AM40" i="16" s="1"/>
  <c r="AG46" i="16"/>
  <c r="AG6" i="16"/>
  <c r="AH12" i="16"/>
  <c r="AH9" i="16"/>
  <c r="AJ12" i="16"/>
  <c r="AJ15" i="16"/>
  <c r="AJ18" i="16"/>
  <c r="AJ21" i="16"/>
  <c r="AH14" i="16"/>
  <c r="AH17" i="16"/>
  <c r="AH20" i="16"/>
  <c r="P23" i="16"/>
  <c r="AJ5" i="16"/>
  <c r="AJ11" i="16"/>
  <c r="AJ17" i="16"/>
  <c r="AJ20" i="16"/>
  <c r="AM5" i="16"/>
  <c r="AJ8" i="16"/>
  <c r="AM11" i="16"/>
  <c r="AM14" i="16"/>
  <c r="AH18" i="16"/>
  <c r="AH15" i="16"/>
  <c r="AH21" i="16"/>
  <c r="AH5" i="16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AH41" i="15" s="1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AG35" i="15"/>
  <c r="AF35" i="15"/>
  <c r="AE35" i="15"/>
  <c r="AD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AJ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H22" i="15"/>
  <c r="AN22" i="15" s="1"/>
  <c r="AH21" i="15"/>
  <c r="AN21" i="15" s="1"/>
  <c r="AH20" i="15"/>
  <c r="AI20" i="15" s="1"/>
  <c r="AH19" i="15"/>
  <c r="AN19" i="15" s="1"/>
  <c r="AH18" i="15"/>
  <c r="AN18" i="15" s="1"/>
  <c r="AH17" i="15"/>
  <c r="AI17" i="15" s="1"/>
  <c r="AH16" i="15"/>
  <c r="AN16" i="15" s="1"/>
  <c r="AH15" i="15"/>
  <c r="AN15" i="15" s="1"/>
  <c r="AH14" i="15"/>
  <c r="AI14" i="15" s="1"/>
  <c r="AH13" i="15"/>
  <c r="AN13" i="15" s="1"/>
  <c r="AH12" i="15"/>
  <c r="AN12" i="15" s="1"/>
  <c r="AH11" i="15"/>
  <c r="AI11" i="15" s="1"/>
  <c r="AC35" i="15"/>
  <c r="AH10" i="15"/>
  <c r="AN10" i="15" s="1"/>
  <c r="AH9" i="15"/>
  <c r="AK9" i="15" s="1"/>
  <c r="AH8" i="15"/>
  <c r="AI8" i="15" s="1"/>
  <c r="AH7" i="15"/>
  <c r="AN7" i="15" s="1"/>
  <c r="AH6" i="15"/>
  <c r="AN6" i="15" s="1"/>
  <c r="AH5" i="15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AD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AG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AE22" i="14"/>
  <c r="AK22" i="14" s="1"/>
  <c r="AE21" i="14"/>
  <c r="AK21" i="14" s="1"/>
  <c r="AE20" i="14"/>
  <c r="AF20" i="14" s="1"/>
  <c r="AE19" i="14"/>
  <c r="AK19" i="14" s="1"/>
  <c r="AE18" i="14"/>
  <c r="AK18" i="14" s="1"/>
  <c r="AE17" i="14"/>
  <c r="AF17" i="14" s="1"/>
  <c r="AE16" i="14"/>
  <c r="AK16" i="14" s="1"/>
  <c r="AE15" i="14"/>
  <c r="AK15" i="14" s="1"/>
  <c r="AE14" i="14"/>
  <c r="AF14" i="14" s="1"/>
  <c r="AE13" i="14"/>
  <c r="AK13" i="14" s="1"/>
  <c r="AE12" i="14"/>
  <c r="AK12" i="14" s="1"/>
  <c r="AE11" i="14"/>
  <c r="AE10" i="14"/>
  <c r="AH10" i="14" s="1"/>
  <c r="AE9" i="14"/>
  <c r="AH9" i="14" s="1"/>
  <c r="AE8" i="14"/>
  <c r="AH8" i="14" s="1"/>
  <c r="AE7" i="14"/>
  <c r="AK7" i="14" s="1"/>
  <c r="AE6" i="14"/>
  <c r="AK6" i="14" s="1"/>
  <c r="AE5" i="14"/>
  <c r="AK5" i="14" s="1"/>
  <c r="AK6" i="11"/>
  <c r="AK7" i="11"/>
  <c r="AK8" i="11"/>
  <c r="AK9" i="11"/>
  <c r="AK12" i="11"/>
  <c r="AK13" i="11"/>
  <c r="AK14" i="11"/>
  <c r="AK16" i="11"/>
  <c r="AK17" i="11"/>
  <c r="AK18" i="11"/>
  <c r="AK19" i="11"/>
  <c r="AK20" i="11"/>
  <c r="AK21" i="11"/>
  <c r="AK22" i="11"/>
  <c r="AK5" i="11"/>
  <c r="AJ23" i="11"/>
  <c r="AI9" i="11"/>
  <c r="AC11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C33" i="11"/>
  <c r="N46" i="13"/>
  <c r="M46" i="13"/>
  <c r="L46" i="13"/>
  <c r="K46" i="13"/>
  <c r="J46" i="13"/>
  <c r="I46" i="13"/>
  <c r="H46" i="13"/>
  <c r="G46" i="13"/>
  <c r="F46" i="13"/>
  <c r="E46" i="13"/>
  <c r="D46" i="13"/>
  <c r="C46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O44" i="13" s="1"/>
  <c r="N43" i="13"/>
  <c r="M43" i="13"/>
  <c r="L43" i="13"/>
  <c r="K43" i="13"/>
  <c r="J43" i="13"/>
  <c r="I43" i="13"/>
  <c r="H43" i="13"/>
  <c r="G43" i="13"/>
  <c r="F43" i="13"/>
  <c r="E43" i="13"/>
  <c r="D43" i="13"/>
  <c r="C43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O33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O22" i="13"/>
  <c r="U22" i="13" s="1"/>
  <c r="O21" i="13"/>
  <c r="R21" i="13" s="1"/>
  <c r="O20" i="13"/>
  <c r="P20" i="13" s="1"/>
  <c r="O19" i="13"/>
  <c r="U19" i="13" s="1"/>
  <c r="O18" i="13"/>
  <c r="R18" i="13" s="1"/>
  <c r="O17" i="13"/>
  <c r="U17" i="13" s="1"/>
  <c r="O16" i="13"/>
  <c r="U16" i="13" s="1"/>
  <c r="O15" i="13"/>
  <c r="R15" i="13" s="1"/>
  <c r="O14" i="13"/>
  <c r="U14" i="13" s="1"/>
  <c r="O13" i="13"/>
  <c r="U13" i="13" s="1"/>
  <c r="O12" i="13"/>
  <c r="R12" i="13" s="1"/>
  <c r="O11" i="13"/>
  <c r="U11" i="13" s="1"/>
  <c r="O10" i="13"/>
  <c r="U10" i="13" s="1"/>
  <c r="O9" i="13"/>
  <c r="P9" i="13" s="1"/>
  <c r="O8" i="13"/>
  <c r="R8" i="13" s="1"/>
  <c r="O7" i="13"/>
  <c r="U7" i="13" s="1"/>
  <c r="O6" i="13"/>
  <c r="U6" i="13" s="1"/>
  <c r="O5" i="13"/>
  <c r="U5" i="13" s="1"/>
  <c r="AH6" i="11"/>
  <c r="AH7" i="11"/>
  <c r="AH8" i="11"/>
  <c r="AH9" i="11"/>
  <c r="AH10" i="11"/>
  <c r="AK10" i="11" s="1"/>
  <c r="AH11" i="11"/>
  <c r="AK11" i="11" s="1"/>
  <c r="AH12" i="11"/>
  <c r="AH13" i="11"/>
  <c r="AH14" i="11"/>
  <c r="AH15" i="11"/>
  <c r="AK15" i="11" s="1"/>
  <c r="AH16" i="11"/>
  <c r="AH17" i="11"/>
  <c r="AH18" i="11"/>
  <c r="AH19" i="11"/>
  <c r="AH20" i="11"/>
  <c r="AH21" i="11"/>
  <c r="AH22" i="11"/>
  <c r="AM6" i="16" l="1"/>
  <c r="AJ6" i="16"/>
  <c r="AH6" i="16"/>
  <c r="AG23" i="16"/>
  <c r="AM23" i="16" s="1"/>
  <c r="AH34" i="15"/>
  <c r="AN34" i="15" s="1"/>
  <c r="AH33" i="15"/>
  <c r="AI15" i="15"/>
  <c r="AK15" i="15"/>
  <c r="AI16" i="15"/>
  <c r="AN17" i="15"/>
  <c r="AI10" i="15"/>
  <c r="AK14" i="15"/>
  <c r="AI19" i="15"/>
  <c r="AK8" i="15"/>
  <c r="AK17" i="15"/>
  <c r="AI9" i="15"/>
  <c r="AK18" i="15"/>
  <c r="AI6" i="15"/>
  <c r="AN8" i="15"/>
  <c r="AK10" i="15"/>
  <c r="AI12" i="15"/>
  <c r="AN14" i="15"/>
  <c r="AI21" i="15"/>
  <c r="AH36" i="15"/>
  <c r="AN36" i="15" s="1"/>
  <c r="AH46" i="15"/>
  <c r="AK6" i="15"/>
  <c r="AK12" i="15"/>
  <c r="AK21" i="15"/>
  <c r="AH29" i="15"/>
  <c r="AN29" i="15" s="1"/>
  <c r="AH37" i="15"/>
  <c r="AN37" i="15" s="1"/>
  <c r="AH42" i="15"/>
  <c r="AH23" i="15"/>
  <c r="AN23" i="15" s="1"/>
  <c r="AH30" i="15"/>
  <c r="AN30" i="15" s="1"/>
  <c r="AH38" i="15"/>
  <c r="AN38" i="15" s="1"/>
  <c r="AH43" i="15"/>
  <c r="AH44" i="15"/>
  <c r="AK5" i="15"/>
  <c r="AI7" i="15"/>
  <c r="AK11" i="15"/>
  <c r="AI13" i="15"/>
  <c r="AK20" i="15"/>
  <c r="AI22" i="15"/>
  <c r="AH31" i="15"/>
  <c r="AN31" i="15" s="1"/>
  <c r="AH39" i="15"/>
  <c r="AN39" i="15" s="1"/>
  <c r="AN5" i="15"/>
  <c r="AN11" i="15"/>
  <c r="AI18" i="15"/>
  <c r="AN20" i="15"/>
  <c r="AH32" i="15"/>
  <c r="AN32" i="15" s="1"/>
  <c r="AH40" i="15"/>
  <c r="AN40" i="15" s="1"/>
  <c r="AH45" i="15"/>
  <c r="AH35" i="15"/>
  <c r="AN35" i="15" s="1"/>
  <c r="AK7" i="15"/>
  <c r="AK13" i="15"/>
  <c r="AK16" i="15"/>
  <c r="AK19" i="15"/>
  <c r="AK22" i="15"/>
  <c r="AI5" i="15"/>
  <c r="AF7" i="14"/>
  <c r="AH5" i="14"/>
  <c r="AF13" i="14"/>
  <c r="AK10" i="14"/>
  <c r="AF19" i="14"/>
  <c r="AH19" i="14"/>
  <c r="AF10" i="14"/>
  <c r="AH17" i="14"/>
  <c r="AK20" i="14"/>
  <c r="AE42" i="14"/>
  <c r="AE34" i="14"/>
  <c r="AK34" i="14" s="1"/>
  <c r="AE41" i="14"/>
  <c r="AE46" i="14"/>
  <c r="AF8" i="14"/>
  <c r="AH13" i="14"/>
  <c r="AF16" i="14"/>
  <c r="AE29" i="14"/>
  <c r="AK29" i="14" s="1"/>
  <c r="AE36" i="14"/>
  <c r="AK36" i="14" s="1"/>
  <c r="AE37" i="14"/>
  <c r="AK37" i="14" s="1"/>
  <c r="AK8" i="14"/>
  <c r="AH14" i="14"/>
  <c r="AF22" i="14"/>
  <c r="AE30" i="14"/>
  <c r="AK30" i="14" s="1"/>
  <c r="AE31" i="14"/>
  <c r="AK31" i="14" s="1"/>
  <c r="AE38" i="14"/>
  <c r="AK38" i="14" s="1"/>
  <c r="AE43" i="14"/>
  <c r="AE44" i="14"/>
  <c r="AH16" i="14"/>
  <c r="AK14" i="14"/>
  <c r="AH22" i="14"/>
  <c r="AE39" i="14"/>
  <c r="AK39" i="14" s="1"/>
  <c r="AE23" i="14"/>
  <c r="AK23" i="14" s="1"/>
  <c r="AH7" i="14"/>
  <c r="AK17" i="14"/>
  <c r="AH20" i="14"/>
  <c r="AE32" i="14"/>
  <c r="AK32" i="14" s="1"/>
  <c r="AE33" i="14"/>
  <c r="AE40" i="14"/>
  <c r="AK40" i="14" s="1"/>
  <c r="AE45" i="14"/>
  <c r="AH11" i="14"/>
  <c r="AF11" i="14"/>
  <c r="AK11" i="14"/>
  <c r="AF6" i="14"/>
  <c r="AF9" i="14"/>
  <c r="AF12" i="14"/>
  <c r="AF15" i="14"/>
  <c r="AF18" i="14"/>
  <c r="AF21" i="14"/>
  <c r="AC35" i="14"/>
  <c r="AE35" i="14" s="1"/>
  <c r="AK35" i="14" s="1"/>
  <c r="AH6" i="14"/>
  <c r="AH12" i="14"/>
  <c r="AH15" i="14"/>
  <c r="AH18" i="14"/>
  <c r="AH21" i="14"/>
  <c r="AF5" i="14"/>
  <c r="AH33" i="11"/>
  <c r="U8" i="13"/>
  <c r="O30" i="13"/>
  <c r="U30" i="13" s="1"/>
  <c r="O35" i="13"/>
  <c r="U35" i="13" s="1"/>
  <c r="R17" i="13"/>
  <c r="O41" i="13"/>
  <c r="R11" i="13"/>
  <c r="R20" i="13"/>
  <c r="P8" i="13"/>
  <c r="U20" i="13"/>
  <c r="O37" i="13"/>
  <c r="U37" i="13" s="1"/>
  <c r="R14" i="13"/>
  <c r="O31" i="13"/>
  <c r="U31" i="13" s="1"/>
  <c r="P7" i="13"/>
  <c r="U12" i="13"/>
  <c r="U15" i="13"/>
  <c r="U18" i="13"/>
  <c r="O32" i="13"/>
  <c r="U32" i="13" s="1"/>
  <c r="O43" i="13"/>
  <c r="O46" i="13"/>
  <c r="R7" i="13"/>
  <c r="U21" i="13"/>
  <c r="O29" i="13"/>
  <c r="U29" i="13" s="1"/>
  <c r="O36" i="13"/>
  <c r="U36" i="13" s="1"/>
  <c r="O38" i="13"/>
  <c r="U38" i="13" s="1"/>
  <c r="P5" i="13"/>
  <c r="P23" i="13" s="1"/>
  <c r="P11" i="13"/>
  <c r="P14" i="13"/>
  <c r="P17" i="13"/>
  <c r="O34" i="13"/>
  <c r="U34" i="13" s="1"/>
  <c r="O40" i="13"/>
  <c r="U40" i="13" s="1"/>
  <c r="O42" i="13"/>
  <c r="O45" i="13"/>
  <c r="O39" i="13"/>
  <c r="U39" i="13" s="1"/>
  <c r="P6" i="13"/>
  <c r="R6" i="13"/>
  <c r="P10" i="13"/>
  <c r="P13" i="13"/>
  <c r="P16" i="13"/>
  <c r="P19" i="13"/>
  <c r="P22" i="13"/>
  <c r="O23" i="13"/>
  <c r="U23" i="13" s="1"/>
  <c r="R10" i="13"/>
  <c r="R13" i="13"/>
  <c r="R16" i="13"/>
  <c r="R19" i="13"/>
  <c r="R22" i="13"/>
  <c r="R5" i="13"/>
  <c r="P12" i="13"/>
  <c r="P15" i="13"/>
  <c r="P18" i="13"/>
  <c r="P21" i="13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2" i="11"/>
  <c r="C31" i="11"/>
  <c r="C30" i="11"/>
  <c r="C29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AN22" i="11"/>
  <c r="AI21" i="11"/>
  <c r="AN20" i="11"/>
  <c r="AN19" i="11"/>
  <c r="AI18" i="11"/>
  <c r="AN17" i="11"/>
  <c r="AN16" i="11"/>
  <c r="AI15" i="11"/>
  <c r="AN14" i="11"/>
  <c r="AN13" i="11"/>
  <c r="AI12" i="11"/>
  <c r="AN11" i="11"/>
  <c r="AN10" i="11"/>
  <c r="AI8" i="11"/>
  <c r="AN7" i="11"/>
  <c r="AH37" i="11" l="1"/>
  <c r="AN37" i="11" s="1"/>
  <c r="AH39" i="11"/>
  <c r="AN39" i="11" s="1"/>
  <c r="AH29" i="11"/>
  <c r="AN29" i="11" s="1"/>
  <c r="AH31" i="11"/>
  <c r="AN31" i="11" s="1"/>
  <c r="AH34" i="11"/>
  <c r="AN34" i="11" s="1"/>
  <c r="AH36" i="11"/>
  <c r="AN36" i="11" s="1"/>
  <c r="AH38" i="11"/>
  <c r="AN38" i="11" s="1"/>
  <c r="AH40" i="11"/>
  <c r="AN40" i="11" s="1"/>
  <c r="AH42" i="11"/>
  <c r="AH44" i="11"/>
  <c r="AH46" i="11"/>
  <c r="AH30" i="11"/>
  <c r="AN30" i="11" s="1"/>
  <c r="AH32" i="11"/>
  <c r="AN32" i="11" s="1"/>
  <c r="AH35" i="11"/>
  <c r="AN35" i="11" s="1"/>
  <c r="AH41" i="11"/>
  <c r="AH43" i="11"/>
  <c r="AH45" i="11"/>
  <c r="AI7" i="11"/>
  <c r="AN8" i="11"/>
  <c r="AI11" i="11"/>
  <c r="AN12" i="11"/>
  <c r="AI14" i="11"/>
  <c r="AN15" i="11"/>
  <c r="AI17" i="11"/>
  <c r="AN18" i="11"/>
  <c r="AI20" i="11"/>
  <c r="AN21" i="11"/>
  <c r="AH5" i="11"/>
  <c r="AI10" i="11"/>
  <c r="AI13" i="11"/>
  <c r="AI16" i="11"/>
  <c r="AI19" i="11"/>
  <c r="AI22" i="11"/>
  <c r="AI5" i="11" l="1"/>
  <c r="AN5" i="11"/>
  <c r="AH23" i="11"/>
  <c r="AN23" i="11" s="1"/>
  <c r="AN6" i="11"/>
  <c r="AI6" i="11"/>
</calcChain>
</file>

<file path=xl/sharedStrings.xml><?xml version="1.0" encoding="utf-8"?>
<sst xmlns="http://schemas.openxmlformats.org/spreadsheetml/2006/main" count="1063" uniqueCount="64">
  <si>
    <t xml:space="preserve">PENDAPATAN </t>
  </si>
  <si>
    <t>jumlah</t>
  </si>
  <si>
    <t>Dewasa</t>
  </si>
  <si>
    <t>Anak</t>
  </si>
  <si>
    <t>Rombongan Dewasa</t>
  </si>
  <si>
    <t>Rombongan Anak</t>
  </si>
  <si>
    <t>Kendaraan Golongan I</t>
  </si>
  <si>
    <t>Kendaraan Golongan II</t>
  </si>
  <si>
    <t>Kendaraan Golongan III</t>
  </si>
  <si>
    <t>Sepeda Motor</t>
  </si>
  <si>
    <t xml:space="preserve">Sepeda </t>
  </si>
  <si>
    <t>Jumlah</t>
  </si>
  <si>
    <t>PENGUNJUNG</t>
  </si>
  <si>
    <t>ASURANSI  LEMBAR</t>
  </si>
  <si>
    <t>T     A     N     G     G     A     L</t>
  </si>
  <si>
    <t>JUMLAH  Rp</t>
  </si>
  <si>
    <t>NO</t>
  </si>
  <si>
    <t>JENIS PENDAPATAN</t>
  </si>
  <si>
    <t>JUMLAH</t>
  </si>
  <si>
    <t>TAMAN  MARGASATWA  RAGUNAN 2018 :</t>
  </si>
  <si>
    <t xml:space="preserve"> Taman  Satwa  Anak</t>
  </si>
  <si>
    <t xml:space="preserve"> PPS Hari Selasa-Jum'at Dewasa</t>
  </si>
  <si>
    <t xml:space="preserve"> PPS Hari Selasa-Jum'at Anak</t>
  </si>
  <si>
    <t xml:space="preserve"> Kuda  Tunggang</t>
  </si>
  <si>
    <t xml:space="preserve"> Romb PPS Hari Selasa-Jum'at Dewasa</t>
  </si>
  <si>
    <t xml:space="preserve"> Unta  Tunggang </t>
  </si>
  <si>
    <t xml:space="preserve"> Romb PPS Hari Selasa-Jum'at Anak</t>
  </si>
  <si>
    <t xml:space="preserve"> Gajah  Tunggang</t>
  </si>
  <si>
    <t xml:space="preserve">           PPS Hari Sabtu-Minggu/Libur Nasional Dewasa</t>
  </si>
  <si>
    <t xml:space="preserve"> Taman  Satwa  Anak  /  Pentas</t>
  </si>
  <si>
    <t xml:space="preserve">           PPS Hari Sabtu-Minggu/Libur Nasional Anak</t>
  </si>
  <si>
    <t xml:space="preserve">           Romb PPS Hari Sabtu-Minggu/Libur Nasional Dewasa</t>
  </si>
  <si>
    <t xml:space="preserve">           Romb PPS Hari Sabtu-Minggu/Libur Nasional Anak</t>
  </si>
  <si>
    <t>Taman Satwa Anak</t>
  </si>
  <si>
    <t>PPS Dewasa</t>
  </si>
  <si>
    <t>PPS Anak</t>
  </si>
  <si>
    <t>PPS Romb.Dewasa</t>
  </si>
  <si>
    <t>PPS Romb. Anak</t>
  </si>
  <si>
    <t>DATA RINCIAN PENDAPATAN E-TICKETING NEW GATE BULAN DESEMBER 2025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</si>
  <si>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</si>
  <si>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</si>
  <si>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</si>
  <si>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</si>
  <si>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</si>
  <si>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</si>
  <si>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</si>
  <si>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</si>
  <si>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</si>
  <si>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</si>
  <si>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</si>
  <si>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</si>
  <si>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RINCIAN PENDAPATAN E-TICKETING NEW GATE BULAN JANUARI 2026</t>
  </si>
  <si>
    <t>TANGGAL</t>
  </si>
  <si>
    <t>DATA RINCIAN PENDAPATAN E-TICKETING NEW GATE BULAN MARET 2026</t>
  </si>
  <si>
    <t xml:space="preserve"> </t>
  </si>
  <si>
    <t>DATA RINCIAN PENDAPATAN E-TICKETING NEW GATE BULAN APRIL 2026</t>
  </si>
  <si>
    <t>DATA RINCIAN PENDAPATAN E-TICKETING NEW GATE BULAN MEI 2026</t>
  </si>
  <si>
    <t>DATA RINCIAN PENDAPATAN E-TICKETING NEW GATE BULAN JUNI 2026</t>
  </si>
  <si>
    <t xml:space="preserve">   ,</t>
  </si>
  <si>
    <t>DATA RINCIAN PENDAPATAN E-TICKETING NEW GATE TAHUN 2026</t>
  </si>
  <si>
    <t>DATA RINCIAN PENDAPATAN E-TICKETING NEW GATE BULAN JULI 2026</t>
  </si>
  <si>
    <t>DATA RINCIAN PENDAPATAN E-TICKETING NEW GATE BULAN AGUSTUS 2026</t>
  </si>
  <si>
    <t>DATA RINCIAN PENDAPATAN E-TICKETING NEW GATE BULAN SEPTEMBER 2026</t>
  </si>
  <si>
    <t>DATA RINCIAN PENDAPATAN E-TICKETING NEW GATE BULAN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</si>
</sst>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_);_(* \(#,##0.00\);_(* &quot;-&quot;_);_(@_)"/>
  </numFmts>
  <fonts count="23" x14ac:knownFonts="1">
    <font>
      <sz val="12"/>
      <name val="Arial"/>
    </font>
    <font>
      <sz val="12"/>
      <name val="Arial"/>
      <family val="2"/>
    </font>
    <font>
      <sz val="8"/>
      <name val="Calibri"/>
      <family val="2"/>
    </font>
    <font>
      <b/>
      <sz val="8"/>
      <name val="Calibri"/>
      <family val="2"/>
    </font>
    <font>
      <i/>
      <sz val="8"/>
      <name val="Calibri"/>
      <family val="2"/>
    </font>
    <font>
      <b/>
      <i/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i/>
      <sz val="8"/>
      <name val="Calibri"/>
      <family val="2"/>
      <scheme val="minor"/>
    </font>
    <font>
      <i/>
      <sz val="8"/>
      <name val="Arial"/>
      <family val="2"/>
    </font>
    <font>
      <i/>
      <sz val="12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theme="1" tint="0.249977111117893"/>
      <name val="Arial"/>
      <family val="2"/>
    </font>
    <font>
      <sz val="12"/>
      <color theme="1"/>
      <name val="Arial"/>
      <family val="2"/>
    </font>
    <font>
      <b/>
      <i/>
      <sz val="8"/>
      <color rgb="FF7030A0"/>
      <name val="Calibri"/>
      <family val="2"/>
      <scheme val="minor"/>
    </font>
    <font>
      <b/>
      <i/>
      <sz val="8"/>
      <color theme="1" tint="0.249977111117893"/>
      <name val="Calibri"/>
      <family val="2"/>
    </font>
    <font>
      <b/>
      <i/>
      <sz val="8"/>
      <color rgb="FF7030A0"/>
      <name val="Arial"/>
      <family val="2"/>
    </font>
    <font>
      <b/>
      <i/>
      <sz val="12"/>
      <color rgb="FF7030A0"/>
      <name val="Arial"/>
      <family val="2"/>
    </font>
    <font>
      <sz val="12"/>
      <color theme="7" tint="0.59999389629810485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3">
    <xf numFmtId="0" fontId="0" fillId="0" borderId="0" xfId="0"/>
    <xf numFmtId="165" fontId="2" fillId="2" borderId="0" xfId="1" applyFont="1" applyFill="1"/>
    <xf numFmtId="164" fontId="2" fillId="2" borderId="0" xfId="2" applyFont="1" applyFill="1"/>
    <xf numFmtId="165" fontId="4" fillId="2" borderId="1" xfId="1" applyFont="1" applyFill="1" applyBorder="1"/>
    <xf numFmtId="165" fontId="4" fillId="2" borderId="0" xfId="1" applyFont="1" applyFill="1"/>
    <xf numFmtId="165" fontId="4" fillId="2" borderId="0" xfId="1" applyFont="1" applyFill="1" applyBorder="1"/>
    <xf numFmtId="164" fontId="4" fillId="2" borderId="0" xfId="2" applyFont="1" applyFill="1"/>
    <xf numFmtId="165" fontId="5" fillId="2" borderId="0" xfId="1" applyFont="1" applyFill="1"/>
    <xf numFmtId="165" fontId="3" fillId="2" borderId="0" xfId="1" applyFont="1" applyFill="1"/>
    <xf numFmtId="0" fontId="1" fillId="2" borderId="0" xfId="6" applyFill="1"/>
    <xf numFmtId="0" fontId="14" fillId="2" borderId="0" xfId="6" applyFont="1" applyFill="1"/>
    <xf numFmtId="0" fontId="10" fillId="2" borderId="0" xfId="6" applyFont="1" applyFill="1"/>
    <xf numFmtId="165" fontId="1" fillId="2" borderId="0" xfId="7" applyFont="1" applyFill="1"/>
    <xf numFmtId="164" fontId="2" fillId="2" borderId="0" xfId="8" applyFont="1" applyFill="1"/>
    <xf numFmtId="0" fontId="5" fillId="2" borderId="0" xfId="6" applyFont="1" applyFill="1"/>
    <xf numFmtId="0" fontId="6" fillId="2" borderId="0" xfId="6" applyFont="1" applyFill="1"/>
    <xf numFmtId="0" fontId="2" fillId="2" borderId="0" xfId="6" applyFont="1" applyFill="1"/>
    <xf numFmtId="0" fontId="7" fillId="2" borderId="0" xfId="6" applyFont="1" applyFill="1"/>
    <xf numFmtId="0" fontId="7" fillId="0" borderId="0" xfId="6" applyFont="1"/>
    <xf numFmtId="0" fontId="1" fillId="0" borderId="0" xfId="6"/>
    <xf numFmtId="164" fontId="5" fillId="2" borderId="0" xfId="2" applyFont="1" applyFill="1" applyBorder="1" applyAlignment="1">
      <alignment horizontal="center"/>
    </xf>
    <xf numFmtId="0" fontId="5" fillId="2" borderId="0" xfId="6" applyFont="1" applyFill="1" applyAlignment="1">
      <alignment horizontal="center"/>
    </xf>
    <xf numFmtId="0" fontId="8" fillId="2" borderId="0" xfId="6" applyFont="1" applyFill="1" applyAlignment="1">
      <alignment horizontal="center"/>
    </xf>
    <xf numFmtId="0" fontId="4" fillId="2" borderId="1" xfId="6" applyFont="1" applyFill="1" applyBorder="1"/>
    <xf numFmtId="0" fontId="9" fillId="2" borderId="0" xfId="6" applyFont="1" applyFill="1" applyAlignment="1">
      <alignment horizontal="center"/>
    </xf>
    <xf numFmtId="0" fontId="10" fillId="0" borderId="0" xfId="6" applyFont="1"/>
    <xf numFmtId="0" fontId="1" fillId="2" borderId="13" xfId="6" applyFill="1" applyBorder="1" applyAlignment="1">
      <alignment horizontal="center"/>
    </xf>
    <xf numFmtId="164" fontId="4" fillId="2" borderId="0" xfId="2" applyFont="1" applyFill="1" applyBorder="1"/>
    <xf numFmtId="0" fontId="8" fillId="2" borderId="0" xfId="6" applyFont="1" applyFill="1"/>
    <xf numFmtId="0" fontId="9" fillId="2" borderId="0" xfId="6" applyFont="1" applyFill="1"/>
    <xf numFmtId="0" fontId="9" fillId="0" borderId="0" xfId="6" applyFont="1"/>
    <xf numFmtId="0" fontId="1" fillId="0" borderId="5" xfId="6" applyBorder="1" applyAlignment="1">
      <alignment horizontal="center"/>
    </xf>
    <xf numFmtId="165" fontId="1" fillId="2" borderId="10" xfId="1" applyFont="1" applyFill="1" applyBorder="1"/>
    <xf numFmtId="165" fontId="1" fillId="5" borderId="10" xfId="1" applyFont="1" applyFill="1" applyBorder="1"/>
    <xf numFmtId="165" fontId="1" fillId="2" borderId="10" xfId="6" applyNumberFormat="1" applyFill="1" applyBorder="1"/>
    <xf numFmtId="164" fontId="1" fillId="2" borderId="10" xfId="2" applyFont="1" applyFill="1" applyBorder="1"/>
    <xf numFmtId="167" fontId="4" fillId="2" borderId="0" xfId="2" applyNumberFormat="1" applyFont="1" applyFill="1" applyBorder="1"/>
    <xf numFmtId="165" fontId="5" fillId="2" borderId="0" xfId="6" applyNumberFormat="1" applyFont="1" applyFill="1"/>
    <xf numFmtId="165" fontId="8" fillId="2" borderId="0" xfId="6" applyNumberFormat="1" applyFont="1" applyFill="1"/>
    <xf numFmtId="165" fontId="9" fillId="2" borderId="0" xfId="6" applyNumberFormat="1" applyFont="1" applyFill="1"/>
    <xf numFmtId="0" fontId="1" fillId="0" borderId="7" xfId="6" applyBorder="1" applyAlignment="1">
      <alignment horizontal="center"/>
    </xf>
    <xf numFmtId="165" fontId="1" fillId="2" borderId="7" xfId="1" applyFont="1" applyFill="1" applyBorder="1"/>
    <xf numFmtId="165" fontId="1" fillId="5" borderId="7" xfId="1" applyFont="1" applyFill="1" applyBorder="1"/>
    <xf numFmtId="165" fontId="15" fillId="2" borderId="2" xfId="1" applyFont="1" applyFill="1" applyBorder="1"/>
    <xf numFmtId="165" fontId="1" fillId="6" borderId="7" xfId="1" applyFont="1" applyFill="1" applyBorder="1"/>
    <xf numFmtId="165" fontId="16" fillId="6" borderId="7" xfId="1" applyFont="1" applyFill="1" applyBorder="1"/>
    <xf numFmtId="167" fontId="1" fillId="6" borderId="7" xfId="2" applyNumberFormat="1" applyFont="1" applyFill="1" applyBorder="1"/>
    <xf numFmtId="165" fontId="17" fillId="2" borderId="0" xfId="6" applyNumberFormat="1" applyFont="1" applyFill="1"/>
    <xf numFmtId="165" fontId="18" fillId="2" borderId="1" xfId="1" applyFont="1" applyFill="1" applyBorder="1"/>
    <xf numFmtId="0" fontId="19" fillId="0" borderId="0" xfId="6" applyFont="1"/>
    <xf numFmtId="0" fontId="20" fillId="0" borderId="0" xfId="6" applyFont="1"/>
    <xf numFmtId="165" fontId="1" fillId="7" borderId="7" xfId="1" applyFont="1" applyFill="1" applyBorder="1"/>
    <xf numFmtId="165" fontId="1" fillId="8" borderId="7" xfId="1" applyFont="1" applyFill="1" applyBorder="1"/>
    <xf numFmtId="165" fontId="16" fillId="8" borderId="7" xfId="1" applyFont="1" applyFill="1" applyBorder="1"/>
    <xf numFmtId="165" fontId="4" fillId="9" borderId="1" xfId="1" applyFont="1" applyFill="1" applyBorder="1"/>
    <xf numFmtId="165" fontId="1" fillId="8" borderId="15" xfId="1" applyFont="1" applyFill="1" applyBorder="1"/>
    <xf numFmtId="165" fontId="21" fillId="8" borderId="7" xfId="1" applyFont="1" applyFill="1" applyBorder="1"/>
    <xf numFmtId="165" fontId="16" fillId="2" borderId="7" xfId="1" applyFont="1" applyFill="1" applyBorder="1"/>
    <xf numFmtId="165" fontId="4" fillId="10" borderId="1" xfId="1" applyFont="1" applyFill="1" applyBorder="1"/>
    <xf numFmtId="165" fontId="1" fillId="2" borderId="15" xfId="1" applyFont="1" applyFill="1" applyBorder="1"/>
    <xf numFmtId="165" fontId="1" fillId="5" borderId="15" xfId="1" applyFont="1" applyFill="1" applyBorder="1"/>
    <xf numFmtId="165" fontId="1" fillId="2" borderId="16" xfId="1" applyFont="1" applyFill="1" applyBorder="1"/>
    <xf numFmtId="165" fontId="16" fillId="2" borderId="15" xfId="1" applyFont="1" applyFill="1" applyBorder="1"/>
    <xf numFmtId="0" fontId="10" fillId="3" borderId="13" xfId="6" applyFont="1" applyFill="1" applyBorder="1"/>
    <xf numFmtId="0" fontId="1" fillId="3" borderId="13" xfId="6" applyFill="1" applyBorder="1" applyAlignment="1">
      <alignment horizontal="left"/>
    </xf>
    <xf numFmtId="165" fontId="14" fillId="3" borderId="13" xfId="6" applyNumberFormat="1" applyFont="1" applyFill="1" applyBorder="1"/>
    <xf numFmtId="0" fontId="4" fillId="3" borderId="3" xfId="6" applyFont="1" applyFill="1" applyBorder="1" applyAlignment="1">
      <alignment horizontal="left"/>
    </xf>
    <xf numFmtId="0" fontId="10" fillId="3" borderId="0" xfId="6" applyFont="1" applyFill="1"/>
    <xf numFmtId="0" fontId="11" fillId="0" borderId="0" xfId="6" applyFont="1"/>
    <xf numFmtId="0" fontId="4" fillId="2" borderId="0" xfId="6" applyFont="1" applyFill="1"/>
    <xf numFmtId="0" fontId="4" fillId="0" borderId="0" xfId="6" applyFont="1"/>
    <xf numFmtId="0" fontId="4" fillId="2" borderId="4" xfId="6" applyFont="1" applyFill="1" applyBorder="1"/>
    <xf numFmtId="0" fontId="9" fillId="2" borderId="5" xfId="6" applyFont="1" applyFill="1" applyBorder="1"/>
    <xf numFmtId="166" fontId="5" fillId="2" borderId="0" xfId="6" applyNumberFormat="1" applyFont="1" applyFill="1"/>
    <xf numFmtId="0" fontId="4" fillId="0" borderId="6" xfId="6" applyFont="1" applyBorder="1"/>
    <xf numFmtId="164" fontId="9" fillId="2" borderId="7" xfId="6" applyNumberFormat="1" applyFont="1" applyFill="1" applyBorder="1"/>
    <xf numFmtId="165" fontId="9" fillId="0" borderId="0" xfId="6" applyNumberFormat="1" applyFont="1"/>
    <xf numFmtId="0" fontId="4" fillId="4" borderId="8" xfId="6" applyFont="1" applyFill="1" applyBorder="1"/>
    <xf numFmtId="0" fontId="4" fillId="2" borderId="18" xfId="6" applyFont="1" applyFill="1" applyBorder="1"/>
    <xf numFmtId="0" fontId="4" fillId="2" borderId="6" xfId="6" applyFont="1" applyFill="1" applyBorder="1"/>
    <xf numFmtId="0" fontId="9" fillId="2" borderId="9" xfId="6" applyFont="1" applyFill="1" applyBorder="1"/>
    <xf numFmtId="0" fontId="2" fillId="0" borderId="0" xfId="6" applyFont="1"/>
    <xf numFmtId="0" fontId="3" fillId="2" borderId="0" xfId="6" applyFont="1" applyFill="1"/>
    <xf numFmtId="164" fontId="1" fillId="2" borderId="15" xfId="2" applyFont="1" applyFill="1" applyBorder="1"/>
    <xf numFmtId="164" fontId="1" fillId="2" borderId="7" xfId="2" applyFont="1" applyFill="1" applyBorder="1"/>
    <xf numFmtId="0" fontId="1" fillId="2" borderId="17" xfId="6" applyFill="1" applyBorder="1"/>
    <xf numFmtId="0" fontId="1" fillId="2" borderId="1" xfId="6" applyFill="1" applyBorder="1" applyAlignment="1">
      <alignment horizontal="center"/>
    </xf>
    <xf numFmtId="164" fontId="14" fillId="2" borderId="1" xfId="2" applyFont="1" applyFill="1" applyBorder="1" applyAlignment="1">
      <alignment horizontal="center"/>
    </xf>
    <xf numFmtId="164" fontId="14" fillId="2" borderId="0" xfId="2" applyFont="1" applyFill="1" applyBorder="1" applyAlignment="1">
      <alignment horizontal="center"/>
    </xf>
    <xf numFmtId="0" fontId="14" fillId="2" borderId="0" xfId="6" applyFont="1" applyFill="1" applyAlignment="1">
      <alignment horizontal="center"/>
    </xf>
    <xf numFmtId="0" fontId="1" fillId="2" borderId="4" xfId="6" applyFill="1" applyBorder="1"/>
    <xf numFmtId="0" fontId="1" fillId="2" borderId="5" xfId="6" applyFill="1" applyBorder="1"/>
    <xf numFmtId="165" fontId="1" fillId="2" borderId="13" xfId="1" applyFont="1" applyFill="1" applyBorder="1"/>
    <xf numFmtId="164" fontId="1" fillId="2" borderId="13" xfId="2" applyFont="1" applyFill="1" applyBorder="1"/>
    <xf numFmtId="164" fontId="1" fillId="2" borderId="0" xfId="2" applyFont="1" applyFill="1" applyBorder="1"/>
    <xf numFmtId="166" fontId="14" fillId="2" borderId="0" xfId="6" applyNumberFormat="1" applyFont="1" applyFill="1"/>
    <xf numFmtId="0" fontId="1" fillId="0" borderId="6" xfId="6" applyBorder="1"/>
    <xf numFmtId="164" fontId="1" fillId="2" borderId="7" xfId="6" applyNumberFormat="1" applyFill="1" applyBorder="1"/>
    <xf numFmtId="165" fontId="1" fillId="0" borderId="0" xfId="6" applyNumberFormat="1"/>
    <xf numFmtId="165" fontId="1" fillId="2" borderId="1" xfId="1" applyFont="1" applyFill="1" applyBorder="1"/>
    <xf numFmtId="165" fontId="1" fillId="6" borderId="13" xfId="1" applyFont="1" applyFill="1" applyBorder="1"/>
    <xf numFmtId="0" fontId="1" fillId="4" borderId="8" xfId="6" applyFill="1" applyBorder="1"/>
    <xf numFmtId="0" fontId="1" fillId="2" borderId="18" xfId="6" applyFill="1" applyBorder="1"/>
    <xf numFmtId="0" fontId="1" fillId="2" borderId="6" xfId="6" applyFill="1" applyBorder="1"/>
    <xf numFmtId="165" fontId="1" fillId="8" borderId="13" xfId="1" applyFont="1" applyFill="1" applyBorder="1"/>
    <xf numFmtId="164" fontId="1" fillId="2" borderId="0" xfId="2" applyFont="1" applyFill="1"/>
    <xf numFmtId="0" fontId="1" fillId="2" borderId="9" xfId="6" applyFill="1" applyBorder="1"/>
    <xf numFmtId="167" fontId="13" fillId="2" borderId="0" xfId="2" applyNumberFormat="1" applyFont="1" applyFill="1" applyBorder="1"/>
    <xf numFmtId="165" fontId="22" fillId="2" borderId="0" xfId="6" applyNumberFormat="1" applyFont="1" applyFill="1"/>
    <xf numFmtId="164" fontId="13" fillId="2" borderId="0" xfId="2" applyFont="1" applyFill="1" applyBorder="1"/>
    <xf numFmtId="164" fontId="22" fillId="2" borderId="0" xfId="6" applyNumberFormat="1" applyFont="1" applyFill="1"/>
    <xf numFmtId="166" fontId="22" fillId="2" borderId="0" xfId="6" applyNumberFormat="1" applyFont="1" applyFill="1"/>
    <xf numFmtId="165" fontId="1" fillId="11" borderId="10" xfId="1" applyFont="1" applyFill="1" applyBorder="1"/>
    <xf numFmtId="165" fontId="1" fillId="11" borderId="7" xfId="1" applyFont="1" applyFill="1" applyBorder="1"/>
    <xf numFmtId="165" fontId="1" fillId="11" borderId="15" xfId="1" applyFont="1" applyFill="1" applyBorder="1"/>
    <xf numFmtId="0" fontId="1" fillId="2" borderId="0" xfId="6" applyFill="1" applyAlignment="1">
      <alignment horizontal="center"/>
    </xf>
    <xf numFmtId="0" fontId="1" fillId="0" borderId="10" xfId="6" applyBorder="1" applyAlignment="1">
      <alignment horizontal="center" vertical="center"/>
    </xf>
    <xf numFmtId="0" fontId="1" fillId="0" borderId="14" xfId="6" applyBorder="1" applyAlignment="1">
      <alignment horizontal="center" vertical="center"/>
    </xf>
    <xf numFmtId="0" fontId="1" fillId="2" borderId="10" xfId="6" applyFill="1" applyBorder="1" applyAlignment="1">
      <alignment horizontal="center" vertical="center"/>
    </xf>
    <xf numFmtId="0" fontId="1" fillId="2" borderId="14" xfId="6" applyFill="1" applyBorder="1" applyAlignment="1">
      <alignment horizontal="center" vertical="center"/>
    </xf>
    <xf numFmtId="0" fontId="1" fillId="2" borderId="11" xfId="6" applyFill="1" applyBorder="1" applyAlignment="1">
      <alignment horizontal="center"/>
    </xf>
    <xf numFmtId="0" fontId="1" fillId="2" borderId="12" xfId="6" applyFill="1" applyBorder="1" applyAlignment="1">
      <alignment horizontal="center"/>
    </xf>
    <xf numFmtId="164" fontId="1" fillId="2" borderId="13" xfId="8" applyFont="1" applyFill="1" applyBorder="1" applyAlignment="1">
      <alignment horizontal="center" vertical="center"/>
    </xf>
  </cellXfs>
  <cellStyles count="9">
    <cellStyle name="Comma" xfId="1" builtinId="3"/>
    <cellStyle name="Comma [0]" xfId="2" builtinId="6"/>
    <cellStyle name="Comma [0] 2" xfId="3" xr:uid="{00000000-0005-0000-0000-000002000000}"/>
    <cellStyle name="Comma [0] 2 2" xfId="8" xr:uid="{CFE8844D-F627-41F1-97C1-DBA5936F4605}"/>
    <cellStyle name="Comma 2" xfId="4" xr:uid="{00000000-0005-0000-0000-000003000000}"/>
    <cellStyle name="Comma 2 2" xfId="7" xr:uid="{3F0E7FA8-37DD-465E-8978-1CA8648F92FF}"/>
    <cellStyle name="Normal" xfId="0" builtinId="0"/>
    <cellStyle name="Normal 2" xfId="5" xr:uid="{00000000-0005-0000-0000-000005000000}"/>
    <cellStyle name="Normal 3" xfId="6" xr:uid="{02410765-7B4B-49FC-A1C4-079B985BB5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32FD-66C7-4D05-BC5E-9EE53A012AC1}">
  <dimension ref="A1:AO92"/>
  <sheetViews>
    <sheetView zoomScaleNormal="100" workbookViewId="0">
      <pane xSplit="2" topLeftCell="AF1" activePane="topRight" state="frozen"/>
      <selection pane="topRight" activeCell="AK5" sqref="AK5:AK22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3" width="15.77734375" style="1" customWidth="1"/>
    <col min="34" max="34" width="15.77734375" style="2" customWidth="1"/>
    <col min="35" max="35" width="10.5546875" style="2" customWidth="1"/>
    <col min="36" max="36" width="14.21875" style="2" customWidth="1"/>
    <col min="37" max="37" width="12.88671875" style="14" customWidth="1"/>
    <col min="38" max="38" width="13.109375" style="15" bestFit="1" customWidth="1"/>
    <col min="39" max="39" width="27.21875" style="16" customWidth="1"/>
    <col min="40" max="40" width="14.44140625" style="17" bestFit="1" customWidth="1"/>
    <col min="41" max="41" width="11.77734375" style="18" bestFit="1" customWidth="1"/>
    <col min="42" max="44" width="8.88671875" style="19"/>
    <col min="45" max="45" width="13.44140625" style="19" bestFit="1" customWidth="1"/>
    <col min="46" max="256" width="8.88671875" style="19"/>
    <col min="257" max="257" width="5.109375" style="19" customWidth="1"/>
    <col min="258" max="258" width="49.33203125" style="19" customWidth="1"/>
    <col min="259" max="290" width="15.77734375" style="19" customWidth="1"/>
    <col min="291" max="292" width="10.5546875" style="19" customWidth="1"/>
    <col min="293" max="293" width="11" style="19" customWidth="1"/>
    <col min="294" max="294" width="13.109375" style="19" bestFit="1" customWidth="1"/>
    <col min="295" max="295" width="27.21875" style="19" customWidth="1"/>
    <col min="296" max="296" width="14.44140625" style="19" bestFit="1" customWidth="1"/>
    <col min="297" max="297" width="11.77734375" style="19" bestFit="1" customWidth="1"/>
    <col min="298" max="300" width="8.88671875" style="19"/>
    <col min="301" max="301" width="13.44140625" style="19" bestFit="1" customWidth="1"/>
    <col min="302" max="512" width="8.88671875" style="19"/>
    <col min="513" max="513" width="5.109375" style="19" customWidth="1"/>
    <col min="514" max="514" width="49.33203125" style="19" customWidth="1"/>
    <col min="515" max="546" width="15.77734375" style="19" customWidth="1"/>
    <col min="547" max="548" width="10.5546875" style="19" customWidth="1"/>
    <col min="549" max="549" width="11" style="19" customWidth="1"/>
    <col min="550" max="550" width="13.109375" style="19" bestFit="1" customWidth="1"/>
    <col min="551" max="551" width="27.21875" style="19" customWidth="1"/>
    <col min="552" max="552" width="14.44140625" style="19" bestFit="1" customWidth="1"/>
    <col min="553" max="553" width="11.77734375" style="19" bestFit="1" customWidth="1"/>
    <col min="554" max="556" width="8.88671875" style="19"/>
    <col min="557" max="557" width="13.44140625" style="19" bestFit="1" customWidth="1"/>
    <col min="558" max="768" width="8.88671875" style="19"/>
    <col min="769" max="769" width="5.109375" style="19" customWidth="1"/>
    <col min="770" max="770" width="49.33203125" style="19" customWidth="1"/>
    <col min="771" max="802" width="15.77734375" style="19" customWidth="1"/>
    <col min="803" max="804" width="10.5546875" style="19" customWidth="1"/>
    <col min="805" max="805" width="11" style="19" customWidth="1"/>
    <col min="806" max="806" width="13.109375" style="19" bestFit="1" customWidth="1"/>
    <col min="807" max="807" width="27.21875" style="19" customWidth="1"/>
    <col min="808" max="808" width="14.44140625" style="19" bestFit="1" customWidth="1"/>
    <col min="809" max="809" width="11.77734375" style="19" bestFit="1" customWidth="1"/>
    <col min="810" max="812" width="8.88671875" style="19"/>
    <col min="813" max="813" width="13.44140625" style="19" bestFit="1" customWidth="1"/>
    <col min="814" max="1024" width="8.88671875" style="19"/>
    <col min="1025" max="1025" width="5.109375" style="19" customWidth="1"/>
    <col min="1026" max="1026" width="49.33203125" style="19" customWidth="1"/>
    <col min="1027" max="1058" width="15.77734375" style="19" customWidth="1"/>
    <col min="1059" max="1060" width="10.5546875" style="19" customWidth="1"/>
    <col min="1061" max="1061" width="11" style="19" customWidth="1"/>
    <col min="1062" max="1062" width="13.109375" style="19" bestFit="1" customWidth="1"/>
    <col min="1063" max="1063" width="27.21875" style="19" customWidth="1"/>
    <col min="1064" max="1064" width="14.44140625" style="19" bestFit="1" customWidth="1"/>
    <col min="1065" max="1065" width="11.77734375" style="19" bestFit="1" customWidth="1"/>
    <col min="1066" max="1068" width="8.88671875" style="19"/>
    <col min="1069" max="1069" width="13.44140625" style="19" bestFit="1" customWidth="1"/>
    <col min="1070" max="1280" width="8.88671875" style="19"/>
    <col min="1281" max="1281" width="5.109375" style="19" customWidth="1"/>
    <col min="1282" max="1282" width="49.33203125" style="19" customWidth="1"/>
    <col min="1283" max="1314" width="15.77734375" style="19" customWidth="1"/>
    <col min="1315" max="1316" width="10.5546875" style="19" customWidth="1"/>
    <col min="1317" max="1317" width="11" style="19" customWidth="1"/>
    <col min="1318" max="1318" width="13.109375" style="19" bestFit="1" customWidth="1"/>
    <col min="1319" max="1319" width="27.21875" style="19" customWidth="1"/>
    <col min="1320" max="1320" width="14.44140625" style="19" bestFit="1" customWidth="1"/>
    <col min="1321" max="1321" width="11.77734375" style="19" bestFit="1" customWidth="1"/>
    <col min="1322" max="1324" width="8.88671875" style="19"/>
    <col min="1325" max="1325" width="13.44140625" style="19" bestFit="1" customWidth="1"/>
    <col min="1326" max="1536" width="8.88671875" style="19"/>
    <col min="1537" max="1537" width="5.109375" style="19" customWidth="1"/>
    <col min="1538" max="1538" width="49.33203125" style="19" customWidth="1"/>
    <col min="1539" max="1570" width="15.77734375" style="19" customWidth="1"/>
    <col min="1571" max="1572" width="10.5546875" style="19" customWidth="1"/>
    <col min="1573" max="1573" width="11" style="19" customWidth="1"/>
    <col min="1574" max="1574" width="13.109375" style="19" bestFit="1" customWidth="1"/>
    <col min="1575" max="1575" width="27.21875" style="19" customWidth="1"/>
    <col min="1576" max="1576" width="14.44140625" style="19" bestFit="1" customWidth="1"/>
    <col min="1577" max="1577" width="11.77734375" style="19" bestFit="1" customWidth="1"/>
    <col min="1578" max="1580" width="8.88671875" style="19"/>
    <col min="1581" max="1581" width="13.44140625" style="19" bestFit="1" customWidth="1"/>
    <col min="1582" max="1792" width="8.88671875" style="19"/>
    <col min="1793" max="1793" width="5.109375" style="19" customWidth="1"/>
    <col min="1794" max="1794" width="49.33203125" style="19" customWidth="1"/>
    <col min="1795" max="1826" width="15.77734375" style="19" customWidth="1"/>
    <col min="1827" max="1828" width="10.5546875" style="19" customWidth="1"/>
    <col min="1829" max="1829" width="11" style="19" customWidth="1"/>
    <col min="1830" max="1830" width="13.109375" style="19" bestFit="1" customWidth="1"/>
    <col min="1831" max="1831" width="27.21875" style="19" customWidth="1"/>
    <col min="1832" max="1832" width="14.44140625" style="19" bestFit="1" customWidth="1"/>
    <col min="1833" max="1833" width="11.77734375" style="19" bestFit="1" customWidth="1"/>
    <col min="1834" max="1836" width="8.88671875" style="19"/>
    <col min="1837" max="1837" width="13.44140625" style="19" bestFit="1" customWidth="1"/>
    <col min="1838" max="2048" width="8.88671875" style="19"/>
    <col min="2049" max="2049" width="5.109375" style="19" customWidth="1"/>
    <col min="2050" max="2050" width="49.33203125" style="19" customWidth="1"/>
    <col min="2051" max="2082" width="15.77734375" style="19" customWidth="1"/>
    <col min="2083" max="2084" width="10.5546875" style="19" customWidth="1"/>
    <col min="2085" max="2085" width="11" style="19" customWidth="1"/>
    <col min="2086" max="2086" width="13.109375" style="19" bestFit="1" customWidth="1"/>
    <col min="2087" max="2087" width="27.21875" style="19" customWidth="1"/>
    <col min="2088" max="2088" width="14.44140625" style="19" bestFit="1" customWidth="1"/>
    <col min="2089" max="2089" width="11.77734375" style="19" bestFit="1" customWidth="1"/>
    <col min="2090" max="2092" width="8.88671875" style="19"/>
    <col min="2093" max="2093" width="13.44140625" style="19" bestFit="1" customWidth="1"/>
    <col min="2094" max="2304" width="8.88671875" style="19"/>
    <col min="2305" max="2305" width="5.109375" style="19" customWidth="1"/>
    <col min="2306" max="2306" width="49.33203125" style="19" customWidth="1"/>
    <col min="2307" max="2338" width="15.77734375" style="19" customWidth="1"/>
    <col min="2339" max="2340" width="10.5546875" style="19" customWidth="1"/>
    <col min="2341" max="2341" width="11" style="19" customWidth="1"/>
    <col min="2342" max="2342" width="13.109375" style="19" bestFit="1" customWidth="1"/>
    <col min="2343" max="2343" width="27.21875" style="19" customWidth="1"/>
    <col min="2344" max="2344" width="14.44140625" style="19" bestFit="1" customWidth="1"/>
    <col min="2345" max="2345" width="11.77734375" style="19" bestFit="1" customWidth="1"/>
    <col min="2346" max="2348" width="8.88671875" style="19"/>
    <col min="2349" max="2349" width="13.44140625" style="19" bestFit="1" customWidth="1"/>
    <col min="2350" max="2560" width="8.88671875" style="19"/>
    <col min="2561" max="2561" width="5.109375" style="19" customWidth="1"/>
    <col min="2562" max="2562" width="49.33203125" style="19" customWidth="1"/>
    <col min="2563" max="2594" width="15.77734375" style="19" customWidth="1"/>
    <col min="2595" max="2596" width="10.5546875" style="19" customWidth="1"/>
    <col min="2597" max="2597" width="11" style="19" customWidth="1"/>
    <col min="2598" max="2598" width="13.109375" style="19" bestFit="1" customWidth="1"/>
    <col min="2599" max="2599" width="27.21875" style="19" customWidth="1"/>
    <col min="2600" max="2600" width="14.44140625" style="19" bestFit="1" customWidth="1"/>
    <col min="2601" max="2601" width="11.77734375" style="19" bestFit="1" customWidth="1"/>
    <col min="2602" max="2604" width="8.88671875" style="19"/>
    <col min="2605" max="2605" width="13.44140625" style="19" bestFit="1" customWidth="1"/>
    <col min="2606" max="2816" width="8.88671875" style="19"/>
    <col min="2817" max="2817" width="5.109375" style="19" customWidth="1"/>
    <col min="2818" max="2818" width="49.33203125" style="19" customWidth="1"/>
    <col min="2819" max="2850" width="15.77734375" style="19" customWidth="1"/>
    <col min="2851" max="2852" width="10.5546875" style="19" customWidth="1"/>
    <col min="2853" max="2853" width="11" style="19" customWidth="1"/>
    <col min="2854" max="2854" width="13.109375" style="19" bestFit="1" customWidth="1"/>
    <col min="2855" max="2855" width="27.21875" style="19" customWidth="1"/>
    <col min="2856" max="2856" width="14.44140625" style="19" bestFit="1" customWidth="1"/>
    <col min="2857" max="2857" width="11.77734375" style="19" bestFit="1" customWidth="1"/>
    <col min="2858" max="2860" width="8.88671875" style="19"/>
    <col min="2861" max="2861" width="13.44140625" style="19" bestFit="1" customWidth="1"/>
    <col min="2862" max="3072" width="8.88671875" style="19"/>
    <col min="3073" max="3073" width="5.109375" style="19" customWidth="1"/>
    <col min="3074" max="3074" width="49.33203125" style="19" customWidth="1"/>
    <col min="3075" max="3106" width="15.77734375" style="19" customWidth="1"/>
    <col min="3107" max="3108" width="10.5546875" style="19" customWidth="1"/>
    <col min="3109" max="3109" width="11" style="19" customWidth="1"/>
    <col min="3110" max="3110" width="13.109375" style="19" bestFit="1" customWidth="1"/>
    <col min="3111" max="3111" width="27.21875" style="19" customWidth="1"/>
    <col min="3112" max="3112" width="14.44140625" style="19" bestFit="1" customWidth="1"/>
    <col min="3113" max="3113" width="11.77734375" style="19" bestFit="1" customWidth="1"/>
    <col min="3114" max="3116" width="8.88671875" style="19"/>
    <col min="3117" max="3117" width="13.44140625" style="19" bestFit="1" customWidth="1"/>
    <col min="3118" max="3328" width="8.88671875" style="19"/>
    <col min="3329" max="3329" width="5.109375" style="19" customWidth="1"/>
    <col min="3330" max="3330" width="49.33203125" style="19" customWidth="1"/>
    <col min="3331" max="3362" width="15.77734375" style="19" customWidth="1"/>
    <col min="3363" max="3364" width="10.5546875" style="19" customWidth="1"/>
    <col min="3365" max="3365" width="11" style="19" customWidth="1"/>
    <col min="3366" max="3366" width="13.109375" style="19" bestFit="1" customWidth="1"/>
    <col min="3367" max="3367" width="27.21875" style="19" customWidth="1"/>
    <col min="3368" max="3368" width="14.44140625" style="19" bestFit="1" customWidth="1"/>
    <col min="3369" max="3369" width="11.77734375" style="19" bestFit="1" customWidth="1"/>
    <col min="3370" max="3372" width="8.88671875" style="19"/>
    <col min="3373" max="3373" width="13.44140625" style="19" bestFit="1" customWidth="1"/>
    <col min="3374" max="3584" width="8.88671875" style="19"/>
    <col min="3585" max="3585" width="5.109375" style="19" customWidth="1"/>
    <col min="3586" max="3586" width="49.33203125" style="19" customWidth="1"/>
    <col min="3587" max="3618" width="15.77734375" style="19" customWidth="1"/>
    <col min="3619" max="3620" width="10.5546875" style="19" customWidth="1"/>
    <col min="3621" max="3621" width="11" style="19" customWidth="1"/>
    <col min="3622" max="3622" width="13.109375" style="19" bestFit="1" customWidth="1"/>
    <col min="3623" max="3623" width="27.21875" style="19" customWidth="1"/>
    <col min="3624" max="3624" width="14.44140625" style="19" bestFit="1" customWidth="1"/>
    <col min="3625" max="3625" width="11.77734375" style="19" bestFit="1" customWidth="1"/>
    <col min="3626" max="3628" width="8.88671875" style="19"/>
    <col min="3629" max="3629" width="13.44140625" style="19" bestFit="1" customWidth="1"/>
    <col min="3630" max="3840" width="8.88671875" style="19"/>
    <col min="3841" max="3841" width="5.109375" style="19" customWidth="1"/>
    <col min="3842" max="3842" width="49.33203125" style="19" customWidth="1"/>
    <col min="3843" max="3874" width="15.77734375" style="19" customWidth="1"/>
    <col min="3875" max="3876" width="10.5546875" style="19" customWidth="1"/>
    <col min="3877" max="3877" width="11" style="19" customWidth="1"/>
    <col min="3878" max="3878" width="13.109375" style="19" bestFit="1" customWidth="1"/>
    <col min="3879" max="3879" width="27.21875" style="19" customWidth="1"/>
    <col min="3880" max="3880" width="14.44140625" style="19" bestFit="1" customWidth="1"/>
    <col min="3881" max="3881" width="11.77734375" style="19" bestFit="1" customWidth="1"/>
    <col min="3882" max="3884" width="8.88671875" style="19"/>
    <col min="3885" max="3885" width="13.44140625" style="19" bestFit="1" customWidth="1"/>
    <col min="3886" max="4096" width="8.88671875" style="19"/>
    <col min="4097" max="4097" width="5.109375" style="19" customWidth="1"/>
    <col min="4098" max="4098" width="49.33203125" style="19" customWidth="1"/>
    <col min="4099" max="4130" width="15.77734375" style="19" customWidth="1"/>
    <col min="4131" max="4132" width="10.5546875" style="19" customWidth="1"/>
    <col min="4133" max="4133" width="11" style="19" customWidth="1"/>
    <col min="4134" max="4134" width="13.109375" style="19" bestFit="1" customWidth="1"/>
    <col min="4135" max="4135" width="27.21875" style="19" customWidth="1"/>
    <col min="4136" max="4136" width="14.44140625" style="19" bestFit="1" customWidth="1"/>
    <col min="4137" max="4137" width="11.77734375" style="19" bestFit="1" customWidth="1"/>
    <col min="4138" max="4140" width="8.88671875" style="19"/>
    <col min="4141" max="4141" width="13.44140625" style="19" bestFit="1" customWidth="1"/>
    <col min="4142" max="4352" width="8.88671875" style="19"/>
    <col min="4353" max="4353" width="5.109375" style="19" customWidth="1"/>
    <col min="4354" max="4354" width="49.33203125" style="19" customWidth="1"/>
    <col min="4355" max="4386" width="15.77734375" style="19" customWidth="1"/>
    <col min="4387" max="4388" width="10.5546875" style="19" customWidth="1"/>
    <col min="4389" max="4389" width="11" style="19" customWidth="1"/>
    <col min="4390" max="4390" width="13.109375" style="19" bestFit="1" customWidth="1"/>
    <col min="4391" max="4391" width="27.21875" style="19" customWidth="1"/>
    <col min="4392" max="4392" width="14.44140625" style="19" bestFit="1" customWidth="1"/>
    <col min="4393" max="4393" width="11.77734375" style="19" bestFit="1" customWidth="1"/>
    <col min="4394" max="4396" width="8.88671875" style="19"/>
    <col min="4397" max="4397" width="13.44140625" style="19" bestFit="1" customWidth="1"/>
    <col min="4398" max="4608" width="8.88671875" style="19"/>
    <col min="4609" max="4609" width="5.109375" style="19" customWidth="1"/>
    <col min="4610" max="4610" width="49.33203125" style="19" customWidth="1"/>
    <col min="4611" max="4642" width="15.77734375" style="19" customWidth="1"/>
    <col min="4643" max="4644" width="10.5546875" style="19" customWidth="1"/>
    <col min="4645" max="4645" width="11" style="19" customWidth="1"/>
    <col min="4646" max="4646" width="13.109375" style="19" bestFit="1" customWidth="1"/>
    <col min="4647" max="4647" width="27.21875" style="19" customWidth="1"/>
    <col min="4648" max="4648" width="14.44140625" style="19" bestFit="1" customWidth="1"/>
    <col min="4649" max="4649" width="11.77734375" style="19" bestFit="1" customWidth="1"/>
    <col min="4650" max="4652" width="8.88671875" style="19"/>
    <col min="4653" max="4653" width="13.44140625" style="19" bestFit="1" customWidth="1"/>
    <col min="4654" max="4864" width="8.88671875" style="19"/>
    <col min="4865" max="4865" width="5.109375" style="19" customWidth="1"/>
    <col min="4866" max="4866" width="49.33203125" style="19" customWidth="1"/>
    <col min="4867" max="4898" width="15.77734375" style="19" customWidth="1"/>
    <col min="4899" max="4900" width="10.5546875" style="19" customWidth="1"/>
    <col min="4901" max="4901" width="11" style="19" customWidth="1"/>
    <col min="4902" max="4902" width="13.109375" style="19" bestFit="1" customWidth="1"/>
    <col min="4903" max="4903" width="27.21875" style="19" customWidth="1"/>
    <col min="4904" max="4904" width="14.44140625" style="19" bestFit="1" customWidth="1"/>
    <col min="4905" max="4905" width="11.77734375" style="19" bestFit="1" customWidth="1"/>
    <col min="4906" max="4908" width="8.88671875" style="19"/>
    <col min="4909" max="4909" width="13.44140625" style="19" bestFit="1" customWidth="1"/>
    <col min="4910" max="5120" width="8.88671875" style="19"/>
    <col min="5121" max="5121" width="5.109375" style="19" customWidth="1"/>
    <col min="5122" max="5122" width="49.33203125" style="19" customWidth="1"/>
    <col min="5123" max="5154" width="15.77734375" style="19" customWidth="1"/>
    <col min="5155" max="5156" width="10.5546875" style="19" customWidth="1"/>
    <col min="5157" max="5157" width="11" style="19" customWidth="1"/>
    <col min="5158" max="5158" width="13.109375" style="19" bestFit="1" customWidth="1"/>
    <col min="5159" max="5159" width="27.21875" style="19" customWidth="1"/>
    <col min="5160" max="5160" width="14.44140625" style="19" bestFit="1" customWidth="1"/>
    <col min="5161" max="5161" width="11.77734375" style="19" bestFit="1" customWidth="1"/>
    <col min="5162" max="5164" width="8.88671875" style="19"/>
    <col min="5165" max="5165" width="13.44140625" style="19" bestFit="1" customWidth="1"/>
    <col min="5166" max="5376" width="8.88671875" style="19"/>
    <col min="5377" max="5377" width="5.109375" style="19" customWidth="1"/>
    <col min="5378" max="5378" width="49.33203125" style="19" customWidth="1"/>
    <col min="5379" max="5410" width="15.77734375" style="19" customWidth="1"/>
    <col min="5411" max="5412" width="10.5546875" style="19" customWidth="1"/>
    <col min="5413" max="5413" width="11" style="19" customWidth="1"/>
    <col min="5414" max="5414" width="13.109375" style="19" bestFit="1" customWidth="1"/>
    <col min="5415" max="5415" width="27.21875" style="19" customWidth="1"/>
    <col min="5416" max="5416" width="14.44140625" style="19" bestFit="1" customWidth="1"/>
    <col min="5417" max="5417" width="11.77734375" style="19" bestFit="1" customWidth="1"/>
    <col min="5418" max="5420" width="8.88671875" style="19"/>
    <col min="5421" max="5421" width="13.44140625" style="19" bestFit="1" customWidth="1"/>
    <col min="5422" max="5632" width="8.88671875" style="19"/>
    <col min="5633" max="5633" width="5.109375" style="19" customWidth="1"/>
    <col min="5634" max="5634" width="49.33203125" style="19" customWidth="1"/>
    <col min="5635" max="5666" width="15.77734375" style="19" customWidth="1"/>
    <col min="5667" max="5668" width="10.5546875" style="19" customWidth="1"/>
    <col min="5669" max="5669" width="11" style="19" customWidth="1"/>
    <col min="5670" max="5670" width="13.109375" style="19" bestFit="1" customWidth="1"/>
    <col min="5671" max="5671" width="27.21875" style="19" customWidth="1"/>
    <col min="5672" max="5672" width="14.44140625" style="19" bestFit="1" customWidth="1"/>
    <col min="5673" max="5673" width="11.77734375" style="19" bestFit="1" customWidth="1"/>
    <col min="5674" max="5676" width="8.88671875" style="19"/>
    <col min="5677" max="5677" width="13.44140625" style="19" bestFit="1" customWidth="1"/>
    <col min="5678" max="5888" width="8.88671875" style="19"/>
    <col min="5889" max="5889" width="5.109375" style="19" customWidth="1"/>
    <col min="5890" max="5890" width="49.33203125" style="19" customWidth="1"/>
    <col min="5891" max="5922" width="15.77734375" style="19" customWidth="1"/>
    <col min="5923" max="5924" width="10.5546875" style="19" customWidth="1"/>
    <col min="5925" max="5925" width="11" style="19" customWidth="1"/>
    <col min="5926" max="5926" width="13.109375" style="19" bestFit="1" customWidth="1"/>
    <col min="5927" max="5927" width="27.21875" style="19" customWidth="1"/>
    <col min="5928" max="5928" width="14.44140625" style="19" bestFit="1" customWidth="1"/>
    <col min="5929" max="5929" width="11.77734375" style="19" bestFit="1" customWidth="1"/>
    <col min="5930" max="5932" width="8.88671875" style="19"/>
    <col min="5933" max="5933" width="13.44140625" style="19" bestFit="1" customWidth="1"/>
    <col min="5934" max="6144" width="8.88671875" style="19"/>
    <col min="6145" max="6145" width="5.109375" style="19" customWidth="1"/>
    <col min="6146" max="6146" width="49.33203125" style="19" customWidth="1"/>
    <col min="6147" max="6178" width="15.77734375" style="19" customWidth="1"/>
    <col min="6179" max="6180" width="10.5546875" style="19" customWidth="1"/>
    <col min="6181" max="6181" width="11" style="19" customWidth="1"/>
    <col min="6182" max="6182" width="13.109375" style="19" bestFit="1" customWidth="1"/>
    <col min="6183" max="6183" width="27.21875" style="19" customWidth="1"/>
    <col min="6184" max="6184" width="14.44140625" style="19" bestFit="1" customWidth="1"/>
    <col min="6185" max="6185" width="11.77734375" style="19" bestFit="1" customWidth="1"/>
    <col min="6186" max="6188" width="8.88671875" style="19"/>
    <col min="6189" max="6189" width="13.44140625" style="19" bestFit="1" customWidth="1"/>
    <col min="6190" max="6400" width="8.88671875" style="19"/>
    <col min="6401" max="6401" width="5.109375" style="19" customWidth="1"/>
    <col min="6402" max="6402" width="49.33203125" style="19" customWidth="1"/>
    <col min="6403" max="6434" width="15.77734375" style="19" customWidth="1"/>
    <col min="6435" max="6436" width="10.5546875" style="19" customWidth="1"/>
    <col min="6437" max="6437" width="11" style="19" customWidth="1"/>
    <col min="6438" max="6438" width="13.109375" style="19" bestFit="1" customWidth="1"/>
    <col min="6439" max="6439" width="27.21875" style="19" customWidth="1"/>
    <col min="6440" max="6440" width="14.44140625" style="19" bestFit="1" customWidth="1"/>
    <col min="6441" max="6441" width="11.77734375" style="19" bestFit="1" customWidth="1"/>
    <col min="6442" max="6444" width="8.88671875" style="19"/>
    <col min="6445" max="6445" width="13.44140625" style="19" bestFit="1" customWidth="1"/>
    <col min="6446" max="6656" width="8.88671875" style="19"/>
    <col min="6657" max="6657" width="5.109375" style="19" customWidth="1"/>
    <col min="6658" max="6658" width="49.33203125" style="19" customWidth="1"/>
    <col min="6659" max="6690" width="15.77734375" style="19" customWidth="1"/>
    <col min="6691" max="6692" width="10.5546875" style="19" customWidth="1"/>
    <col min="6693" max="6693" width="11" style="19" customWidth="1"/>
    <col min="6694" max="6694" width="13.109375" style="19" bestFit="1" customWidth="1"/>
    <col min="6695" max="6695" width="27.21875" style="19" customWidth="1"/>
    <col min="6696" max="6696" width="14.44140625" style="19" bestFit="1" customWidth="1"/>
    <col min="6697" max="6697" width="11.77734375" style="19" bestFit="1" customWidth="1"/>
    <col min="6698" max="6700" width="8.88671875" style="19"/>
    <col min="6701" max="6701" width="13.44140625" style="19" bestFit="1" customWidth="1"/>
    <col min="6702" max="6912" width="8.88671875" style="19"/>
    <col min="6913" max="6913" width="5.109375" style="19" customWidth="1"/>
    <col min="6914" max="6914" width="49.33203125" style="19" customWidth="1"/>
    <col min="6915" max="6946" width="15.77734375" style="19" customWidth="1"/>
    <col min="6947" max="6948" width="10.5546875" style="19" customWidth="1"/>
    <col min="6949" max="6949" width="11" style="19" customWidth="1"/>
    <col min="6950" max="6950" width="13.109375" style="19" bestFit="1" customWidth="1"/>
    <col min="6951" max="6951" width="27.21875" style="19" customWidth="1"/>
    <col min="6952" max="6952" width="14.44140625" style="19" bestFit="1" customWidth="1"/>
    <col min="6953" max="6953" width="11.77734375" style="19" bestFit="1" customWidth="1"/>
    <col min="6954" max="6956" width="8.88671875" style="19"/>
    <col min="6957" max="6957" width="13.44140625" style="19" bestFit="1" customWidth="1"/>
    <col min="6958" max="7168" width="8.88671875" style="19"/>
    <col min="7169" max="7169" width="5.109375" style="19" customWidth="1"/>
    <col min="7170" max="7170" width="49.33203125" style="19" customWidth="1"/>
    <col min="7171" max="7202" width="15.77734375" style="19" customWidth="1"/>
    <col min="7203" max="7204" width="10.5546875" style="19" customWidth="1"/>
    <col min="7205" max="7205" width="11" style="19" customWidth="1"/>
    <col min="7206" max="7206" width="13.109375" style="19" bestFit="1" customWidth="1"/>
    <col min="7207" max="7207" width="27.21875" style="19" customWidth="1"/>
    <col min="7208" max="7208" width="14.44140625" style="19" bestFit="1" customWidth="1"/>
    <col min="7209" max="7209" width="11.77734375" style="19" bestFit="1" customWidth="1"/>
    <col min="7210" max="7212" width="8.88671875" style="19"/>
    <col min="7213" max="7213" width="13.44140625" style="19" bestFit="1" customWidth="1"/>
    <col min="7214" max="7424" width="8.88671875" style="19"/>
    <col min="7425" max="7425" width="5.109375" style="19" customWidth="1"/>
    <col min="7426" max="7426" width="49.33203125" style="19" customWidth="1"/>
    <col min="7427" max="7458" width="15.77734375" style="19" customWidth="1"/>
    <col min="7459" max="7460" width="10.5546875" style="19" customWidth="1"/>
    <col min="7461" max="7461" width="11" style="19" customWidth="1"/>
    <col min="7462" max="7462" width="13.109375" style="19" bestFit="1" customWidth="1"/>
    <col min="7463" max="7463" width="27.21875" style="19" customWidth="1"/>
    <col min="7464" max="7464" width="14.44140625" style="19" bestFit="1" customWidth="1"/>
    <col min="7465" max="7465" width="11.77734375" style="19" bestFit="1" customWidth="1"/>
    <col min="7466" max="7468" width="8.88671875" style="19"/>
    <col min="7469" max="7469" width="13.44140625" style="19" bestFit="1" customWidth="1"/>
    <col min="7470" max="7680" width="8.88671875" style="19"/>
    <col min="7681" max="7681" width="5.109375" style="19" customWidth="1"/>
    <col min="7682" max="7682" width="49.33203125" style="19" customWidth="1"/>
    <col min="7683" max="7714" width="15.77734375" style="19" customWidth="1"/>
    <col min="7715" max="7716" width="10.5546875" style="19" customWidth="1"/>
    <col min="7717" max="7717" width="11" style="19" customWidth="1"/>
    <col min="7718" max="7718" width="13.109375" style="19" bestFit="1" customWidth="1"/>
    <col min="7719" max="7719" width="27.21875" style="19" customWidth="1"/>
    <col min="7720" max="7720" width="14.44140625" style="19" bestFit="1" customWidth="1"/>
    <col min="7721" max="7721" width="11.77734375" style="19" bestFit="1" customWidth="1"/>
    <col min="7722" max="7724" width="8.88671875" style="19"/>
    <col min="7725" max="7725" width="13.44140625" style="19" bestFit="1" customWidth="1"/>
    <col min="7726" max="7936" width="8.88671875" style="19"/>
    <col min="7937" max="7937" width="5.109375" style="19" customWidth="1"/>
    <col min="7938" max="7938" width="49.33203125" style="19" customWidth="1"/>
    <col min="7939" max="7970" width="15.77734375" style="19" customWidth="1"/>
    <col min="7971" max="7972" width="10.5546875" style="19" customWidth="1"/>
    <col min="7973" max="7973" width="11" style="19" customWidth="1"/>
    <col min="7974" max="7974" width="13.109375" style="19" bestFit="1" customWidth="1"/>
    <col min="7975" max="7975" width="27.21875" style="19" customWidth="1"/>
    <col min="7976" max="7976" width="14.44140625" style="19" bestFit="1" customWidth="1"/>
    <col min="7977" max="7977" width="11.77734375" style="19" bestFit="1" customWidth="1"/>
    <col min="7978" max="7980" width="8.88671875" style="19"/>
    <col min="7981" max="7981" width="13.44140625" style="19" bestFit="1" customWidth="1"/>
    <col min="7982" max="8192" width="8.88671875" style="19"/>
    <col min="8193" max="8193" width="5.109375" style="19" customWidth="1"/>
    <col min="8194" max="8194" width="49.33203125" style="19" customWidth="1"/>
    <col min="8195" max="8226" width="15.77734375" style="19" customWidth="1"/>
    <col min="8227" max="8228" width="10.5546875" style="19" customWidth="1"/>
    <col min="8229" max="8229" width="11" style="19" customWidth="1"/>
    <col min="8230" max="8230" width="13.109375" style="19" bestFit="1" customWidth="1"/>
    <col min="8231" max="8231" width="27.21875" style="19" customWidth="1"/>
    <col min="8232" max="8232" width="14.44140625" style="19" bestFit="1" customWidth="1"/>
    <col min="8233" max="8233" width="11.77734375" style="19" bestFit="1" customWidth="1"/>
    <col min="8234" max="8236" width="8.88671875" style="19"/>
    <col min="8237" max="8237" width="13.44140625" style="19" bestFit="1" customWidth="1"/>
    <col min="8238" max="8448" width="8.88671875" style="19"/>
    <col min="8449" max="8449" width="5.109375" style="19" customWidth="1"/>
    <col min="8450" max="8450" width="49.33203125" style="19" customWidth="1"/>
    <col min="8451" max="8482" width="15.77734375" style="19" customWidth="1"/>
    <col min="8483" max="8484" width="10.5546875" style="19" customWidth="1"/>
    <col min="8485" max="8485" width="11" style="19" customWidth="1"/>
    <col min="8486" max="8486" width="13.109375" style="19" bestFit="1" customWidth="1"/>
    <col min="8487" max="8487" width="27.21875" style="19" customWidth="1"/>
    <col min="8488" max="8488" width="14.44140625" style="19" bestFit="1" customWidth="1"/>
    <col min="8489" max="8489" width="11.77734375" style="19" bestFit="1" customWidth="1"/>
    <col min="8490" max="8492" width="8.88671875" style="19"/>
    <col min="8493" max="8493" width="13.44140625" style="19" bestFit="1" customWidth="1"/>
    <col min="8494" max="8704" width="8.88671875" style="19"/>
    <col min="8705" max="8705" width="5.109375" style="19" customWidth="1"/>
    <col min="8706" max="8706" width="49.33203125" style="19" customWidth="1"/>
    <col min="8707" max="8738" width="15.77734375" style="19" customWidth="1"/>
    <col min="8739" max="8740" width="10.5546875" style="19" customWidth="1"/>
    <col min="8741" max="8741" width="11" style="19" customWidth="1"/>
    <col min="8742" max="8742" width="13.109375" style="19" bestFit="1" customWidth="1"/>
    <col min="8743" max="8743" width="27.21875" style="19" customWidth="1"/>
    <col min="8744" max="8744" width="14.44140625" style="19" bestFit="1" customWidth="1"/>
    <col min="8745" max="8745" width="11.77734375" style="19" bestFit="1" customWidth="1"/>
    <col min="8746" max="8748" width="8.88671875" style="19"/>
    <col min="8749" max="8749" width="13.44140625" style="19" bestFit="1" customWidth="1"/>
    <col min="8750" max="8960" width="8.88671875" style="19"/>
    <col min="8961" max="8961" width="5.109375" style="19" customWidth="1"/>
    <col min="8962" max="8962" width="49.33203125" style="19" customWidth="1"/>
    <col min="8963" max="8994" width="15.77734375" style="19" customWidth="1"/>
    <col min="8995" max="8996" width="10.5546875" style="19" customWidth="1"/>
    <col min="8997" max="8997" width="11" style="19" customWidth="1"/>
    <col min="8998" max="8998" width="13.109375" style="19" bestFit="1" customWidth="1"/>
    <col min="8999" max="8999" width="27.21875" style="19" customWidth="1"/>
    <col min="9000" max="9000" width="14.44140625" style="19" bestFit="1" customWidth="1"/>
    <col min="9001" max="9001" width="11.77734375" style="19" bestFit="1" customWidth="1"/>
    <col min="9002" max="9004" width="8.88671875" style="19"/>
    <col min="9005" max="9005" width="13.44140625" style="19" bestFit="1" customWidth="1"/>
    <col min="9006" max="9216" width="8.88671875" style="19"/>
    <col min="9217" max="9217" width="5.109375" style="19" customWidth="1"/>
    <col min="9218" max="9218" width="49.33203125" style="19" customWidth="1"/>
    <col min="9219" max="9250" width="15.77734375" style="19" customWidth="1"/>
    <col min="9251" max="9252" width="10.5546875" style="19" customWidth="1"/>
    <col min="9253" max="9253" width="11" style="19" customWidth="1"/>
    <col min="9254" max="9254" width="13.109375" style="19" bestFit="1" customWidth="1"/>
    <col min="9255" max="9255" width="27.21875" style="19" customWidth="1"/>
    <col min="9256" max="9256" width="14.44140625" style="19" bestFit="1" customWidth="1"/>
    <col min="9257" max="9257" width="11.77734375" style="19" bestFit="1" customWidth="1"/>
    <col min="9258" max="9260" width="8.88671875" style="19"/>
    <col min="9261" max="9261" width="13.44140625" style="19" bestFit="1" customWidth="1"/>
    <col min="9262" max="9472" width="8.88671875" style="19"/>
    <col min="9473" max="9473" width="5.109375" style="19" customWidth="1"/>
    <col min="9474" max="9474" width="49.33203125" style="19" customWidth="1"/>
    <col min="9475" max="9506" width="15.77734375" style="19" customWidth="1"/>
    <col min="9507" max="9508" width="10.5546875" style="19" customWidth="1"/>
    <col min="9509" max="9509" width="11" style="19" customWidth="1"/>
    <col min="9510" max="9510" width="13.109375" style="19" bestFit="1" customWidth="1"/>
    <col min="9511" max="9511" width="27.21875" style="19" customWidth="1"/>
    <col min="9512" max="9512" width="14.44140625" style="19" bestFit="1" customWidth="1"/>
    <col min="9513" max="9513" width="11.77734375" style="19" bestFit="1" customWidth="1"/>
    <col min="9514" max="9516" width="8.88671875" style="19"/>
    <col min="9517" max="9517" width="13.44140625" style="19" bestFit="1" customWidth="1"/>
    <col min="9518" max="9728" width="8.88671875" style="19"/>
    <col min="9729" max="9729" width="5.109375" style="19" customWidth="1"/>
    <col min="9730" max="9730" width="49.33203125" style="19" customWidth="1"/>
    <col min="9731" max="9762" width="15.77734375" style="19" customWidth="1"/>
    <col min="9763" max="9764" width="10.5546875" style="19" customWidth="1"/>
    <col min="9765" max="9765" width="11" style="19" customWidth="1"/>
    <col min="9766" max="9766" width="13.109375" style="19" bestFit="1" customWidth="1"/>
    <col min="9767" max="9767" width="27.21875" style="19" customWidth="1"/>
    <col min="9768" max="9768" width="14.44140625" style="19" bestFit="1" customWidth="1"/>
    <col min="9769" max="9769" width="11.77734375" style="19" bestFit="1" customWidth="1"/>
    <col min="9770" max="9772" width="8.88671875" style="19"/>
    <col min="9773" max="9773" width="13.44140625" style="19" bestFit="1" customWidth="1"/>
    <col min="9774" max="9984" width="8.88671875" style="19"/>
    <col min="9985" max="9985" width="5.109375" style="19" customWidth="1"/>
    <col min="9986" max="9986" width="49.33203125" style="19" customWidth="1"/>
    <col min="9987" max="10018" width="15.77734375" style="19" customWidth="1"/>
    <col min="10019" max="10020" width="10.5546875" style="19" customWidth="1"/>
    <col min="10021" max="10021" width="11" style="19" customWidth="1"/>
    <col min="10022" max="10022" width="13.109375" style="19" bestFit="1" customWidth="1"/>
    <col min="10023" max="10023" width="27.21875" style="19" customWidth="1"/>
    <col min="10024" max="10024" width="14.44140625" style="19" bestFit="1" customWidth="1"/>
    <col min="10025" max="10025" width="11.77734375" style="19" bestFit="1" customWidth="1"/>
    <col min="10026" max="10028" width="8.88671875" style="19"/>
    <col min="10029" max="10029" width="13.44140625" style="19" bestFit="1" customWidth="1"/>
    <col min="10030" max="10240" width="8.88671875" style="19"/>
    <col min="10241" max="10241" width="5.109375" style="19" customWidth="1"/>
    <col min="10242" max="10242" width="49.33203125" style="19" customWidth="1"/>
    <col min="10243" max="10274" width="15.77734375" style="19" customWidth="1"/>
    <col min="10275" max="10276" width="10.5546875" style="19" customWidth="1"/>
    <col min="10277" max="10277" width="11" style="19" customWidth="1"/>
    <col min="10278" max="10278" width="13.109375" style="19" bestFit="1" customWidth="1"/>
    <col min="10279" max="10279" width="27.21875" style="19" customWidth="1"/>
    <col min="10280" max="10280" width="14.44140625" style="19" bestFit="1" customWidth="1"/>
    <col min="10281" max="10281" width="11.77734375" style="19" bestFit="1" customWidth="1"/>
    <col min="10282" max="10284" width="8.88671875" style="19"/>
    <col min="10285" max="10285" width="13.44140625" style="19" bestFit="1" customWidth="1"/>
    <col min="10286" max="10496" width="8.88671875" style="19"/>
    <col min="10497" max="10497" width="5.109375" style="19" customWidth="1"/>
    <col min="10498" max="10498" width="49.33203125" style="19" customWidth="1"/>
    <col min="10499" max="10530" width="15.77734375" style="19" customWidth="1"/>
    <col min="10531" max="10532" width="10.5546875" style="19" customWidth="1"/>
    <col min="10533" max="10533" width="11" style="19" customWidth="1"/>
    <col min="10534" max="10534" width="13.109375" style="19" bestFit="1" customWidth="1"/>
    <col min="10535" max="10535" width="27.21875" style="19" customWidth="1"/>
    <col min="10536" max="10536" width="14.44140625" style="19" bestFit="1" customWidth="1"/>
    <col min="10537" max="10537" width="11.77734375" style="19" bestFit="1" customWidth="1"/>
    <col min="10538" max="10540" width="8.88671875" style="19"/>
    <col min="10541" max="10541" width="13.44140625" style="19" bestFit="1" customWidth="1"/>
    <col min="10542" max="10752" width="8.88671875" style="19"/>
    <col min="10753" max="10753" width="5.109375" style="19" customWidth="1"/>
    <col min="10754" max="10754" width="49.33203125" style="19" customWidth="1"/>
    <col min="10755" max="10786" width="15.77734375" style="19" customWidth="1"/>
    <col min="10787" max="10788" width="10.5546875" style="19" customWidth="1"/>
    <col min="10789" max="10789" width="11" style="19" customWidth="1"/>
    <col min="10790" max="10790" width="13.109375" style="19" bestFit="1" customWidth="1"/>
    <col min="10791" max="10791" width="27.21875" style="19" customWidth="1"/>
    <col min="10792" max="10792" width="14.44140625" style="19" bestFit="1" customWidth="1"/>
    <col min="10793" max="10793" width="11.77734375" style="19" bestFit="1" customWidth="1"/>
    <col min="10794" max="10796" width="8.88671875" style="19"/>
    <col min="10797" max="10797" width="13.44140625" style="19" bestFit="1" customWidth="1"/>
    <col min="10798" max="11008" width="8.88671875" style="19"/>
    <col min="11009" max="11009" width="5.109375" style="19" customWidth="1"/>
    <col min="11010" max="11010" width="49.33203125" style="19" customWidth="1"/>
    <col min="11011" max="11042" width="15.77734375" style="19" customWidth="1"/>
    <col min="11043" max="11044" width="10.5546875" style="19" customWidth="1"/>
    <col min="11045" max="11045" width="11" style="19" customWidth="1"/>
    <col min="11046" max="11046" width="13.109375" style="19" bestFit="1" customWidth="1"/>
    <col min="11047" max="11047" width="27.21875" style="19" customWidth="1"/>
    <col min="11048" max="11048" width="14.44140625" style="19" bestFit="1" customWidth="1"/>
    <col min="11049" max="11049" width="11.77734375" style="19" bestFit="1" customWidth="1"/>
    <col min="11050" max="11052" width="8.88671875" style="19"/>
    <col min="11053" max="11053" width="13.44140625" style="19" bestFit="1" customWidth="1"/>
    <col min="11054" max="11264" width="8.88671875" style="19"/>
    <col min="11265" max="11265" width="5.109375" style="19" customWidth="1"/>
    <col min="11266" max="11266" width="49.33203125" style="19" customWidth="1"/>
    <col min="11267" max="11298" width="15.77734375" style="19" customWidth="1"/>
    <col min="11299" max="11300" width="10.5546875" style="19" customWidth="1"/>
    <col min="11301" max="11301" width="11" style="19" customWidth="1"/>
    <col min="11302" max="11302" width="13.109375" style="19" bestFit="1" customWidth="1"/>
    <col min="11303" max="11303" width="27.21875" style="19" customWidth="1"/>
    <col min="11304" max="11304" width="14.44140625" style="19" bestFit="1" customWidth="1"/>
    <col min="11305" max="11305" width="11.77734375" style="19" bestFit="1" customWidth="1"/>
    <col min="11306" max="11308" width="8.88671875" style="19"/>
    <col min="11309" max="11309" width="13.44140625" style="19" bestFit="1" customWidth="1"/>
    <col min="11310" max="11520" width="8.88671875" style="19"/>
    <col min="11521" max="11521" width="5.109375" style="19" customWidth="1"/>
    <col min="11522" max="11522" width="49.33203125" style="19" customWidth="1"/>
    <col min="11523" max="11554" width="15.77734375" style="19" customWidth="1"/>
    <col min="11555" max="11556" width="10.5546875" style="19" customWidth="1"/>
    <col min="11557" max="11557" width="11" style="19" customWidth="1"/>
    <col min="11558" max="11558" width="13.109375" style="19" bestFit="1" customWidth="1"/>
    <col min="11559" max="11559" width="27.21875" style="19" customWidth="1"/>
    <col min="11560" max="11560" width="14.44140625" style="19" bestFit="1" customWidth="1"/>
    <col min="11561" max="11561" width="11.77734375" style="19" bestFit="1" customWidth="1"/>
    <col min="11562" max="11564" width="8.88671875" style="19"/>
    <col min="11565" max="11565" width="13.44140625" style="19" bestFit="1" customWidth="1"/>
    <col min="11566" max="11776" width="8.88671875" style="19"/>
    <col min="11777" max="11777" width="5.109375" style="19" customWidth="1"/>
    <col min="11778" max="11778" width="49.33203125" style="19" customWidth="1"/>
    <col min="11779" max="11810" width="15.77734375" style="19" customWidth="1"/>
    <col min="11811" max="11812" width="10.5546875" style="19" customWidth="1"/>
    <col min="11813" max="11813" width="11" style="19" customWidth="1"/>
    <col min="11814" max="11814" width="13.109375" style="19" bestFit="1" customWidth="1"/>
    <col min="11815" max="11815" width="27.21875" style="19" customWidth="1"/>
    <col min="11816" max="11816" width="14.44140625" style="19" bestFit="1" customWidth="1"/>
    <col min="11817" max="11817" width="11.77734375" style="19" bestFit="1" customWidth="1"/>
    <col min="11818" max="11820" width="8.88671875" style="19"/>
    <col min="11821" max="11821" width="13.44140625" style="19" bestFit="1" customWidth="1"/>
    <col min="11822" max="12032" width="8.88671875" style="19"/>
    <col min="12033" max="12033" width="5.109375" style="19" customWidth="1"/>
    <col min="12034" max="12034" width="49.33203125" style="19" customWidth="1"/>
    <col min="12035" max="12066" width="15.77734375" style="19" customWidth="1"/>
    <col min="12067" max="12068" width="10.5546875" style="19" customWidth="1"/>
    <col min="12069" max="12069" width="11" style="19" customWidth="1"/>
    <col min="12070" max="12070" width="13.109375" style="19" bestFit="1" customWidth="1"/>
    <col min="12071" max="12071" width="27.21875" style="19" customWidth="1"/>
    <col min="12072" max="12072" width="14.44140625" style="19" bestFit="1" customWidth="1"/>
    <col min="12073" max="12073" width="11.77734375" style="19" bestFit="1" customWidth="1"/>
    <col min="12074" max="12076" width="8.88671875" style="19"/>
    <col min="12077" max="12077" width="13.44140625" style="19" bestFit="1" customWidth="1"/>
    <col min="12078" max="12288" width="8.88671875" style="19"/>
    <col min="12289" max="12289" width="5.109375" style="19" customWidth="1"/>
    <col min="12290" max="12290" width="49.33203125" style="19" customWidth="1"/>
    <col min="12291" max="12322" width="15.77734375" style="19" customWidth="1"/>
    <col min="12323" max="12324" width="10.5546875" style="19" customWidth="1"/>
    <col min="12325" max="12325" width="11" style="19" customWidth="1"/>
    <col min="12326" max="12326" width="13.109375" style="19" bestFit="1" customWidth="1"/>
    <col min="12327" max="12327" width="27.21875" style="19" customWidth="1"/>
    <col min="12328" max="12328" width="14.44140625" style="19" bestFit="1" customWidth="1"/>
    <col min="12329" max="12329" width="11.77734375" style="19" bestFit="1" customWidth="1"/>
    <col min="12330" max="12332" width="8.88671875" style="19"/>
    <col min="12333" max="12333" width="13.44140625" style="19" bestFit="1" customWidth="1"/>
    <col min="12334" max="12544" width="8.88671875" style="19"/>
    <col min="12545" max="12545" width="5.109375" style="19" customWidth="1"/>
    <col min="12546" max="12546" width="49.33203125" style="19" customWidth="1"/>
    <col min="12547" max="12578" width="15.77734375" style="19" customWidth="1"/>
    <col min="12579" max="12580" width="10.5546875" style="19" customWidth="1"/>
    <col min="12581" max="12581" width="11" style="19" customWidth="1"/>
    <col min="12582" max="12582" width="13.109375" style="19" bestFit="1" customWidth="1"/>
    <col min="12583" max="12583" width="27.21875" style="19" customWidth="1"/>
    <col min="12584" max="12584" width="14.44140625" style="19" bestFit="1" customWidth="1"/>
    <col min="12585" max="12585" width="11.77734375" style="19" bestFit="1" customWidth="1"/>
    <col min="12586" max="12588" width="8.88671875" style="19"/>
    <col min="12589" max="12589" width="13.44140625" style="19" bestFit="1" customWidth="1"/>
    <col min="12590" max="12800" width="8.88671875" style="19"/>
    <col min="12801" max="12801" width="5.109375" style="19" customWidth="1"/>
    <col min="12802" max="12802" width="49.33203125" style="19" customWidth="1"/>
    <col min="12803" max="12834" width="15.77734375" style="19" customWidth="1"/>
    <col min="12835" max="12836" width="10.5546875" style="19" customWidth="1"/>
    <col min="12837" max="12837" width="11" style="19" customWidth="1"/>
    <col min="12838" max="12838" width="13.109375" style="19" bestFit="1" customWidth="1"/>
    <col min="12839" max="12839" width="27.21875" style="19" customWidth="1"/>
    <col min="12840" max="12840" width="14.44140625" style="19" bestFit="1" customWidth="1"/>
    <col min="12841" max="12841" width="11.77734375" style="19" bestFit="1" customWidth="1"/>
    <col min="12842" max="12844" width="8.88671875" style="19"/>
    <col min="12845" max="12845" width="13.44140625" style="19" bestFit="1" customWidth="1"/>
    <col min="12846" max="13056" width="8.88671875" style="19"/>
    <col min="13057" max="13057" width="5.109375" style="19" customWidth="1"/>
    <col min="13058" max="13058" width="49.33203125" style="19" customWidth="1"/>
    <col min="13059" max="13090" width="15.77734375" style="19" customWidth="1"/>
    <col min="13091" max="13092" width="10.5546875" style="19" customWidth="1"/>
    <col min="13093" max="13093" width="11" style="19" customWidth="1"/>
    <col min="13094" max="13094" width="13.109375" style="19" bestFit="1" customWidth="1"/>
    <col min="13095" max="13095" width="27.21875" style="19" customWidth="1"/>
    <col min="13096" max="13096" width="14.44140625" style="19" bestFit="1" customWidth="1"/>
    <col min="13097" max="13097" width="11.77734375" style="19" bestFit="1" customWidth="1"/>
    <col min="13098" max="13100" width="8.88671875" style="19"/>
    <col min="13101" max="13101" width="13.44140625" style="19" bestFit="1" customWidth="1"/>
    <col min="13102" max="13312" width="8.88671875" style="19"/>
    <col min="13313" max="13313" width="5.109375" style="19" customWidth="1"/>
    <col min="13314" max="13314" width="49.33203125" style="19" customWidth="1"/>
    <col min="13315" max="13346" width="15.77734375" style="19" customWidth="1"/>
    <col min="13347" max="13348" width="10.5546875" style="19" customWidth="1"/>
    <col min="13349" max="13349" width="11" style="19" customWidth="1"/>
    <col min="13350" max="13350" width="13.109375" style="19" bestFit="1" customWidth="1"/>
    <col min="13351" max="13351" width="27.21875" style="19" customWidth="1"/>
    <col min="13352" max="13352" width="14.44140625" style="19" bestFit="1" customWidth="1"/>
    <col min="13353" max="13353" width="11.77734375" style="19" bestFit="1" customWidth="1"/>
    <col min="13354" max="13356" width="8.88671875" style="19"/>
    <col min="13357" max="13357" width="13.44140625" style="19" bestFit="1" customWidth="1"/>
    <col min="13358" max="13568" width="8.88671875" style="19"/>
    <col min="13569" max="13569" width="5.109375" style="19" customWidth="1"/>
    <col min="13570" max="13570" width="49.33203125" style="19" customWidth="1"/>
    <col min="13571" max="13602" width="15.77734375" style="19" customWidth="1"/>
    <col min="13603" max="13604" width="10.5546875" style="19" customWidth="1"/>
    <col min="13605" max="13605" width="11" style="19" customWidth="1"/>
    <col min="13606" max="13606" width="13.109375" style="19" bestFit="1" customWidth="1"/>
    <col min="13607" max="13607" width="27.21875" style="19" customWidth="1"/>
    <col min="13608" max="13608" width="14.44140625" style="19" bestFit="1" customWidth="1"/>
    <col min="13609" max="13609" width="11.77734375" style="19" bestFit="1" customWidth="1"/>
    <col min="13610" max="13612" width="8.88671875" style="19"/>
    <col min="13613" max="13613" width="13.44140625" style="19" bestFit="1" customWidth="1"/>
    <col min="13614" max="13824" width="8.88671875" style="19"/>
    <col min="13825" max="13825" width="5.109375" style="19" customWidth="1"/>
    <col min="13826" max="13826" width="49.33203125" style="19" customWidth="1"/>
    <col min="13827" max="13858" width="15.77734375" style="19" customWidth="1"/>
    <col min="13859" max="13860" width="10.5546875" style="19" customWidth="1"/>
    <col min="13861" max="13861" width="11" style="19" customWidth="1"/>
    <col min="13862" max="13862" width="13.109375" style="19" bestFit="1" customWidth="1"/>
    <col min="13863" max="13863" width="27.21875" style="19" customWidth="1"/>
    <col min="13864" max="13864" width="14.44140625" style="19" bestFit="1" customWidth="1"/>
    <col min="13865" max="13865" width="11.77734375" style="19" bestFit="1" customWidth="1"/>
    <col min="13866" max="13868" width="8.88671875" style="19"/>
    <col min="13869" max="13869" width="13.44140625" style="19" bestFit="1" customWidth="1"/>
    <col min="13870" max="14080" width="8.88671875" style="19"/>
    <col min="14081" max="14081" width="5.109375" style="19" customWidth="1"/>
    <col min="14082" max="14082" width="49.33203125" style="19" customWidth="1"/>
    <col min="14083" max="14114" width="15.77734375" style="19" customWidth="1"/>
    <col min="14115" max="14116" width="10.5546875" style="19" customWidth="1"/>
    <col min="14117" max="14117" width="11" style="19" customWidth="1"/>
    <col min="14118" max="14118" width="13.109375" style="19" bestFit="1" customWidth="1"/>
    <col min="14119" max="14119" width="27.21875" style="19" customWidth="1"/>
    <col min="14120" max="14120" width="14.44140625" style="19" bestFit="1" customWidth="1"/>
    <col min="14121" max="14121" width="11.77734375" style="19" bestFit="1" customWidth="1"/>
    <col min="14122" max="14124" width="8.88671875" style="19"/>
    <col min="14125" max="14125" width="13.44140625" style="19" bestFit="1" customWidth="1"/>
    <col min="14126" max="14336" width="8.88671875" style="19"/>
    <col min="14337" max="14337" width="5.109375" style="19" customWidth="1"/>
    <col min="14338" max="14338" width="49.33203125" style="19" customWidth="1"/>
    <col min="14339" max="14370" width="15.77734375" style="19" customWidth="1"/>
    <col min="14371" max="14372" width="10.5546875" style="19" customWidth="1"/>
    <col min="14373" max="14373" width="11" style="19" customWidth="1"/>
    <col min="14374" max="14374" width="13.109375" style="19" bestFit="1" customWidth="1"/>
    <col min="14375" max="14375" width="27.21875" style="19" customWidth="1"/>
    <col min="14376" max="14376" width="14.44140625" style="19" bestFit="1" customWidth="1"/>
    <col min="14377" max="14377" width="11.77734375" style="19" bestFit="1" customWidth="1"/>
    <col min="14378" max="14380" width="8.88671875" style="19"/>
    <col min="14381" max="14381" width="13.44140625" style="19" bestFit="1" customWidth="1"/>
    <col min="14382" max="14592" width="8.88671875" style="19"/>
    <col min="14593" max="14593" width="5.109375" style="19" customWidth="1"/>
    <col min="14594" max="14594" width="49.33203125" style="19" customWidth="1"/>
    <col min="14595" max="14626" width="15.77734375" style="19" customWidth="1"/>
    <col min="14627" max="14628" width="10.5546875" style="19" customWidth="1"/>
    <col min="14629" max="14629" width="11" style="19" customWidth="1"/>
    <col min="14630" max="14630" width="13.109375" style="19" bestFit="1" customWidth="1"/>
    <col min="14631" max="14631" width="27.21875" style="19" customWidth="1"/>
    <col min="14632" max="14632" width="14.44140625" style="19" bestFit="1" customWidth="1"/>
    <col min="14633" max="14633" width="11.77734375" style="19" bestFit="1" customWidth="1"/>
    <col min="14634" max="14636" width="8.88671875" style="19"/>
    <col min="14637" max="14637" width="13.44140625" style="19" bestFit="1" customWidth="1"/>
    <col min="14638" max="14848" width="8.88671875" style="19"/>
    <col min="14849" max="14849" width="5.109375" style="19" customWidth="1"/>
    <col min="14850" max="14850" width="49.33203125" style="19" customWidth="1"/>
    <col min="14851" max="14882" width="15.77734375" style="19" customWidth="1"/>
    <col min="14883" max="14884" width="10.5546875" style="19" customWidth="1"/>
    <col min="14885" max="14885" width="11" style="19" customWidth="1"/>
    <col min="14886" max="14886" width="13.109375" style="19" bestFit="1" customWidth="1"/>
    <col min="14887" max="14887" width="27.21875" style="19" customWidth="1"/>
    <col min="14888" max="14888" width="14.44140625" style="19" bestFit="1" customWidth="1"/>
    <col min="14889" max="14889" width="11.77734375" style="19" bestFit="1" customWidth="1"/>
    <col min="14890" max="14892" width="8.88671875" style="19"/>
    <col min="14893" max="14893" width="13.44140625" style="19" bestFit="1" customWidth="1"/>
    <col min="14894" max="15104" width="8.88671875" style="19"/>
    <col min="15105" max="15105" width="5.109375" style="19" customWidth="1"/>
    <col min="15106" max="15106" width="49.33203125" style="19" customWidth="1"/>
    <col min="15107" max="15138" width="15.77734375" style="19" customWidth="1"/>
    <col min="15139" max="15140" width="10.5546875" style="19" customWidth="1"/>
    <col min="15141" max="15141" width="11" style="19" customWidth="1"/>
    <col min="15142" max="15142" width="13.109375" style="19" bestFit="1" customWidth="1"/>
    <col min="15143" max="15143" width="27.21875" style="19" customWidth="1"/>
    <col min="15144" max="15144" width="14.44140625" style="19" bestFit="1" customWidth="1"/>
    <col min="15145" max="15145" width="11.77734375" style="19" bestFit="1" customWidth="1"/>
    <col min="15146" max="15148" width="8.88671875" style="19"/>
    <col min="15149" max="15149" width="13.44140625" style="19" bestFit="1" customWidth="1"/>
    <col min="15150" max="15360" width="8.88671875" style="19"/>
    <col min="15361" max="15361" width="5.109375" style="19" customWidth="1"/>
    <col min="15362" max="15362" width="49.33203125" style="19" customWidth="1"/>
    <col min="15363" max="15394" width="15.77734375" style="19" customWidth="1"/>
    <col min="15395" max="15396" width="10.5546875" style="19" customWidth="1"/>
    <col min="15397" max="15397" width="11" style="19" customWidth="1"/>
    <col min="15398" max="15398" width="13.109375" style="19" bestFit="1" customWidth="1"/>
    <col min="15399" max="15399" width="27.21875" style="19" customWidth="1"/>
    <col min="15400" max="15400" width="14.44140625" style="19" bestFit="1" customWidth="1"/>
    <col min="15401" max="15401" width="11.77734375" style="19" bestFit="1" customWidth="1"/>
    <col min="15402" max="15404" width="8.88671875" style="19"/>
    <col min="15405" max="15405" width="13.44140625" style="19" bestFit="1" customWidth="1"/>
    <col min="15406" max="15616" width="8.88671875" style="19"/>
    <col min="15617" max="15617" width="5.109375" style="19" customWidth="1"/>
    <col min="15618" max="15618" width="49.33203125" style="19" customWidth="1"/>
    <col min="15619" max="15650" width="15.77734375" style="19" customWidth="1"/>
    <col min="15651" max="15652" width="10.5546875" style="19" customWidth="1"/>
    <col min="15653" max="15653" width="11" style="19" customWidth="1"/>
    <col min="15654" max="15654" width="13.109375" style="19" bestFit="1" customWidth="1"/>
    <col min="15655" max="15655" width="27.21875" style="19" customWidth="1"/>
    <col min="15656" max="15656" width="14.44140625" style="19" bestFit="1" customWidth="1"/>
    <col min="15657" max="15657" width="11.77734375" style="19" bestFit="1" customWidth="1"/>
    <col min="15658" max="15660" width="8.88671875" style="19"/>
    <col min="15661" max="15661" width="13.44140625" style="19" bestFit="1" customWidth="1"/>
    <col min="15662" max="15872" width="8.88671875" style="19"/>
    <col min="15873" max="15873" width="5.109375" style="19" customWidth="1"/>
    <col min="15874" max="15874" width="49.33203125" style="19" customWidth="1"/>
    <col min="15875" max="15906" width="15.77734375" style="19" customWidth="1"/>
    <col min="15907" max="15908" width="10.5546875" style="19" customWidth="1"/>
    <col min="15909" max="15909" width="11" style="19" customWidth="1"/>
    <col min="15910" max="15910" width="13.109375" style="19" bestFit="1" customWidth="1"/>
    <col min="15911" max="15911" width="27.21875" style="19" customWidth="1"/>
    <col min="15912" max="15912" width="14.44140625" style="19" bestFit="1" customWidth="1"/>
    <col min="15913" max="15913" width="11.77734375" style="19" bestFit="1" customWidth="1"/>
    <col min="15914" max="15916" width="8.88671875" style="19"/>
    <col min="15917" max="15917" width="13.44140625" style="19" bestFit="1" customWidth="1"/>
    <col min="15918" max="16128" width="8.88671875" style="19"/>
    <col min="16129" max="16129" width="5.109375" style="19" customWidth="1"/>
    <col min="16130" max="16130" width="49.33203125" style="19" customWidth="1"/>
    <col min="16131" max="16162" width="15.77734375" style="19" customWidth="1"/>
    <col min="16163" max="16164" width="10.5546875" style="19" customWidth="1"/>
    <col min="16165" max="16165" width="11" style="19" customWidth="1"/>
    <col min="16166" max="16166" width="13.109375" style="19" bestFit="1" customWidth="1"/>
    <col min="16167" max="16167" width="27.21875" style="19" customWidth="1"/>
    <col min="16168" max="16168" width="14.44140625" style="19" bestFit="1" customWidth="1"/>
    <col min="16169" max="16169" width="11.77734375" style="19" bestFit="1" customWidth="1"/>
    <col min="16170" max="16172" width="8.88671875" style="19"/>
    <col min="16173" max="16173" width="13.44140625" style="19" bestFit="1" customWidth="1"/>
    <col min="16174" max="16384" width="8.88671875" style="19"/>
  </cols>
  <sheetData>
    <row r="1" spans="1:41" ht="15.75" customHeight="1" x14ac:dyDescent="0.2">
      <c r="A1" s="115" t="s">
        <v>51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41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41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1"/>
      <c r="AH3" s="122" t="s">
        <v>18</v>
      </c>
      <c r="AI3" s="20"/>
      <c r="AJ3" s="20"/>
      <c r="AK3" s="21"/>
      <c r="AL3" s="22"/>
      <c r="AM3" s="23" t="s">
        <v>0</v>
      </c>
      <c r="AN3" s="24"/>
      <c r="AO3" s="24"/>
    </row>
    <row r="4" spans="1:41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26">
        <v>31</v>
      </c>
      <c r="AH4" s="122"/>
      <c r="AI4" s="27"/>
      <c r="AJ4" s="27"/>
      <c r="AK4" s="14"/>
      <c r="AL4" s="28"/>
      <c r="AM4" s="23" t="s">
        <v>19</v>
      </c>
      <c r="AN4" s="29"/>
      <c r="AO4" s="30"/>
    </row>
    <row r="5" spans="1:41" s="25" customFormat="1" ht="18" customHeight="1" x14ac:dyDescent="0.2">
      <c r="A5" s="31">
        <v>1</v>
      </c>
      <c r="B5" s="32" t="s">
        <v>2</v>
      </c>
      <c r="C5" s="32">
        <v>107284000</v>
      </c>
      <c r="D5" s="32">
        <v>11396000</v>
      </c>
      <c r="E5" s="32">
        <v>40336000</v>
      </c>
      <c r="F5" s="34">
        <v>47272000</v>
      </c>
      <c r="G5" s="33"/>
      <c r="H5" s="32">
        <v>16256000</v>
      </c>
      <c r="I5" s="32">
        <v>12688000</v>
      </c>
      <c r="J5" s="32">
        <v>12724000</v>
      </c>
      <c r="K5" s="32">
        <v>7912000</v>
      </c>
      <c r="L5" s="32">
        <v>28672000</v>
      </c>
      <c r="M5" s="32">
        <v>24328000</v>
      </c>
      <c r="N5" s="33"/>
      <c r="O5" s="32">
        <v>3904000</v>
      </c>
      <c r="P5" s="32">
        <v>2456000</v>
      </c>
      <c r="Q5" s="32">
        <v>2980000</v>
      </c>
      <c r="R5" s="32">
        <v>21600000</v>
      </c>
      <c r="S5" s="32">
        <v>20612000</v>
      </c>
      <c r="T5" s="32">
        <v>14740000</v>
      </c>
      <c r="U5" s="33"/>
      <c r="V5" s="32">
        <v>3720000</v>
      </c>
      <c r="W5" s="32">
        <v>1516000</v>
      </c>
      <c r="X5" s="32">
        <v>4900000</v>
      </c>
      <c r="Y5" s="32">
        <v>648000</v>
      </c>
      <c r="Z5" s="32">
        <v>5656000</v>
      </c>
      <c r="AA5" s="32">
        <v>18236000</v>
      </c>
      <c r="AB5" s="33"/>
      <c r="AC5" s="32">
        <v>3812000</v>
      </c>
      <c r="AD5" s="32">
        <v>3292000</v>
      </c>
      <c r="AE5" s="32">
        <v>1124000</v>
      </c>
      <c r="AF5" s="32">
        <v>2032000</v>
      </c>
      <c r="AG5" s="32">
        <v>11144000</v>
      </c>
      <c r="AH5" s="35">
        <f>SUM(C5:AG5)</f>
        <v>431240000</v>
      </c>
      <c r="AI5" s="107">
        <f>AH5/4000</f>
        <v>107810</v>
      </c>
      <c r="AJ5" s="109">
        <v>180664000</v>
      </c>
      <c r="AK5" s="111">
        <f>AH5+AJ5</f>
        <v>611904000</v>
      </c>
      <c r="AL5" s="38"/>
      <c r="AM5" s="3" t="s">
        <v>2</v>
      </c>
      <c r="AN5" s="39">
        <f t="shared" ref="AN5:AN23" si="0">AH5</f>
        <v>431240000</v>
      </c>
      <c r="AO5" s="30"/>
    </row>
    <row r="6" spans="1:41" s="25" customFormat="1" ht="18" customHeight="1" x14ac:dyDescent="0.2">
      <c r="A6" s="40">
        <v>2</v>
      </c>
      <c r="B6" s="41" t="s">
        <v>3</v>
      </c>
      <c r="C6" s="41">
        <v>32190000</v>
      </c>
      <c r="D6" s="41">
        <v>3270000</v>
      </c>
      <c r="E6" s="41">
        <v>11874000</v>
      </c>
      <c r="F6" s="41">
        <v>13116000</v>
      </c>
      <c r="G6" s="42"/>
      <c r="H6" s="41">
        <v>5001000</v>
      </c>
      <c r="I6" s="41">
        <v>3504000</v>
      </c>
      <c r="J6" s="41">
        <v>3672000</v>
      </c>
      <c r="K6" s="41">
        <v>1974000</v>
      </c>
      <c r="L6" s="41">
        <v>7290000</v>
      </c>
      <c r="M6" s="41">
        <v>5511000</v>
      </c>
      <c r="N6" s="42"/>
      <c r="O6" s="41">
        <v>564000</v>
      </c>
      <c r="P6" s="41">
        <v>294000</v>
      </c>
      <c r="Q6" s="41">
        <v>399000</v>
      </c>
      <c r="R6" s="41">
        <v>4179000</v>
      </c>
      <c r="S6" s="41">
        <v>4497000</v>
      </c>
      <c r="T6" s="41">
        <v>3168000</v>
      </c>
      <c r="U6" s="42"/>
      <c r="V6" s="41">
        <v>459000</v>
      </c>
      <c r="W6" s="41">
        <v>198000</v>
      </c>
      <c r="X6" s="41">
        <v>408000</v>
      </c>
      <c r="Y6" s="41">
        <v>111000</v>
      </c>
      <c r="Z6" s="41">
        <v>846000</v>
      </c>
      <c r="AA6" s="41">
        <v>3693000</v>
      </c>
      <c r="AB6" s="42"/>
      <c r="AC6" s="41">
        <v>504000</v>
      </c>
      <c r="AD6" s="41">
        <v>360000</v>
      </c>
      <c r="AE6" s="41">
        <v>123000</v>
      </c>
      <c r="AF6" s="41">
        <v>207000</v>
      </c>
      <c r="AG6" s="41">
        <v>2022000</v>
      </c>
      <c r="AH6" s="84">
        <f t="shared" ref="AH6:AH22" si="1">SUM(C6:AG6)</f>
        <v>109434000</v>
      </c>
      <c r="AI6" s="107">
        <f>AH6/3000</f>
        <v>36478</v>
      </c>
      <c r="AJ6" s="109">
        <v>33786000</v>
      </c>
      <c r="AK6" s="111">
        <f t="shared" ref="AK6:AK22" si="2">AH6+AJ6</f>
        <v>143220000</v>
      </c>
      <c r="AL6" s="38"/>
      <c r="AM6" s="3" t="s">
        <v>3</v>
      </c>
      <c r="AN6" s="39">
        <f t="shared" si="0"/>
        <v>109434000</v>
      </c>
      <c r="AO6" s="30"/>
    </row>
    <row r="7" spans="1:41" s="25" customFormat="1" ht="18" customHeight="1" x14ac:dyDescent="0.2">
      <c r="A7" s="40">
        <v>3</v>
      </c>
      <c r="B7" s="41" t="s">
        <v>4</v>
      </c>
      <c r="C7" s="41"/>
      <c r="D7" s="41"/>
      <c r="E7" s="41"/>
      <c r="F7" s="41"/>
      <c r="G7" s="42"/>
      <c r="H7" s="41"/>
      <c r="I7" s="41"/>
      <c r="J7" s="41"/>
      <c r="K7" s="41"/>
      <c r="L7" s="41"/>
      <c r="M7" s="41"/>
      <c r="N7" s="42"/>
      <c r="O7" s="41"/>
      <c r="P7" s="41"/>
      <c r="Q7" s="41"/>
      <c r="R7" s="41"/>
      <c r="S7" s="41"/>
      <c r="T7" s="41"/>
      <c r="U7" s="42"/>
      <c r="V7" s="41"/>
      <c r="W7" s="41"/>
      <c r="X7" s="41"/>
      <c r="Y7" s="41"/>
      <c r="Z7" s="41"/>
      <c r="AA7" s="41"/>
      <c r="AB7" s="42"/>
      <c r="AC7" s="41"/>
      <c r="AD7" s="41"/>
      <c r="AE7" s="41"/>
      <c r="AF7" s="41"/>
      <c r="AG7" s="41"/>
      <c r="AH7" s="84">
        <f t="shared" si="1"/>
        <v>0</v>
      </c>
      <c r="AI7" s="107">
        <f>AH7/3000</f>
        <v>0</v>
      </c>
      <c r="AJ7" s="109"/>
      <c r="AK7" s="111">
        <f t="shared" si="2"/>
        <v>0</v>
      </c>
      <c r="AL7" s="38"/>
      <c r="AM7" s="3" t="s">
        <v>4</v>
      </c>
      <c r="AN7" s="39">
        <f t="shared" si="0"/>
        <v>0</v>
      </c>
      <c r="AO7" s="30"/>
    </row>
    <row r="8" spans="1:41" s="25" customFormat="1" ht="18" customHeight="1" x14ac:dyDescent="0.2">
      <c r="A8" s="40">
        <v>4</v>
      </c>
      <c r="B8" s="41" t="s">
        <v>5</v>
      </c>
      <c r="C8" s="41"/>
      <c r="D8" s="41"/>
      <c r="E8" s="41"/>
      <c r="F8" s="41"/>
      <c r="G8" s="42"/>
      <c r="H8" s="41"/>
      <c r="I8" s="41"/>
      <c r="J8" s="41"/>
      <c r="K8" s="41"/>
      <c r="L8" s="41"/>
      <c r="M8" s="41"/>
      <c r="N8" s="42"/>
      <c r="O8" s="41"/>
      <c r="P8" s="41"/>
      <c r="Q8" s="41"/>
      <c r="R8" s="41"/>
      <c r="S8" s="41"/>
      <c r="T8" s="41"/>
      <c r="U8" s="42"/>
      <c r="V8" s="41"/>
      <c r="W8" s="41"/>
      <c r="X8" s="41"/>
      <c r="Y8" s="41"/>
      <c r="Z8" s="41"/>
      <c r="AA8" s="41"/>
      <c r="AB8" s="42"/>
      <c r="AC8" s="41"/>
      <c r="AD8" s="41"/>
      <c r="AE8" s="41"/>
      <c r="AF8" s="41"/>
      <c r="AG8" s="41"/>
      <c r="AH8" s="84">
        <f t="shared" si="1"/>
        <v>0</v>
      </c>
      <c r="AI8" s="107">
        <f>AH8/2250</f>
        <v>0</v>
      </c>
      <c r="AJ8" s="109"/>
      <c r="AK8" s="111">
        <f t="shared" si="2"/>
        <v>0</v>
      </c>
      <c r="AL8" s="38"/>
      <c r="AM8" s="3" t="s">
        <v>5</v>
      </c>
      <c r="AN8" s="39">
        <f t="shared" si="0"/>
        <v>0</v>
      </c>
      <c r="AO8" s="30"/>
    </row>
    <row r="9" spans="1:41" s="25" customFormat="1" ht="18" customHeight="1" x14ac:dyDescent="0.2">
      <c r="A9" s="40">
        <v>5</v>
      </c>
      <c r="B9" s="43" t="s">
        <v>20</v>
      </c>
      <c r="C9" s="41">
        <v>3047500</v>
      </c>
      <c r="D9" s="41">
        <v>445000</v>
      </c>
      <c r="E9" s="41">
        <v>687500</v>
      </c>
      <c r="F9" s="41">
        <v>1157500</v>
      </c>
      <c r="G9" s="42"/>
      <c r="H9" s="41">
        <v>165000</v>
      </c>
      <c r="I9" s="41">
        <v>117500</v>
      </c>
      <c r="J9" s="41">
        <v>110000</v>
      </c>
      <c r="K9" s="41">
        <v>40000</v>
      </c>
      <c r="L9" s="41">
        <v>1087500</v>
      </c>
      <c r="M9" s="41">
        <v>662500</v>
      </c>
      <c r="N9" s="42"/>
      <c r="O9" s="41">
        <v>92500</v>
      </c>
      <c r="P9" s="41">
        <v>17500</v>
      </c>
      <c r="Q9" s="41">
        <v>57500</v>
      </c>
      <c r="R9" s="41">
        <v>417500</v>
      </c>
      <c r="S9" s="41">
        <v>290000</v>
      </c>
      <c r="T9" s="41">
        <v>392500</v>
      </c>
      <c r="U9" s="42"/>
      <c r="V9" s="41">
        <v>62500</v>
      </c>
      <c r="W9" s="41">
        <v>17500</v>
      </c>
      <c r="X9" s="41">
        <v>10000</v>
      </c>
      <c r="Y9" s="41"/>
      <c r="Z9" s="41">
        <v>30000</v>
      </c>
      <c r="AA9" s="41">
        <v>380000</v>
      </c>
      <c r="AB9" s="42"/>
      <c r="AC9" s="41">
        <v>17500</v>
      </c>
      <c r="AD9" s="41">
        <v>47500</v>
      </c>
      <c r="AE9" s="41"/>
      <c r="AF9" s="41">
        <v>25000</v>
      </c>
      <c r="AG9" s="41">
        <v>322500</v>
      </c>
      <c r="AH9" s="84">
        <f t="shared" si="1"/>
        <v>9700000</v>
      </c>
      <c r="AI9" s="107">
        <f>AH9/2500</f>
        <v>3880</v>
      </c>
      <c r="AJ9" s="109">
        <v>19400000</v>
      </c>
      <c r="AK9" s="111">
        <f t="shared" si="2"/>
        <v>29100000</v>
      </c>
      <c r="AL9" s="38"/>
      <c r="AM9" s="3"/>
      <c r="AN9" s="39"/>
      <c r="AO9" s="30"/>
    </row>
    <row r="10" spans="1:41" s="25" customFormat="1" ht="18" customHeight="1" x14ac:dyDescent="0.2">
      <c r="A10" s="40">
        <v>6</v>
      </c>
      <c r="B10" s="44" t="s">
        <v>21</v>
      </c>
      <c r="C10" s="44"/>
      <c r="D10" s="44">
        <v>5976000</v>
      </c>
      <c r="E10" s="44"/>
      <c r="F10" s="44"/>
      <c r="G10" s="42"/>
      <c r="H10" s="44">
        <v>3288000</v>
      </c>
      <c r="I10" s="44">
        <v>2694000</v>
      </c>
      <c r="J10" s="44">
        <v>2322000</v>
      </c>
      <c r="K10" s="44">
        <v>996000</v>
      </c>
      <c r="L10" s="44"/>
      <c r="M10" s="44"/>
      <c r="N10" s="42"/>
      <c r="O10" s="45">
        <v>498000</v>
      </c>
      <c r="P10" s="44">
        <v>300000</v>
      </c>
      <c r="Q10" s="44">
        <v>390000</v>
      </c>
      <c r="R10" s="44"/>
      <c r="S10" s="44"/>
      <c r="T10" s="44"/>
      <c r="U10" s="42"/>
      <c r="V10" s="44">
        <v>738000</v>
      </c>
      <c r="W10" s="44">
        <v>390000</v>
      </c>
      <c r="X10" s="44">
        <v>216000</v>
      </c>
      <c r="Y10" s="44">
        <v>66000</v>
      </c>
      <c r="Z10" s="44"/>
      <c r="AA10" s="44"/>
      <c r="AB10" s="42"/>
      <c r="AC10" s="44">
        <v>558000</v>
      </c>
      <c r="AD10" s="44">
        <v>462000</v>
      </c>
      <c r="AE10" s="44">
        <v>342000</v>
      </c>
      <c r="AF10" s="44">
        <v>264000</v>
      </c>
      <c r="AG10" s="44"/>
      <c r="AH10" s="84">
        <f t="shared" si="1"/>
        <v>19500000</v>
      </c>
      <c r="AI10" s="107">
        <f>AH10/6000</f>
        <v>3250</v>
      </c>
      <c r="AJ10" s="109">
        <v>22992000</v>
      </c>
      <c r="AK10" s="111">
        <f t="shared" si="2"/>
        <v>42492000</v>
      </c>
      <c r="AL10" s="38"/>
      <c r="AM10" s="3" t="s">
        <v>10</v>
      </c>
      <c r="AN10" s="39">
        <f t="shared" si="0"/>
        <v>19500000</v>
      </c>
      <c r="AO10" s="30"/>
    </row>
    <row r="11" spans="1:41" s="50" customFormat="1" ht="18" customHeight="1" x14ac:dyDescent="0.2">
      <c r="A11" s="40">
        <v>7</v>
      </c>
      <c r="B11" s="44" t="s">
        <v>22</v>
      </c>
      <c r="C11" s="44"/>
      <c r="D11" s="44">
        <v>5448000</v>
      </c>
      <c r="E11" s="44"/>
      <c r="F11" s="46"/>
      <c r="G11" s="42"/>
      <c r="H11" s="44">
        <v>1590000</v>
      </c>
      <c r="I11" s="44">
        <v>1248000</v>
      </c>
      <c r="J11" s="44">
        <v>1572000</v>
      </c>
      <c r="K11" s="44">
        <v>738000</v>
      </c>
      <c r="L11" s="44"/>
      <c r="M11" s="44"/>
      <c r="N11" s="42"/>
      <c r="O11" s="45">
        <v>306000</v>
      </c>
      <c r="P11" s="44">
        <v>36000</v>
      </c>
      <c r="Q11" s="44">
        <v>96000</v>
      </c>
      <c r="R11" s="44"/>
      <c r="S11" s="44"/>
      <c r="T11" s="44"/>
      <c r="U11" s="42"/>
      <c r="V11" s="44">
        <v>150000</v>
      </c>
      <c r="W11" s="44">
        <v>30000</v>
      </c>
      <c r="X11" s="44">
        <v>30000</v>
      </c>
      <c r="Y11" s="44">
        <v>12000</v>
      </c>
      <c r="Z11" s="44"/>
      <c r="AA11" s="44"/>
      <c r="AB11" s="42"/>
      <c r="AC11" s="44">
        <f>6000+48000</f>
        <v>54000</v>
      </c>
      <c r="AD11" s="44">
        <v>84000</v>
      </c>
      <c r="AE11" s="44">
        <v>12000</v>
      </c>
      <c r="AF11" s="44">
        <v>18000</v>
      </c>
      <c r="AG11" s="44"/>
      <c r="AH11" s="84">
        <f t="shared" si="1"/>
        <v>11424000</v>
      </c>
      <c r="AI11" s="107">
        <f>AH11/6000</f>
        <v>1904</v>
      </c>
      <c r="AJ11" s="109">
        <v>6276000</v>
      </c>
      <c r="AK11" s="111">
        <f t="shared" si="2"/>
        <v>17700000</v>
      </c>
      <c r="AL11" s="47"/>
      <c r="AM11" s="48" t="s">
        <v>23</v>
      </c>
      <c r="AN11" s="39">
        <f t="shared" si="0"/>
        <v>11424000</v>
      </c>
      <c r="AO11" s="49"/>
    </row>
    <row r="12" spans="1:41" s="50" customFormat="1" ht="18" customHeight="1" x14ac:dyDescent="0.2">
      <c r="A12" s="40">
        <v>8</v>
      </c>
      <c r="B12" s="44" t="s">
        <v>24</v>
      </c>
      <c r="C12" s="44"/>
      <c r="D12" s="51"/>
      <c r="E12" s="51"/>
      <c r="F12" s="44"/>
      <c r="G12" s="42"/>
      <c r="H12" s="44"/>
      <c r="I12" s="44"/>
      <c r="J12" s="44"/>
      <c r="K12" s="44"/>
      <c r="L12" s="44"/>
      <c r="M12" s="44"/>
      <c r="N12" s="42"/>
      <c r="O12" s="45"/>
      <c r="P12" s="44"/>
      <c r="Q12" s="44"/>
      <c r="R12" s="44"/>
      <c r="S12" s="44"/>
      <c r="T12" s="44"/>
      <c r="U12" s="42"/>
      <c r="V12" s="44"/>
      <c r="W12" s="44"/>
      <c r="X12" s="44"/>
      <c r="Y12" s="44"/>
      <c r="Z12" s="44"/>
      <c r="AA12" s="44"/>
      <c r="AB12" s="42"/>
      <c r="AC12" s="44"/>
      <c r="AD12" s="44"/>
      <c r="AE12" s="44"/>
      <c r="AF12" s="44"/>
      <c r="AG12" s="44"/>
      <c r="AH12" s="84">
        <f t="shared" si="1"/>
        <v>0</v>
      </c>
      <c r="AI12" s="107">
        <f>AH12/4500</f>
        <v>0</v>
      </c>
      <c r="AJ12" s="109"/>
      <c r="AK12" s="111">
        <f t="shared" si="2"/>
        <v>0</v>
      </c>
      <c r="AL12" s="47"/>
      <c r="AM12" s="48" t="s">
        <v>25</v>
      </c>
      <c r="AN12" s="39">
        <f t="shared" si="0"/>
        <v>0</v>
      </c>
      <c r="AO12" s="49"/>
    </row>
    <row r="13" spans="1:41" s="50" customFormat="1" ht="18" customHeight="1" x14ac:dyDescent="0.2">
      <c r="A13" s="40">
        <v>9</v>
      </c>
      <c r="B13" s="44" t="s">
        <v>26</v>
      </c>
      <c r="C13" s="44"/>
      <c r="D13" s="44"/>
      <c r="E13" s="44"/>
      <c r="F13" s="44"/>
      <c r="G13" s="42"/>
      <c r="H13" s="44"/>
      <c r="I13" s="44"/>
      <c r="J13" s="44"/>
      <c r="K13" s="44"/>
      <c r="L13" s="44"/>
      <c r="M13" s="44"/>
      <c r="N13" s="42"/>
      <c r="O13" s="45"/>
      <c r="P13" s="44"/>
      <c r="Q13" s="44"/>
      <c r="R13" s="44"/>
      <c r="S13" s="44"/>
      <c r="T13" s="44"/>
      <c r="U13" s="42"/>
      <c r="V13" s="44"/>
      <c r="W13" s="44"/>
      <c r="X13" s="44"/>
      <c r="Y13" s="44"/>
      <c r="Z13" s="44"/>
      <c r="AA13" s="44"/>
      <c r="AB13" s="42"/>
      <c r="AC13" s="44"/>
      <c r="AD13" s="44"/>
      <c r="AE13" s="44"/>
      <c r="AF13" s="44"/>
      <c r="AG13" s="44"/>
      <c r="AH13" s="84">
        <f t="shared" si="1"/>
        <v>0</v>
      </c>
      <c r="AI13" s="107">
        <f>AH13/4500</f>
        <v>0</v>
      </c>
      <c r="AJ13" s="109"/>
      <c r="AK13" s="111">
        <f t="shared" si="2"/>
        <v>0</v>
      </c>
      <c r="AL13" s="47"/>
      <c r="AM13" s="48" t="s">
        <v>27</v>
      </c>
      <c r="AN13" s="39">
        <f t="shared" si="0"/>
        <v>0</v>
      </c>
      <c r="AO13" s="49"/>
    </row>
    <row r="14" spans="1:41" s="50" customFormat="1" ht="18" customHeight="1" x14ac:dyDescent="0.2">
      <c r="A14" s="40">
        <v>10</v>
      </c>
      <c r="B14" s="52" t="s">
        <v>28</v>
      </c>
      <c r="C14" s="52">
        <v>21667500</v>
      </c>
      <c r="D14" s="52"/>
      <c r="E14" s="52">
        <v>11415000</v>
      </c>
      <c r="F14" s="52">
        <v>11962500</v>
      </c>
      <c r="G14" s="42"/>
      <c r="H14" s="52"/>
      <c r="I14" s="52"/>
      <c r="J14" s="52"/>
      <c r="K14" s="52"/>
      <c r="L14" s="52">
        <v>9180000</v>
      </c>
      <c r="M14" s="52">
        <v>8947500</v>
      </c>
      <c r="N14" s="42"/>
      <c r="O14" s="53"/>
      <c r="P14" s="52"/>
      <c r="Q14" s="52"/>
      <c r="R14" s="52">
        <v>7012500</v>
      </c>
      <c r="S14" s="52">
        <v>7215000</v>
      </c>
      <c r="T14" s="52">
        <v>4005000</v>
      </c>
      <c r="U14" s="42"/>
      <c r="V14" s="52"/>
      <c r="W14" s="52"/>
      <c r="X14" s="52"/>
      <c r="Y14" s="52"/>
      <c r="Z14" s="52">
        <v>1530000</v>
      </c>
      <c r="AA14" s="52">
        <v>5190000</v>
      </c>
      <c r="AB14" s="42"/>
      <c r="AC14" s="52"/>
      <c r="AD14" s="52"/>
      <c r="AE14" s="52"/>
      <c r="AF14" s="52"/>
      <c r="AG14" s="52">
        <v>2880000</v>
      </c>
      <c r="AH14" s="84">
        <f t="shared" si="1"/>
        <v>91005000</v>
      </c>
      <c r="AI14" s="107">
        <f>AH14/7500</f>
        <v>12134</v>
      </c>
      <c r="AJ14" s="109">
        <v>74100000</v>
      </c>
      <c r="AK14" s="111">
        <f t="shared" si="2"/>
        <v>165105000</v>
      </c>
      <c r="AL14" s="47"/>
      <c r="AM14" s="48" t="s">
        <v>29</v>
      </c>
      <c r="AN14" s="39">
        <f t="shared" si="0"/>
        <v>91005000</v>
      </c>
      <c r="AO14" s="49"/>
    </row>
    <row r="15" spans="1:41" s="11" customFormat="1" ht="18" customHeight="1" x14ac:dyDescent="0.2">
      <c r="A15" s="40">
        <v>11</v>
      </c>
      <c r="B15" s="52" t="s">
        <v>30</v>
      </c>
      <c r="C15" s="52">
        <v>17970000</v>
      </c>
      <c r="D15" s="52"/>
      <c r="E15" s="52">
        <v>8662500</v>
      </c>
      <c r="F15" s="52">
        <v>15975000</v>
      </c>
      <c r="G15" s="42"/>
      <c r="H15" s="52"/>
      <c r="I15" s="52"/>
      <c r="J15" s="52"/>
      <c r="K15" s="52"/>
      <c r="L15" s="52">
        <v>7380000</v>
      </c>
      <c r="M15" s="52">
        <v>7395000</v>
      </c>
      <c r="N15" s="42"/>
      <c r="O15" s="53"/>
      <c r="P15" s="52"/>
      <c r="Q15" s="52"/>
      <c r="R15" s="52">
        <v>5355000</v>
      </c>
      <c r="S15" s="52">
        <v>5542500</v>
      </c>
      <c r="T15" s="52">
        <v>2700000</v>
      </c>
      <c r="U15" s="42"/>
      <c r="V15" s="52"/>
      <c r="W15" s="52"/>
      <c r="X15" s="52"/>
      <c r="Y15" s="52"/>
      <c r="Z15" s="52">
        <v>1005000</v>
      </c>
      <c r="AA15" s="52">
        <v>4110000</v>
      </c>
      <c r="AB15" s="42"/>
      <c r="AC15" s="52"/>
      <c r="AD15" s="52"/>
      <c r="AE15" s="52"/>
      <c r="AF15" s="52"/>
      <c r="AG15" s="52">
        <v>1972500</v>
      </c>
      <c r="AH15" s="84">
        <f t="shared" si="1"/>
        <v>78067500</v>
      </c>
      <c r="AI15" s="107">
        <f>AH15/7500</f>
        <v>10409</v>
      </c>
      <c r="AJ15" s="109">
        <v>17302500</v>
      </c>
      <c r="AK15" s="111">
        <f t="shared" si="2"/>
        <v>95370000</v>
      </c>
      <c r="AL15" s="38"/>
      <c r="AM15" s="54" t="s">
        <v>21</v>
      </c>
      <c r="AN15" s="39">
        <f t="shared" si="0"/>
        <v>78067500</v>
      </c>
      <c r="AO15" s="29"/>
    </row>
    <row r="16" spans="1:41" s="11" customFormat="1" ht="18" customHeight="1" x14ac:dyDescent="0.2">
      <c r="A16" s="40">
        <v>12</v>
      </c>
      <c r="B16" s="55" t="s">
        <v>31</v>
      </c>
      <c r="C16" s="52"/>
      <c r="D16" s="52"/>
      <c r="E16" s="52"/>
      <c r="F16" s="52"/>
      <c r="G16" s="42"/>
      <c r="H16" s="52"/>
      <c r="I16" s="52"/>
      <c r="J16" s="52"/>
      <c r="K16" s="52"/>
      <c r="L16" s="52"/>
      <c r="M16" s="52"/>
      <c r="N16" s="42"/>
      <c r="O16" s="56"/>
      <c r="P16" s="52"/>
      <c r="Q16" s="52"/>
      <c r="R16" s="52"/>
      <c r="S16" s="52"/>
      <c r="T16" s="52"/>
      <c r="U16" s="42"/>
      <c r="V16" s="52"/>
      <c r="W16" s="52"/>
      <c r="X16" s="52"/>
      <c r="Y16" s="52"/>
      <c r="Z16" s="52"/>
      <c r="AA16" s="52"/>
      <c r="AB16" s="42"/>
      <c r="AC16" s="52"/>
      <c r="AD16" s="52"/>
      <c r="AE16" s="52"/>
      <c r="AF16" s="52"/>
      <c r="AG16" s="52"/>
      <c r="AH16" s="84">
        <f t="shared" si="1"/>
        <v>0</v>
      </c>
      <c r="AI16" s="107">
        <f>AH16/5625</f>
        <v>0</v>
      </c>
      <c r="AJ16" s="109"/>
      <c r="AK16" s="111">
        <f t="shared" si="2"/>
        <v>0</v>
      </c>
      <c r="AL16" s="38"/>
      <c r="AM16" s="54" t="s">
        <v>22</v>
      </c>
      <c r="AN16" s="39">
        <f t="shared" si="0"/>
        <v>0</v>
      </c>
      <c r="AO16" s="29"/>
    </row>
    <row r="17" spans="1:41" s="11" customFormat="1" ht="18" customHeight="1" x14ac:dyDescent="0.2">
      <c r="A17" s="40">
        <v>13</v>
      </c>
      <c r="B17" s="52" t="s">
        <v>32</v>
      </c>
      <c r="C17" s="52"/>
      <c r="D17" s="52"/>
      <c r="E17" s="52"/>
      <c r="F17" s="52"/>
      <c r="G17" s="42"/>
      <c r="H17" s="52"/>
      <c r="I17" s="52"/>
      <c r="J17" s="52"/>
      <c r="K17" s="52"/>
      <c r="L17" s="52"/>
      <c r="M17" s="52"/>
      <c r="N17" s="42"/>
      <c r="O17" s="56"/>
      <c r="P17" s="52"/>
      <c r="Q17" s="52"/>
      <c r="R17" s="52"/>
      <c r="S17" s="52"/>
      <c r="T17" s="52"/>
      <c r="U17" s="42"/>
      <c r="V17" s="52"/>
      <c r="W17" s="52"/>
      <c r="X17" s="52"/>
      <c r="Y17" s="52"/>
      <c r="Z17" s="52"/>
      <c r="AA17" s="52"/>
      <c r="AB17" s="42"/>
      <c r="AC17" s="52"/>
      <c r="AD17" s="52"/>
      <c r="AE17" s="52"/>
      <c r="AF17" s="52"/>
      <c r="AG17" s="52"/>
      <c r="AH17" s="84">
        <f t="shared" si="1"/>
        <v>0</v>
      </c>
      <c r="AI17" s="107">
        <f>AH17/5625</f>
        <v>0</v>
      </c>
      <c r="AJ17" s="109"/>
      <c r="AK17" s="111">
        <f t="shared" si="2"/>
        <v>0</v>
      </c>
      <c r="AL17" s="38"/>
      <c r="AM17" s="54" t="s">
        <v>24</v>
      </c>
      <c r="AN17" s="39">
        <f t="shared" si="0"/>
        <v>0</v>
      </c>
      <c r="AO17" s="29"/>
    </row>
    <row r="18" spans="1:41" s="11" customFormat="1" ht="18" customHeight="1" x14ac:dyDescent="0.2">
      <c r="A18" s="40">
        <v>14</v>
      </c>
      <c r="B18" s="41" t="s">
        <v>6</v>
      </c>
      <c r="C18" s="41"/>
      <c r="D18" s="41"/>
      <c r="E18" s="41"/>
      <c r="F18" s="41"/>
      <c r="G18" s="42"/>
      <c r="H18" s="41"/>
      <c r="I18" s="41"/>
      <c r="J18" s="41"/>
      <c r="K18" s="41"/>
      <c r="L18" s="41"/>
      <c r="M18" s="41"/>
      <c r="N18" s="42"/>
      <c r="O18" s="57"/>
      <c r="P18" s="41"/>
      <c r="Q18" s="41"/>
      <c r="R18" s="41"/>
      <c r="S18" s="41"/>
      <c r="T18" s="41"/>
      <c r="U18" s="42"/>
      <c r="V18" s="41"/>
      <c r="W18" s="41"/>
      <c r="X18" s="41"/>
      <c r="Y18" s="41"/>
      <c r="Z18" s="41"/>
      <c r="AA18" s="41"/>
      <c r="AB18" s="42"/>
      <c r="AC18" s="41"/>
      <c r="AD18" s="41"/>
      <c r="AE18" s="41"/>
      <c r="AF18" s="41"/>
      <c r="AG18" s="41"/>
      <c r="AH18" s="84">
        <f t="shared" si="1"/>
        <v>0</v>
      </c>
      <c r="AI18" s="107">
        <f>AH18/15000</f>
        <v>0</v>
      </c>
      <c r="AJ18" s="110">
        <v>1080000</v>
      </c>
      <c r="AK18" s="111">
        <f t="shared" si="2"/>
        <v>1080000</v>
      </c>
      <c r="AL18" s="38"/>
      <c r="AM18" s="54" t="s">
        <v>26</v>
      </c>
      <c r="AN18" s="39">
        <f t="shared" si="0"/>
        <v>0</v>
      </c>
      <c r="AO18" s="29"/>
    </row>
    <row r="19" spans="1:41" s="11" customFormat="1" ht="18" customHeight="1" x14ac:dyDescent="0.2">
      <c r="A19" s="40">
        <v>15</v>
      </c>
      <c r="B19" s="41" t="s">
        <v>7</v>
      </c>
      <c r="C19" s="41"/>
      <c r="D19" s="41"/>
      <c r="E19" s="41"/>
      <c r="F19" s="41"/>
      <c r="G19" s="42"/>
      <c r="H19" s="41"/>
      <c r="I19" s="41"/>
      <c r="J19" s="41"/>
      <c r="K19" s="41"/>
      <c r="L19" s="41"/>
      <c r="M19" s="41"/>
      <c r="N19" s="42"/>
      <c r="O19" s="57"/>
      <c r="P19" s="41"/>
      <c r="Q19" s="41"/>
      <c r="R19" s="41"/>
      <c r="S19" s="41"/>
      <c r="T19" s="41"/>
      <c r="U19" s="42"/>
      <c r="V19" s="41"/>
      <c r="W19" s="41"/>
      <c r="X19" s="41"/>
      <c r="Y19" s="41"/>
      <c r="Z19" s="41"/>
      <c r="AA19" s="41"/>
      <c r="AB19" s="42"/>
      <c r="AC19" s="41"/>
      <c r="AD19" s="41"/>
      <c r="AE19" s="41"/>
      <c r="AF19" s="41"/>
      <c r="AG19" s="41"/>
      <c r="AH19" s="84">
        <f t="shared" si="1"/>
        <v>0</v>
      </c>
      <c r="AI19" s="107">
        <f>AH19/12500</f>
        <v>0</v>
      </c>
      <c r="AJ19" s="110">
        <v>850000</v>
      </c>
      <c r="AK19" s="111">
        <f t="shared" si="2"/>
        <v>850000</v>
      </c>
      <c r="AL19" s="38"/>
      <c r="AM19" s="58" t="s">
        <v>28</v>
      </c>
      <c r="AN19" s="39">
        <f t="shared" si="0"/>
        <v>0</v>
      </c>
      <c r="AO19" s="29"/>
    </row>
    <row r="20" spans="1:41" s="11" customFormat="1" ht="18" customHeight="1" x14ac:dyDescent="0.2">
      <c r="A20" s="40">
        <v>16</v>
      </c>
      <c r="B20" s="41" t="s">
        <v>8</v>
      </c>
      <c r="C20" s="41"/>
      <c r="D20" s="41"/>
      <c r="E20" s="41"/>
      <c r="F20" s="41"/>
      <c r="G20" s="42"/>
      <c r="H20" s="41"/>
      <c r="I20" s="41"/>
      <c r="J20" s="41"/>
      <c r="K20" s="41"/>
      <c r="L20" s="41"/>
      <c r="M20" s="41"/>
      <c r="N20" s="42"/>
      <c r="O20" s="57"/>
      <c r="P20" s="41"/>
      <c r="Q20" s="41"/>
      <c r="R20" s="41"/>
      <c r="S20" s="41"/>
      <c r="T20" s="41"/>
      <c r="U20" s="42"/>
      <c r="V20" s="41"/>
      <c r="W20" s="41"/>
      <c r="X20" s="41"/>
      <c r="Y20" s="41"/>
      <c r="Z20" s="41"/>
      <c r="AA20" s="41"/>
      <c r="AB20" s="42"/>
      <c r="AC20" s="41"/>
      <c r="AD20" s="41"/>
      <c r="AE20" s="41"/>
      <c r="AF20" s="41"/>
      <c r="AG20" s="41"/>
      <c r="AH20" s="84">
        <f t="shared" si="1"/>
        <v>0</v>
      </c>
      <c r="AI20" s="107">
        <f>AH20/6000</f>
        <v>0</v>
      </c>
      <c r="AJ20" s="110">
        <v>16146000</v>
      </c>
      <c r="AK20" s="111">
        <f t="shared" si="2"/>
        <v>16146000</v>
      </c>
      <c r="AL20" s="38"/>
      <c r="AM20" s="58" t="s">
        <v>30</v>
      </c>
      <c r="AN20" s="39">
        <f t="shared" si="0"/>
        <v>0</v>
      </c>
      <c r="AO20" s="29"/>
    </row>
    <row r="21" spans="1:41" s="11" customFormat="1" ht="18" customHeight="1" x14ac:dyDescent="0.2">
      <c r="A21" s="40">
        <v>17</v>
      </c>
      <c r="B21" s="41" t="s">
        <v>9</v>
      </c>
      <c r="C21" s="41"/>
      <c r="D21" s="41"/>
      <c r="E21" s="41"/>
      <c r="F21" s="41"/>
      <c r="G21" s="42"/>
      <c r="H21" s="41"/>
      <c r="I21" s="41"/>
      <c r="J21" s="41"/>
      <c r="K21" s="41"/>
      <c r="L21" s="41"/>
      <c r="M21" s="41"/>
      <c r="N21" s="42"/>
      <c r="O21" s="57"/>
      <c r="P21" s="41"/>
      <c r="Q21" s="41"/>
      <c r="R21" s="41"/>
      <c r="S21" s="41"/>
      <c r="T21" s="41"/>
      <c r="U21" s="42"/>
      <c r="V21" s="41"/>
      <c r="W21" s="41"/>
      <c r="X21" s="41"/>
      <c r="Y21" s="41"/>
      <c r="Z21" s="41"/>
      <c r="AA21" s="41"/>
      <c r="AB21" s="42"/>
      <c r="AC21" s="41"/>
      <c r="AD21" s="41"/>
      <c r="AE21" s="41"/>
      <c r="AF21" s="41"/>
      <c r="AG21" s="41"/>
      <c r="AH21" s="84">
        <f t="shared" si="1"/>
        <v>0</v>
      </c>
      <c r="AI21" s="107">
        <f>AH21/3000</f>
        <v>0</v>
      </c>
      <c r="AJ21" s="110">
        <v>12579000</v>
      </c>
      <c r="AK21" s="111">
        <f t="shared" si="2"/>
        <v>12579000</v>
      </c>
      <c r="AL21" s="38"/>
      <c r="AM21" s="58" t="s">
        <v>31</v>
      </c>
      <c r="AN21" s="39">
        <f t="shared" si="0"/>
        <v>0</v>
      </c>
      <c r="AO21" s="29"/>
    </row>
    <row r="22" spans="1:41" s="11" customFormat="1" ht="18" customHeight="1" thickBot="1" x14ac:dyDescent="0.25">
      <c r="A22" s="40">
        <v>18</v>
      </c>
      <c r="B22" s="59" t="s">
        <v>10</v>
      </c>
      <c r="C22" s="59"/>
      <c r="D22" s="59"/>
      <c r="E22" s="59"/>
      <c r="F22" s="61"/>
      <c r="G22" s="60"/>
      <c r="H22" s="59"/>
      <c r="I22" s="59"/>
      <c r="J22" s="59"/>
      <c r="K22" s="59"/>
      <c r="L22" s="59"/>
      <c r="M22" s="59"/>
      <c r="N22" s="60"/>
      <c r="O22" s="62"/>
      <c r="P22" s="59"/>
      <c r="Q22" s="59"/>
      <c r="R22" s="59"/>
      <c r="S22" s="59"/>
      <c r="T22" s="59"/>
      <c r="U22" s="60"/>
      <c r="V22" s="59"/>
      <c r="W22" s="59"/>
      <c r="X22" s="59"/>
      <c r="Y22" s="59"/>
      <c r="Z22" s="59"/>
      <c r="AA22" s="59"/>
      <c r="AB22" s="60"/>
      <c r="AC22" s="59"/>
      <c r="AD22" s="59"/>
      <c r="AE22" s="59"/>
      <c r="AF22" s="59"/>
      <c r="AG22" s="59"/>
      <c r="AH22" s="83">
        <f t="shared" si="1"/>
        <v>0</v>
      </c>
      <c r="AI22" s="107">
        <f>AH22/1000</f>
        <v>0</v>
      </c>
      <c r="AJ22" s="110">
        <v>801000</v>
      </c>
      <c r="AK22" s="111">
        <f t="shared" si="2"/>
        <v>801000</v>
      </c>
      <c r="AL22" s="38"/>
      <c r="AM22" s="58" t="s">
        <v>32</v>
      </c>
      <c r="AN22" s="39">
        <f t="shared" si="0"/>
        <v>0</v>
      </c>
      <c r="AO22" s="29"/>
    </row>
    <row r="23" spans="1:41" s="67" customFormat="1" ht="18" customHeight="1" x14ac:dyDescent="0.25">
      <c r="A23" s="63"/>
      <c r="B23" s="64" t="s">
        <v>11</v>
      </c>
      <c r="C23" s="65">
        <f t="shared" ref="C23:AJ23" si="3">SUM(C5:C22)</f>
        <v>182159000</v>
      </c>
      <c r="D23" s="65">
        <f t="shared" si="3"/>
        <v>26535000</v>
      </c>
      <c r="E23" s="65">
        <f t="shared" si="3"/>
        <v>72975000</v>
      </c>
      <c r="F23" s="65">
        <f t="shared" si="3"/>
        <v>89483000</v>
      </c>
      <c r="G23" s="65">
        <f t="shared" si="3"/>
        <v>0</v>
      </c>
      <c r="H23" s="65">
        <f t="shared" si="3"/>
        <v>26300000</v>
      </c>
      <c r="I23" s="65">
        <f t="shared" si="3"/>
        <v>20251500</v>
      </c>
      <c r="J23" s="65">
        <f t="shared" si="3"/>
        <v>20400000</v>
      </c>
      <c r="K23" s="65">
        <f t="shared" si="3"/>
        <v>11660000</v>
      </c>
      <c r="L23" s="65">
        <f t="shared" si="3"/>
        <v>53609500</v>
      </c>
      <c r="M23" s="65">
        <f t="shared" si="3"/>
        <v>46844000</v>
      </c>
      <c r="N23" s="65">
        <f t="shared" si="3"/>
        <v>0</v>
      </c>
      <c r="O23" s="65">
        <f t="shared" si="3"/>
        <v>5364500</v>
      </c>
      <c r="P23" s="65">
        <f t="shared" si="3"/>
        <v>3103500</v>
      </c>
      <c r="Q23" s="65">
        <f t="shared" si="3"/>
        <v>3922500</v>
      </c>
      <c r="R23" s="65">
        <f t="shared" si="3"/>
        <v>38564000</v>
      </c>
      <c r="S23" s="65">
        <f t="shared" si="3"/>
        <v>38156500</v>
      </c>
      <c r="T23" s="65">
        <f t="shared" si="3"/>
        <v>25005500</v>
      </c>
      <c r="U23" s="65">
        <f t="shared" si="3"/>
        <v>0</v>
      </c>
      <c r="V23" s="65">
        <f t="shared" si="3"/>
        <v>5129500</v>
      </c>
      <c r="W23" s="65">
        <f t="shared" si="3"/>
        <v>2151500</v>
      </c>
      <c r="X23" s="65">
        <f t="shared" si="3"/>
        <v>5564000</v>
      </c>
      <c r="Y23" s="65">
        <f t="shared" si="3"/>
        <v>837000</v>
      </c>
      <c r="Z23" s="65">
        <f t="shared" si="3"/>
        <v>9067000</v>
      </c>
      <c r="AA23" s="65">
        <f t="shared" si="3"/>
        <v>31609000</v>
      </c>
      <c r="AB23" s="65">
        <f t="shared" si="3"/>
        <v>0</v>
      </c>
      <c r="AC23" s="65">
        <f t="shared" si="3"/>
        <v>4945500</v>
      </c>
      <c r="AD23" s="65">
        <f t="shared" si="3"/>
        <v>4245500</v>
      </c>
      <c r="AE23" s="65">
        <f t="shared" si="3"/>
        <v>1601000</v>
      </c>
      <c r="AF23" s="65">
        <f t="shared" si="3"/>
        <v>2546000</v>
      </c>
      <c r="AG23" s="65">
        <f t="shared" si="3"/>
        <v>18341000</v>
      </c>
      <c r="AH23" s="65">
        <f t="shared" si="3"/>
        <v>750370500</v>
      </c>
      <c r="AI23" s="65"/>
      <c r="AJ23" s="65">
        <f t="shared" si="3"/>
        <v>385976500</v>
      </c>
      <c r="AK23" s="108"/>
      <c r="AL23" s="38"/>
      <c r="AM23" s="66" t="s">
        <v>11</v>
      </c>
      <c r="AN23" s="39">
        <f t="shared" si="0"/>
        <v>750370500</v>
      </c>
    </row>
    <row r="24" spans="1:41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6"/>
      <c r="AI24" s="6"/>
      <c r="AJ24" s="6"/>
      <c r="AK24" s="7"/>
      <c r="AL24" s="28"/>
      <c r="AM24" s="69"/>
      <c r="AN24" s="29"/>
      <c r="AO24" s="39"/>
    </row>
    <row r="25" spans="1:41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6"/>
      <c r="AI25" s="6"/>
      <c r="AJ25" s="6"/>
      <c r="AK25" s="7"/>
      <c r="AL25" s="28"/>
      <c r="AM25" s="69"/>
      <c r="AN25" s="29"/>
      <c r="AO25" s="39"/>
    </row>
    <row r="26" spans="1:41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6"/>
      <c r="AI26" s="6"/>
      <c r="AJ26" s="6"/>
      <c r="AK26" s="37"/>
      <c r="AL26" s="28"/>
      <c r="AM26" s="69"/>
      <c r="AN26" s="29"/>
      <c r="AO26" s="30"/>
    </row>
    <row r="27" spans="1:41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6"/>
      <c r="AI27" s="6"/>
      <c r="AJ27" s="6"/>
      <c r="AK27" s="14"/>
      <c r="AL27" s="28"/>
      <c r="AM27" s="70" t="s">
        <v>13</v>
      </c>
      <c r="AN27" s="29"/>
      <c r="AO27" s="30"/>
    </row>
    <row r="28" spans="1:41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6">
        <v>31</v>
      </c>
      <c r="AH28" s="87" t="s">
        <v>1</v>
      </c>
      <c r="AI28" s="20"/>
      <c r="AJ28" s="20"/>
      <c r="AK28" s="21"/>
      <c r="AL28" s="28"/>
      <c r="AM28" s="71" t="s">
        <v>14</v>
      </c>
      <c r="AN28" s="72"/>
      <c r="AO28" s="30"/>
    </row>
    <row r="29" spans="1:41" s="25" customFormat="1" ht="18" customHeight="1" x14ac:dyDescent="0.2">
      <c r="B29" s="92" t="s">
        <v>2</v>
      </c>
      <c r="C29" s="92">
        <f t="shared" ref="C29" si="4">C5/4000</f>
        <v>26821</v>
      </c>
      <c r="D29" s="92">
        <f t="shared" ref="D29:AG29" si="5">D5/4000</f>
        <v>2849</v>
      </c>
      <c r="E29" s="92">
        <f t="shared" si="5"/>
        <v>10084</v>
      </c>
      <c r="F29" s="92">
        <f t="shared" si="5"/>
        <v>11818</v>
      </c>
      <c r="G29" s="92">
        <f t="shared" si="5"/>
        <v>0</v>
      </c>
      <c r="H29" s="92">
        <f t="shared" si="5"/>
        <v>4064</v>
      </c>
      <c r="I29" s="92">
        <f t="shared" si="5"/>
        <v>3172</v>
      </c>
      <c r="J29" s="92">
        <f t="shared" si="5"/>
        <v>3181</v>
      </c>
      <c r="K29" s="92">
        <f t="shared" si="5"/>
        <v>1978</v>
      </c>
      <c r="L29" s="92">
        <f t="shared" si="5"/>
        <v>7168</v>
      </c>
      <c r="M29" s="92">
        <f t="shared" si="5"/>
        <v>6082</v>
      </c>
      <c r="N29" s="92">
        <f t="shared" si="5"/>
        <v>0</v>
      </c>
      <c r="O29" s="92">
        <f t="shared" si="5"/>
        <v>976</v>
      </c>
      <c r="P29" s="92">
        <f t="shared" si="5"/>
        <v>614</v>
      </c>
      <c r="Q29" s="92">
        <f t="shared" si="5"/>
        <v>745</v>
      </c>
      <c r="R29" s="92">
        <f t="shared" si="5"/>
        <v>5400</v>
      </c>
      <c r="S29" s="92">
        <f t="shared" si="5"/>
        <v>5153</v>
      </c>
      <c r="T29" s="92">
        <f t="shared" si="5"/>
        <v>3685</v>
      </c>
      <c r="U29" s="92">
        <f t="shared" si="5"/>
        <v>0</v>
      </c>
      <c r="V29" s="92">
        <f t="shared" si="5"/>
        <v>930</v>
      </c>
      <c r="W29" s="92">
        <f t="shared" si="5"/>
        <v>379</v>
      </c>
      <c r="X29" s="92">
        <f t="shared" si="5"/>
        <v>1225</v>
      </c>
      <c r="Y29" s="92">
        <f t="shared" si="5"/>
        <v>162</v>
      </c>
      <c r="Z29" s="92">
        <f t="shared" si="5"/>
        <v>1414</v>
      </c>
      <c r="AA29" s="92">
        <f t="shared" si="5"/>
        <v>4559</v>
      </c>
      <c r="AB29" s="92">
        <f t="shared" si="5"/>
        <v>0</v>
      </c>
      <c r="AC29" s="92">
        <f t="shared" si="5"/>
        <v>953</v>
      </c>
      <c r="AD29" s="92">
        <f t="shared" si="5"/>
        <v>823</v>
      </c>
      <c r="AE29" s="92">
        <f t="shared" si="5"/>
        <v>281</v>
      </c>
      <c r="AF29" s="92">
        <f t="shared" si="5"/>
        <v>508</v>
      </c>
      <c r="AG29" s="92">
        <f t="shared" si="5"/>
        <v>2786</v>
      </c>
      <c r="AH29" s="93">
        <f>SUM(C29:AG29)</f>
        <v>107810</v>
      </c>
      <c r="AI29" s="27"/>
      <c r="AJ29" s="27"/>
      <c r="AK29" s="73"/>
      <c r="AL29" s="28"/>
      <c r="AM29" s="74" t="s">
        <v>2</v>
      </c>
      <c r="AN29" s="75">
        <f>AH29</f>
        <v>107810</v>
      </c>
      <c r="AO29" s="30"/>
    </row>
    <row r="30" spans="1:41" s="25" customFormat="1" ht="18" customHeight="1" x14ac:dyDescent="0.2">
      <c r="B30" s="92" t="s">
        <v>3</v>
      </c>
      <c r="C30" s="92">
        <f t="shared" ref="C30:C31" si="6">C6/3000</f>
        <v>10730</v>
      </c>
      <c r="D30" s="92">
        <f t="shared" ref="D30:AG30" si="7">D6/3000</f>
        <v>1090</v>
      </c>
      <c r="E30" s="92">
        <f t="shared" si="7"/>
        <v>3958</v>
      </c>
      <c r="F30" s="92">
        <f t="shared" si="7"/>
        <v>4372</v>
      </c>
      <c r="G30" s="92">
        <f t="shared" si="7"/>
        <v>0</v>
      </c>
      <c r="H30" s="92">
        <f t="shared" si="7"/>
        <v>1667</v>
      </c>
      <c r="I30" s="92">
        <f t="shared" si="7"/>
        <v>1168</v>
      </c>
      <c r="J30" s="92">
        <f t="shared" si="7"/>
        <v>1224</v>
      </c>
      <c r="K30" s="92">
        <f t="shared" si="7"/>
        <v>658</v>
      </c>
      <c r="L30" s="92">
        <f t="shared" si="7"/>
        <v>2430</v>
      </c>
      <c r="M30" s="92">
        <f t="shared" si="7"/>
        <v>1837</v>
      </c>
      <c r="N30" s="92">
        <f t="shared" si="7"/>
        <v>0</v>
      </c>
      <c r="O30" s="92">
        <f t="shared" si="7"/>
        <v>188</v>
      </c>
      <c r="P30" s="92">
        <f t="shared" si="7"/>
        <v>98</v>
      </c>
      <c r="Q30" s="92">
        <f t="shared" si="7"/>
        <v>133</v>
      </c>
      <c r="R30" s="92">
        <f t="shared" si="7"/>
        <v>1393</v>
      </c>
      <c r="S30" s="92">
        <f t="shared" si="7"/>
        <v>1499</v>
      </c>
      <c r="T30" s="92">
        <f t="shared" si="7"/>
        <v>1056</v>
      </c>
      <c r="U30" s="92">
        <f t="shared" si="7"/>
        <v>0</v>
      </c>
      <c r="V30" s="92">
        <f t="shared" si="7"/>
        <v>153</v>
      </c>
      <c r="W30" s="92">
        <f t="shared" si="7"/>
        <v>66</v>
      </c>
      <c r="X30" s="92">
        <f t="shared" si="7"/>
        <v>136</v>
      </c>
      <c r="Y30" s="92">
        <f t="shared" si="7"/>
        <v>37</v>
      </c>
      <c r="Z30" s="92">
        <f t="shared" si="7"/>
        <v>282</v>
      </c>
      <c r="AA30" s="92">
        <f t="shared" si="7"/>
        <v>1231</v>
      </c>
      <c r="AB30" s="92">
        <f t="shared" si="7"/>
        <v>0</v>
      </c>
      <c r="AC30" s="92">
        <f t="shared" si="7"/>
        <v>168</v>
      </c>
      <c r="AD30" s="92">
        <f t="shared" si="7"/>
        <v>120</v>
      </c>
      <c r="AE30" s="92">
        <f t="shared" si="7"/>
        <v>41</v>
      </c>
      <c r="AF30" s="92">
        <f t="shared" si="7"/>
        <v>69</v>
      </c>
      <c r="AG30" s="92">
        <f t="shared" si="7"/>
        <v>674</v>
      </c>
      <c r="AH30" s="93">
        <f t="shared" ref="AH30:AH46" si="8">SUM(C30:AG30)</f>
        <v>36478</v>
      </c>
      <c r="AI30" s="27"/>
      <c r="AJ30" s="27"/>
      <c r="AK30" s="73"/>
      <c r="AL30" s="28"/>
      <c r="AM30" s="74" t="s">
        <v>3</v>
      </c>
      <c r="AN30" s="75">
        <f t="shared" ref="AN30:AN40" si="9">AH30</f>
        <v>36478</v>
      </c>
      <c r="AO30" s="76"/>
    </row>
    <row r="31" spans="1:41" s="25" customFormat="1" ht="18" customHeight="1" x14ac:dyDescent="0.2">
      <c r="B31" s="92" t="s">
        <v>4</v>
      </c>
      <c r="C31" s="92">
        <f t="shared" si="6"/>
        <v>0</v>
      </c>
      <c r="D31" s="92">
        <f t="shared" ref="D31:AG31" si="10">D7/3000</f>
        <v>0</v>
      </c>
      <c r="E31" s="92">
        <f t="shared" si="10"/>
        <v>0</v>
      </c>
      <c r="F31" s="92">
        <f t="shared" si="10"/>
        <v>0</v>
      </c>
      <c r="G31" s="92">
        <f t="shared" si="10"/>
        <v>0</v>
      </c>
      <c r="H31" s="92">
        <f t="shared" si="10"/>
        <v>0</v>
      </c>
      <c r="I31" s="92">
        <f t="shared" si="10"/>
        <v>0</v>
      </c>
      <c r="J31" s="92">
        <f t="shared" si="10"/>
        <v>0</v>
      </c>
      <c r="K31" s="92">
        <f t="shared" si="10"/>
        <v>0</v>
      </c>
      <c r="L31" s="92">
        <f t="shared" si="10"/>
        <v>0</v>
      </c>
      <c r="M31" s="92">
        <f t="shared" si="10"/>
        <v>0</v>
      </c>
      <c r="N31" s="92">
        <f t="shared" si="10"/>
        <v>0</v>
      </c>
      <c r="O31" s="92">
        <f t="shared" si="10"/>
        <v>0</v>
      </c>
      <c r="P31" s="92">
        <f t="shared" si="10"/>
        <v>0</v>
      </c>
      <c r="Q31" s="92">
        <f t="shared" si="10"/>
        <v>0</v>
      </c>
      <c r="R31" s="92">
        <f t="shared" si="10"/>
        <v>0</v>
      </c>
      <c r="S31" s="92">
        <f t="shared" si="10"/>
        <v>0</v>
      </c>
      <c r="T31" s="92">
        <f t="shared" si="10"/>
        <v>0</v>
      </c>
      <c r="U31" s="92">
        <f t="shared" si="10"/>
        <v>0</v>
      </c>
      <c r="V31" s="92">
        <f t="shared" si="10"/>
        <v>0</v>
      </c>
      <c r="W31" s="92">
        <f t="shared" si="10"/>
        <v>0</v>
      </c>
      <c r="X31" s="92">
        <f t="shared" si="10"/>
        <v>0</v>
      </c>
      <c r="Y31" s="92">
        <f t="shared" si="10"/>
        <v>0</v>
      </c>
      <c r="Z31" s="92">
        <f t="shared" si="10"/>
        <v>0</v>
      </c>
      <c r="AA31" s="92">
        <f t="shared" si="10"/>
        <v>0</v>
      </c>
      <c r="AB31" s="92">
        <f t="shared" si="10"/>
        <v>0</v>
      </c>
      <c r="AC31" s="92">
        <f t="shared" si="10"/>
        <v>0</v>
      </c>
      <c r="AD31" s="92">
        <f t="shared" si="10"/>
        <v>0</v>
      </c>
      <c r="AE31" s="92">
        <f t="shared" si="10"/>
        <v>0</v>
      </c>
      <c r="AF31" s="92">
        <f t="shared" si="10"/>
        <v>0</v>
      </c>
      <c r="AG31" s="92">
        <f t="shared" si="10"/>
        <v>0</v>
      </c>
      <c r="AH31" s="93">
        <f t="shared" si="8"/>
        <v>0</v>
      </c>
      <c r="AI31" s="27"/>
      <c r="AJ31" s="27"/>
      <c r="AK31" s="73"/>
      <c r="AL31" s="28"/>
      <c r="AM31" s="3" t="s">
        <v>4</v>
      </c>
      <c r="AN31" s="75">
        <f t="shared" si="9"/>
        <v>0</v>
      </c>
      <c r="AO31" s="30"/>
    </row>
    <row r="32" spans="1:41" s="25" customFormat="1" ht="18" customHeight="1" x14ac:dyDescent="0.2">
      <c r="B32" s="92" t="s">
        <v>5</v>
      </c>
      <c r="C32" s="92">
        <f t="shared" ref="C32" si="11">C8/2250</f>
        <v>0</v>
      </c>
      <c r="D32" s="92">
        <f t="shared" ref="D32:AG32" si="12">D8/2250</f>
        <v>0</v>
      </c>
      <c r="E32" s="92">
        <f t="shared" si="12"/>
        <v>0</v>
      </c>
      <c r="F32" s="92">
        <f t="shared" si="12"/>
        <v>0</v>
      </c>
      <c r="G32" s="92">
        <f t="shared" si="12"/>
        <v>0</v>
      </c>
      <c r="H32" s="92">
        <f t="shared" si="12"/>
        <v>0</v>
      </c>
      <c r="I32" s="92">
        <f t="shared" si="12"/>
        <v>0</v>
      </c>
      <c r="J32" s="92">
        <f t="shared" si="12"/>
        <v>0</v>
      </c>
      <c r="K32" s="92">
        <f t="shared" si="12"/>
        <v>0</v>
      </c>
      <c r="L32" s="92">
        <f t="shared" si="12"/>
        <v>0</v>
      </c>
      <c r="M32" s="92">
        <f t="shared" si="12"/>
        <v>0</v>
      </c>
      <c r="N32" s="92">
        <f t="shared" si="12"/>
        <v>0</v>
      </c>
      <c r="O32" s="92">
        <f t="shared" si="12"/>
        <v>0</v>
      </c>
      <c r="P32" s="92">
        <f t="shared" si="12"/>
        <v>0</v>
      </c>
      <c r="Q32" s="92">
        <f t="shared" si="12"/>
        <v>0</v>
      </c>
      <c r="R32" s="92">
        <f t="shared" si="12"/>
        <v>0</v>
      </c>
      <c r="S32" s="92">
        <f t="shared" si="12"/>
        <v>0</v>
      </c>
      <c r="T32" s="92">
        <f t="shared" si="12"/>
        <v>0</v>
      </c>
      <c r="U32" s="92">
        <f t="shared" si="12"/>
        <v>0</v>
      </c>
      <c r="V32" s="92">
        <f t="shared" si="12"/>
        <v>0</v>
      </c>
      <c r="W32" s="92">
        <f t="shared" si="12"/>
        <v>0</v>
      </c>
      <c r="X32" s="92">
        <f t="shared" si="12"/>
        <v>0</v>
      </c>
      <c r="Y32" s="92">
        <f t="shared" si="12"/>
        <v>0</v>
      </c>
      <c r="Z32" s="92">
        <f t="shared" si="12"/>
        <v>0</v>
      </c>
      <c r="AA32" s="92">
        <f t="shared" si="12"/>
        <v>0</v>
      </c>
      <c r="AB32" s="92">
        <f t="shared" si="12"/>
        <v>0</v>
      </c>
      <c r="AC32" s="92">
        <f t="shared" si="12"/>
        <v>0</v>
      </c>
      <c r="AD32" s="92">
        <f t="shared" si="12"/>
        <v>0</v>
      </c>
      <c r="AE32" s="92">
        <f t="shared" si="12"/>
        <v>0</v>
      </c>
      <c r="AF32" s="92">
        <f t="shared" si="12"/>
        <v>0</v>
      </c>
      <c r="AG32" s="92">
        <f t="shared" si="12"/>
        <v>0</v>
      </c>
      <c r="AH32" s="93">
        <f t="shared" si="8"/>
        <v>0</v>
      </c>
      <c r="AI32" s="27"/>
      <c r="AJ32" s="27"/>
      <c r="AK32" s="73"/>
      <c r="AL32" s="28"/>
      <c r="AM32" s="3" t="s">
        <v>5</v>
      </c>
      <c r="AN32" s="75">
        <f t="shared" si="9"/>
        <v>0</v>
      </c>
      <c r="AO32" s="30"/>
    </row>
    <row r="33" spans="2:41" s="25" customFormat="1" ht="18" customHeight="1" x14ac:dyDescent="0.2">
      <c r="B33" s="92" t="s">
        <v>33</v>
      </c>
      <c r="C33" s="92">
        <f>C9/2500</f>
        <v>1219</v>
      </c>
      <c r="D33" s="92">
        <f t="shared" ref="D33:AG33" si="13">D9/2500</f>
        <v>178</v>
      </c>
      <c r="E33" s="92">
        <f t="shared" si="13"/>
        <v>275</v>
      </c>
      <c r="F33" s="92">
        <f t="shared" si="13"/>
        <v>463</v>
      </c>
      <c r="G33" s="92">
        <f t="shared" si="13"/>
        <v>0</v>
      </c>
      <c r="H33" s="92">
        <f t="shared" si="13"/>
        <v>66</v>
      </c>
      <c r="I33" s="92">
        <f t="shared" si="13"/>
        <v>47</v>
      </c>
      <c r="J33" s="92">
        <f t="shared" si="13"/>
        <v>44</v>
      </c>
      <c r="K33" s="92">
        <f t="shared" si="13"/>
        <v>16</v>
      </c>
      <c r="L33" s="92">
        <f t="shared" si="13"/>
        <v>435</v>
      </c>
      <c r="M33" s="92">
        <f t="shared" si="13"/>
        <v>265</v>
      </c>
      <c r="N33" s="92">
        <f t="shared" si="13"/>
        <v>0</v>
      </c>
      <c r="O33" s="92">
        <f t="shared" si="13"/>
        <v>37</v>
      </c>
      <c r="P33" s="92">
        <f t="shared" si="13"/>
        <v>7</v>
      </c>
      <c r="Q33" s="92">
        <f t="shared" si="13"/>
        <v>23</v>
      </c>
      <c r="R33" s="92">
        <f t="shared" si="13"/>
        <v>167</v>
      </c>
      <c r="S33" s="92">
        <f t="shared" si="13"/>
        <v>116</v>
      </c>
      <c r="T33" s="92">
        <f t="shared" si="13"/>
        <v>157</v>
      </c>
      <c r="U33" s="92">
        <f t="shared" si="13"/>
        <v>0</v>
      </c>
      <c r="V33" s="92">
        <f t="shared" si="13"/>
        <v>25</v>
      </c>
      <c r="W33" s="92">
        <f t="shared" si="13"/>
        <v>7</v>
      </c>
      <c r="X33" s="92">
        <f t="shared" si="13"/>
        <v>4</v>
      </c>
      <c r="Y33" s="92">
        <f t="shared" si="13"/>
        <v>0</v>
      </c>
      <c r="Z33" s="92">
        <f t="shared" si="13"/>
        <v>12</v>
      </c>
      <c r="AA33" s="92">
        <f t="shared" si="13"/>
        <v>152</v>
      </c>
      <c r="AB33" s="92">
        <f t="shared" si="13"/>
        <v>0</v>
      </c>
      <c r="AC33" s="92">
        <f t="shared" si="13"/>
        <v>7</v>
      </c>
      <c r="AD33" s="92">
        <f t="shared" si="13"/>
        <v>19</v>
      </c>
      <c r="AE33" s="92">
        <f t="shared" si="13"/>
        <v>0</v>
      </c>
      <c r="AF33" s="92">
        <f t="shared" si="13"/>
        <v>10</v>
      </c>
      <c r="AG33" s="92">
        <f t="shared" si="13"/>
        <v>129</v>
      </c>
      <c r="AH33" s="93">
        <f t="shared" si="8"/>
        <v>3880</v>
      </c>
      <c r="AI33" s="27"/>
      <c r="AJ33" s="27"/>
      <c r="AK33" s="73"/>
      <c r="AL33" s="28"/>
      <c r="AM33" s="3"/>
      <c r="AN33" s="75"/>
      <c r="AO33" s="30"/>
    </row>
    <row r="34" spans="2:41" s="25" customFormat="1" ht="18" customHeight="1" x14ac:dyDescent="0.2">
      <c r="B34" s="100" t="s">
        <v>21</v>
      </c>
      <c r="C34" s="100">
        <f t="shared" ref="C34:C35" si="14">C10/6000</f>
        <v>0</v>
      </c>
      <c r="D34" s="100">
        <f t="shared" ref="D34:AG34" si="15">D10/6000</f>
        <v>996</v>
      </c>
      <c r="E34" s="100">
        <f t="shared" si="15"/>
        <v>0</v>
      </c>
      <c r="F34" s="100">
        <f t="shared" si="15"/>
        <v>0</v>
      </c>
      <c r="G34" s="100">
        <f t="shared" si="15"/>
        <v>0</v>
      </c>
      <c r="H34" s="100">
        <f t="shared" si="15"/>
        <v>548</v>
      </c>
      <c r="I34" s="100">
        <f t="shared" si="15"/>
        <v>449</v>
      </c>
      <c r="J34" s="100">
        <f t="shared" si="15"/>
        <v>387</v>
      </c>
      <c r="K34" s="100">
        <f t="shared" si="15"/>
        <v>166</v>
      </c>
      <c r="L34" s="100">
        <f t="shared" si="15"/>
        <v>0</v>
      </c>
      <c r="M34" s="100">
        <f t="shared" si="15"/>
        <v>0</v>
      </c>
      <c r="N34" s="100">
        <f t="shared" si="15"/>
        <v>0</v>
      </c>
      <c r="O34" s="100">
        <f t="shared" si="15"/>
        <v>83</v>
      </c>
      <c r="P34" s="100">
        <f t="shared" si="15"/>
        <v>50</v>
      </c>
      <c r="Q34" s="100">
        <f t="shared" si="15"/>
        <v>65</v>
      </c>
      <c r="R34" s="100">
        <f t="shared" si="15"/>
        <v>0</v>
      </c>
      <c r="S34" s="100">
        <f t="shared" si="15"/>
        <v>0</v>
      </c>
      <c r="T34" s="100">
        <f t="shared" si="15"/>
        <v>0</v>
      </c>
      <c r="U34" s="100">
        <f t="shared" si="15"/>
        <v>0</v>
      </c>
      <c r="V34" s="100">
        <f t="shared" si="15"/>
        <v>123</v>
      </c>
      <c r="W34" s="100">
        <f t="shared" si="15"/>
        <v>65</v>
      </c>
      <c r="X34" s="100">
        <f t="shared" si="15"/>
        <v>36</v>
      </c>
      <c r="Y34" s="100">
        <f t="shared" si="15"/>
        <v>11</v>
      </c>
      <c r="Z34" s="100">
        <f t="shared" si="15"/>
        <v>0</v>
      </c>
      <c r="AA34" s="100">
        <f t="shared" si="15"/>
        <v>0</v>
      </c>
      <c r="AB34" s="100">
        <f t="shared" si="15"/>
        <v>0</v>
      </c>
      <c r="AC34" s="100">
        <f t="shared" si="15"/>
        <v>93</v>
      </c>
      <c r="AD34" s="100">
        <f t="shared" si="15"/>
        <v>77</v>
      </c>
      <c r="AE34" s="100">
        <f t="shared" si="15"/>
        <v>57</v>
      </c>
      <c r="AF34" s="100">
        <f t="shared" si="15"/>
        <v>44</v>
      </c>
      <c r="AG34" s="100">
        <f t="shared" si="15"/>
        <v>0</v>
      </c>
      <c r="AH34" s="93">
        <f t="shared" si="8"/>
        <v>3250</v>
      </c>
      <c r="AI34" s="27"/>
      <c r="AJ34" s="27"/>
      <c r="AK34" s="73"/>
      <c r="AL34" s="28"/>
      <c r="AM34" s="3" t="s">
        <v>10</v>
      </c>
      <c r="AN34" s="75">
        <f t="shared" si="9"/>
        <v>3250</v>
      </c>
      <c r="AO34" s="30"/>
    </row>
    <row r="35" spans="2:41" s="25" customFormat="1" ht="18" customHeight="1" thickBot="1" x14ac:dyDescent="0.25">
      <c r="B35" s="100" t="s">
        <v>22</v>
      </c>
      <c r="C35" s="100">
        <f t="shared" si="14"/>
        <v>0</v>
      </c>
      <c r="D35" s="100">
        <f t="shared" ref="D35:AG35" si="16">D11/6000</f>
        <v>908</v>
      </c>
      <c r="E35" s="100">
        <f t="shared" si="16"/>
        <v>0</v>
      </c>
      <c r="F35" s="100">
        <f t="shared" si="16"/>
        <v>0</v>
      </c>
      <c r="G35" s="100">
        <f t="shared" si="16"/>
        <v>0</v>
      </c>
      <c r="H35" s="100">
        <f t="shared" si="16"/>
        <v>265</v>
      </c>
      <c r="I35" s="100">
        <f t="shared" si="16"/>
        <v>208</v>
      </c>
      <c r="J35" s="100">
        <f t="shared" si="16"/>
        <v>262</v>
      </c>
      <c r="K35" s="100">
        <f t="shared" si="16"/>
        <v>123</v>
      </c>
      <c r="L35" s="100">
        <f t="shared" si="16"/>
        <v>0</v>
      </c>
      <c r="M35" s="100">
        <f t="shared" si="16"/>
        <v>0</v>
      </c>
      <c r="N35" s="100">
        <f t="shared" si="16"/>
        <v>0</v>
      </c>
      <c r="O35" s="100">
        <f t="shared" si="16"/>
        <v>51</v>
      </c>
      <c r="P35" s="100">
        <f t="shared" si="16"/>
        <v>6</v>
      </c>
      <c r="Q35" s="100">
        <f t="shared" si="16"/>
        <v>16</v>
      </c>
      <c r="R35" s="100">
        <f t="shared" si="16"/>
        <v>0</v>
      </c>
      <c r="S35" s="100">
        <f t="shared" si="16"/>
        <v>0</v>
      </c>
      <c r="T35" s="100">
        <f t="shared" si="16"/>
        <v>0</v>
      </c>
      <c r="U35" s="100">
        <f t="shared" si="16"/>
        <v>0</v>
      </c>
      <c r="V35" s="100">
        <f t="shared" si="16"/>
        <v>25</v>
      </c>
      <c r="W35" s="100">
        <f t="shared" si="16"/>
        <v>5</v>
      </c>
      <c r="X35" s="100">
        <f t="shared" si="16"/>
        <v>5</v>
      </c>
      <c r="Y35" s="100">
        <f t="shared" si="16"/>
        <v>2</v>
      </c>
      <c r="Z35" s="100">
        <f t="shared" si="16"/>
        <v>0</v>
      </c>
      <c r="AA35" s="100">
        <f t="shared" si="16"/>
        <v>0</v>
      </c>
      <c r="AB35" s="100">
        <f t="shared" si="16"/>
        <v>0</v>
      </c>
      <c r="AC35" s="100">
        <f t="shared" si="16"/>
        <v>9</v>
      </c>
      <c r="AD35" s="100">
        <f t="shared" si="16"/>
        <v>14</v>
      </c>
      <c r="AE35" s="100">
        <f t="shared" si="16"/>
        <v>2</v>
      </c>
      <c r="AF35" s="100">
        <f t="shared" si="16"/>
        <v>3</v>
      </c>
      <c r="AG35" s="100">
        <f t="shared" si="16"/>
        <v>0</v>
      </c>
      <c r="AH35" s="93">
        <f t="shared" si="8"/>
        <v>1904</v>
      </c>
      <c r="AI35" s="27"/>
      <c r="AJ35" s="27"/>
      <c r="AK35" s="73"/>
      <c r="AL35" s="28"/>
      <c r="AM35" s="77" t="s">
        <v>15</v>
      </c>
      <c r="AN35" s="75">
        <f t="shared" si="9"/>
        <v>1904</v>
      </c>
      <c r="AO35" s="30"/>
    </row>
    <row r="36" spans="2:41" s="29" customFormat="1" ht="18" customHeight="1" x14ac:dyDescent="0.2">
      <c r="B36" s="100" t="s">
        <v>24</v>
      </c>
      <c r="C36" s="100">
        <f t="shared" ref="C36:C37" si="17">C12/4500</f>
        <v>0</v>
      </c>
      <c r="D36" s="100">
        <f t="shared" ref="D36:AG36" si="18">D12/4500</f>
        <v>0</v>
      </c>
      <c r="E36" s="100">
        <f t="shared" si="18"/>
        <v>0</v>
      </c>
      <c r="F36" s="100">
        <f t="shared" si="18"/>
        <v>0</v>
      </c>
      <c r="G36" s="100">
        <f t="shared" si="18"/>
        <v>0</v>
      </c>
      <c r="H36" s="100">
        <f t="shared" si="18"/>
        <v>0</v>
      </c>
      <c r="I36" s="100">
        <f t="shared" si="18"/>
        <v>0</v>
      </c>
      <c r="J36" s="100">
        <f t="shared" si="18"/>
        <v>0</v>
      </c>
      <c r="K36" s="100">
        <f t="shared" si="18"/>
        <v>0</v>
      </c>
      <c r="L36" s="100">
        <f t="shared" si="18"/>
        <v>0</v>
      </c>
      <c r="M36" s="100">
        <f t="shared" si="18"/>
        <v>0</v>
      </c>
      <c r="N36" s="100">
        <f t="shared" si="18"/>
        <v>0</v>
      </c>
      <c r="O36" s="100">
        <f t="shared" si="18"/>
        <v>0</v>
      </c>
      <c r="P36" s="100">
        <f t="shared" si="18"/>
        <v>0</v>
      </c>
      <c r="Q36" s="100">
        <f t="shared" si="18"/>
        <v>0</v>
      </c>
      <c r="R36" s="100">
        <f t="shared" si="18"/>
        <v>0</v>
      </c>
      <c r="S36" s="100">
        <f t="shared" si="18"/>
        <v>0</v>
      </c>
      <c r="T36" s="100">
        <f t="shared" si="18"/>
        <v>0</v>
      </c>
      <c r="U36" s="100">
        <f t="shared" si="18"/>
        <v>0</v>
      </c>
      <c r="V36" s="100">
        <f t="shared" si="18"/>
        <v>0</v>
      </c>
      <c r="W36" s="100">
        <f t="shared" si="18"/>
        <v>0</v>
      </c>
      <c r="X36" s="100">
        <f t="shared" si="18"/>
        <v>0</v>
      </c>
      <c r="Y36" s="100">
        <f t="shared" si="18"/>
        <v>0</v>
      </c>
      <c r="Z36" s="100">
        <f t="shared" si="18"/>
        <v>0</v>
      </c>
      <c r="AA36" s="100">
        <f t="shared" si="18"/>
        <v>0</v>
      </c>
      <c r="AB36" s="100">
        <f t="shared" si="18"/>
        <v>0</v>
      </c>
      <c r="AC36" s="100">
        <f t="shared" si="18"/>
        <v>0</v>
      </c>
      <c r="AD36" s="100">
        <f t="shared" si="18"/>
        <v>0</v>
      </c>
      <c r="AE36" s="100">
        <f t="shared" si="18"/>
        <v>0</v>
      </c>
      <c r="AF36" s="100">
        <f t="shared" si="18"/>
        <v>0</v>
      </c>
      <c r="AG36" s="100">
        <f t="shared" si="18"/>
        <v>0</v>
      </c>
      <c r="AH36" s="93">
        <f t="shared" si="8"/>
        <v>0</v>
      </c>
      <c r="AI36" s="27"/>
      <c r="AJ36" s="27"/>
      <c r="AK36" s="73"/>
      <c r="AL36" s="28"/>
      <c r="AM36" s="78" t="s">
        <v>34</v>
      </c>
      <c r="AN36" s="75">
        <f t="shared" si="9"/>
        <v>0</v>
      </c>
    </row>
    <row r="37" spans="2:41" s="29" customFormat="1" ht="18" customHeight="1" x14ac:dyDescent="0.2">
      <c r="B37" s="100" t="s">
        <v>26</v>
      </c>
      <c r="C37" s="100">
        <f t="shared" si="17"/>
        <v>0</v>
      </c>
      <c r="D37" s="100">
        <f t="shared" ref="D37:AG37" si="19">D13/4500</f>
        <v>0</v>
      </c>
      <c r="E37" s="100">
        <f t="shared" si="19"/>
        <v>0</v>
      </c>
      <c r="F37" s="100">
        <f t="shared" si="19"/>
        <v>0</v>
      </c>
      <c r="G37" s="100">
        <f t="shared" si="19"/>
        <v>0</v>
      </c>
      <c r="H37" s="100">
        <f t="shared" si="19"/>
        <v>0</v>
      </c>
      <c r="I37" s="100">
        <f t="shared" si="19"/>
        <v>0</v>
      </c>
      <c r="J37" s="100">
        <f t="shared" si="19"/>
        <v>0</v>
      </c>
      <c r="K37" s="100">
        <f t="shared" si="19"/>
        <v>0</v>
      </c>
      <c r="L37" s="100">
        <f t="shared" si="19"/>
        <v>0</v>
      </c>
      <c r="M37" s="100">
        <f t="shared" si="19"/>
        <v>0</v>
      </c>
      <c r="N37" s="100">
        <f t="shared" si="19"/>
        <v>0</v>
      </c>
      <c r="O37" s="100">
        <f t="shared" si="19"/>
        <v>0</v>
      </c>
      <c r="P37" s="100">
        <f t="shared" si="19"/>
        <v>0</v>
      </c>
      <c r="Q37" s="100">
        <f t="shared" si="19"/>
        <v>0</v>
      </c>
      <c r="R37" s="100">
        <f t="shared" si="19"/>
        <v>0</v>
      </c>
      <c r="S37" s="100">
        <f t="shared" si="19"/>
        <v>0</v>
      </c>
      <c r="T37" s="100">
        <f t="shared" si="19"/>
        <v>0</v>
      </c>
      <c r="U37" s="100">
        <f t="shared" si="19"/>
        <v>0</v>
      </c>
      <c r="V37" s="100">
        <f t="shared" si="19"/>
        <v>0</v>
      </c>
      <c r="W37" s="100">
        <f t="shared" si="19"/>
        <v>0</v>
      </c>
      <c r="X37" s="100">
        <f t="shared" si="19"/>
        <v>0</v>
      </c>
      <c r="Y37" s="100">
        <f t="shared" si="19"/>
        <v>0</v>
      </c>
      <c r="Z37" s="100">
        <f t="shared" si="19"/>
        <v>0</v>
      </c>
      <c r="AA37" s="100">
        <f t="shared" si="19"/>
        <v>0</v>
      </c>
      <c r="AB37" s="100">
        <f t="shared" si="19"/>
        <v>0</v>
      </c>
      <c r="AC37" s="100">
        <f t="shared" si="19"/>
        <v>0</v>
      </c>
      <c r="AD37" s="100">
        <f t="shared" si="19"/>
        <v>0</v>
      </c>
      <c r="AE37" s="100">
        <f t="shared" si="19"/>
        <v>0</v>
      </c>
      <c r="AF37" s="100">
        <f t="shared" si="19"/>
        <v>0</v>
      </c>
      <c r="AG37" s="100">
        <f t="shared" si="19"/>
        <v>0</v>
      </c>
      <c r="AH37" s="93">
        <f t="shared" si="8"/>
        <v>0</v>
      </c>
      <c r="AI37" s="27"/>
      <c r="AJ37" s="27"/>
      <c r="AK37" s="73"/>
      <c r="AL37" s="28"/>
      <c r="AM37" s="79" t="s">
        <v>35</v>
      </c>
      <c r="AN37" s="75">
        <f t="shared" si="9"/>
        <v>0</v>
      </c>
    </row>
    <row r="38" spans="2:41" s="29" customFormat="1" ht="18" customHeight="1" x14ac:dyDescent="0.2">
      <c r="B38" s="104" t="s">
        <v>28</v>
      </c>
      <c r="C38" s="104">
        <f t="shared" ref="C38:C39" si="20">C14/7500</f>
        <v>2889</v>
      </c>
      <c r="D38" s="104">
        <f t="shared" ref="D38:AG38" si="21">D14/7500</f>
        <v>0</v>
      </c>
      <c r="E38" s="104">
        <f t="shared" si="21"/>
        <v>1522</v>
      </c>
      <c r="F38" s="104">
        <f t="shared" si="21"/>
        <v>1595</v>
      </c>
      <c r="G38" s="104">
        <f t="shared" si="21"/>
        <v>0</v>
      </c>
      <c r="H38" s="104">
        <f t="shared" si="21"/>
        <v>0</v>
      </c>
      <c r="I38" s="104">
        <f t="shared" si="21"/>
        <v>0</v>
      </c>
      <c r="J38" s="104">
        <f t="shared" si="21"/>
        <v>0</v>
      </c>
      <c r="K38" s="104">
        <f t="shared" si="21"/>
        <v>0</v>
      </c>
      <c r="L38" s="104">
        <f t="shared" si="21"/>
        <v>1224</v>
      </c>
      <c r="M38" s="104">
        <f t="shared" si="21"/>
        <v>1193</v>
      </c>
      <c r="N38" s="104">
        <f t="shared" si="21"/>
        <v>0</v>
      </c>
      <c r="O38" s="104">
        <f t="shared" si="21"/>
        <v>0</v>
      </c>
      <c r="P38" s="104">
        <f t="shared" si="21"/>
        <v>0</v>
      </c>
      <c r="Q38" s="104">
        <f t="shared" si="21"/>
        <v>0</v>
      </c>
      <c r="R38" s="104">
        <f t="shared" si="21"/>
        <v>935</v>
      </c>
      <c r="S38" s="104">
        <f t="shared" si="21"/>
        <v>962</v>
      </c>
      <c r="T38" s="104">
        <f t="shared" si="21"/>
        <v>534</v>
      </c>
      <c r="U38" s="104">
        <f t="shared" si="21"/>
        <v>0</v>
      </c>
      <c r="V38" s="104">
        <f t="shared" si="21"/>
        <v>0</v>
      </c>
      <c r="W38" s="104">
        <f t="shared" si="21"/>
        <v>0</v>
      </c>
      <c r="X38" s="104">
        <f t="shared" si="21"/>
        <v>0</v>
      </c>
      <c r="Y38" s="104">
        <f t="shared" si="21"/>
        <v>0</v>
      </c>
      <c r="Z38" s="104">
        <f t="shared" si="21"/>
        <v>204</v>
      </c>
      <c r="AA38" s="104">
        <f t="shared" si="21"/>
        <v>692</v>
      </c>
      <c r="AB38" s="104">
        <f t="shared" si="21"/>
        <v>0</v>
      </c>
      <c r="AC38" s="104">
        <f t="shared" si="21"/>
        <v>0</v>
      </c>
      <c r="AD38" s="104">
        <f t="shared" si="21"/>
        <v>0</v>
      </c>
      <c r="AE38" s="104">
        <f t="shared" si="21"/>
        <v>0</v>
      </c>
      <c r="AF38" s="104">
        <f t="shared" si="21"/>
        <v>0</v>
      </c>
      <c r="AG38" s="104">
        <f t="shared" si="21"/>
        <v>384</v>
      </c>
      <c r="AH38" s="93">
        <f t="shared" si="8"/>
        <v>12134</v>
      </c>
      <c r="AI38" s="27"/>
      <c r="AJ38" s="27"/>
      <c r="AK38" s="73"/>
      <c r="AL38" s="28"/>
      <c r="AM38" s="79" t="s">
        <v>36</v>
      </c>
      <c r="AN38" s="75">
        <f t="shared" si="9"/>
        <v>12134</v>
      </c>
    </row>
    <row r="39" spans="2:41" s="29" customFormat="1" ht="18" customHeight="1" x14ac:dyDescent="0.2">
      <c r="B39" s="104" t="s">
        <v>30</v>
      </c>
      <c r="C39" s="104">
        <f t="shared" si="20"/>
        <v>2396</v>
      </c>
      <c r="D39" s="104">
        <f t="shared" ref="D39:AG39" si="22">D15/7500</f>
        <v>0</v>
      </c>
      <c r="E39" s="104">
        <f t="shared" si="22"/>
        <v>1155</v>
      </c>
      <c r="F39" s="104">
        <f t="shared" si="22"/>
        <v>2130</v>
      </c>
      <c r="G39" s="104">
        <f t="shared" si="22"/>
        <v>0</v>
      </c>
      <c r="H39" s="104">
        <f t="shared" si="22"/>
        <v>0</v>
      </c>
      <c r="I39" s="104">
        <f t="shared" si="22"/>
        <v>0</v>
      </c>
      <c r="J39" s="104">
        <f t="shared" si="22"/>
        <v>0</v>
      </c>
      <c r="K39" s="104">
        <f t="shared" si="22"/>
        <v>0</v>
      </c>
      <c r="L39" s="104">
        <f t="shared" si="22"/>
        <v>984</v>
      </c>
      <c r="M39" s="104">
        <f t="shared" si="22"/>
        <v>986</v>
      </c>
      <c r="N39" s="104">
        <f t="shared" si="22"/>
        <v>0</v>
      </c>
      <c r="O39" s="104">
        <f t="shared" si="22"/>
        <v>0</v>
      </c>
      <c r="P39" s="104">
        <f t="shared" si="22"/>
        <v>0</v>
      </c>
      <c r="Q39" s="104">
        <f t="shared" si="22"/>
        <v>0</v>
      </c>
      <c r="R39" s="104">
        <f t="shared" si="22"/>
        <v>714</v>
      </c>
      <c r="S39" s="104">
        <f t="shared" si="22"/>
        <v>739</v>
      </c>
      <c r="T39" s="104">
        <f t="shared" si="22"/>
        <v>360</v>
      </c>
      <c r="U39" s="104">
        <f t="shared" si="22"/>
        <v>0</v>
      </c>
      <c r="V39" s="104">
        <f t="shared" si="22"/>
        <v>0</v>
      </c>
      <c r="W39" s="104">
        <f t="shared" si="22"/>
        <v>0</v>
      </c>
      <c r="X39" s="104">
        <f t="shared" si="22"/>
        <v>0</v>
      </c>
      <c r="Y39" s="104">
        <f t="shared" si="22"/>
        <v>0</v>
      </c>
      <c r="Z39" s="104">
        <f t="shared" si="22"/>
        <v>134</v>
      </c>
      <c r="AA39" s="104">
        <f t="shared" si="22"/>
        <v>548</v>
      </c>
      <c r="AB39" s="104">
        <f t="shared" si="22"/>
        <v>0</v>
      </c>
      <c r="AC39" s="104">
        <f t="shared" si="22"/>
        <v>0</v>
      </c>
      <c r="AD39" s="104">
        <f t="shared" si="22"/>
        <v>0</v>
      </c>
      <c r="AE39" s="104">
        <f t="shared" si="22"/>
        <v>0</v>
      </c>
      <c r="AF39" s="104">
        <f t="shared" si="22"/>
        <v>0</v>
      </c>
      <c r="AG39" s="104">
        <f t="shared" si="22"/>
        <v>263</v>
      </c>
      <c r="AH39" s="93">
        <f t="shared" si="8"/>
        <v>10409</v>
      </c>
      <c r="AI39" s="27"/>
      <c r="AJ39" s="27"/>
      <c r="AK39" s="73"/>
      <c r="AL39" s="28"/>
      <c r="AM39" s="79" t="s">
        <v>37</v>
      </c>
      <c r="AN39" s="75">
        <f t="shared" si="9"/>
        <v>10409</v>
      </c>
    </row>
    <row r="40" spans="2:41" s="29" customFormat="1" ht="18" customHeight="1" thickBot="1" x14ac:dyDescent="0.25">
      <c r="B40" s="104" t="s">
        <v>31</v>
      </c>
      <c r="C40" s="104">
        <f t="shared" ref="C40:C41" si="23">C16/5625</f>
        <v>0</v>
      </c>
      <c r="D40" s="104">
        <f t="shared" ref="D40:AG40" si="24">D16/5625</f>
        <v>0</v>
      </c>
      <c r="E40" s="104">
        <f t="shared" si="24"/>
        <v>0</v>
      </c>
      <c r="F40" s="104">
        <f t="shared" si="24"/>
        <v>0</v>
      </c>
      <c r="G40" s="104">
        <f t="shared" si="24"/>
        <v>0</v>
      </c>
      <c r="H40" s="104">
        <f t="shared" si="24"/>
        <v>0</v>
      </c>
      <c r="I40" s="104">
        <f t="shared" si="24"/>
        <v>0</v>
      </c>
      <c r="J40" s="104">
        <f t="shared" si="24"/>
        <v>0</v>
      </c>
      <c r="K40" s="104">
        <f t="shared" si="24"/>
        <v>0</v>
      </c>
      <c r="L40" s="104">
        <f t="shared" si="24"/>
        <v>0</v>
      </c>
      <c r="M40" s="104">
        <f t="shared" si="24"/>
        <v>0</v>
      </c>
      <c r="N40" s="104">
        <f t="shared" si="24"/>
        <v>0</v>
      </c>
      <c r="O40" s="104">
        <f t="shared" si="24"/>
        <v>0</v>
      </c>
      <c r="P40" s="104">
        <f t="shared" si="24"/>
        <v>0</v>
      </c>
      <c r="Q40" s="104">
        <f t="shared" si="24"/>
        <v>0</v>
      </c>
      <c r="R40" s="104">
        <f t="shared" si="24"/>
        <v>0</v>
      </c>
      <c r="S40" s="104">
        <f t="shared" si="24"/>
        <v>0</v>
      </c>
      <c r="T40" s="104">
        <f t="shared" si="24"/>
        <v>0</v>
      </c>
      <c r="U40" s="104">
        <f t="shared" si="24"/>
        <v>0</v>
      </c>
      <c r="V40" s="104">
        <f t="shared" si="24"/>
        <v>0</v>
      </c>
      <c r="W40" s="104">
        <f t="shared" si="24"/>
        <v>0</v>
      </c>
      <c r="X40" s="104">
        <f t="shared" si="24"/>
        <v>0</v>
      </c>
      <c r="Y40" s="104">
        <f t="shared" si="24"/>
        <v>0</v>
      </c>
      <c r="Z40" s="104">
        <f t="shared" si="24"/>
        <v>0</v>
      </c>
      <c r="AA40" s="104">
        <f t="shared" si="24"/>
        <v>0</v>
      </c>
      <c r="AB40" s="104">
        <f t="shared" si="24"/>
        <v>0</v>
      </c>
      <c r="AC40" s="104">
        <f t="shared" si="24"/>
        <v>0</v>
      </c>
      <c r="AD40" s="104">
        <f t="shared" si="24"/>
        <v>0</v>
      </c>
      <c r="AE40" s="104">
        <f t="shared" si="24"/>
        <v>0</v>
      </c>
      <c r="AF40" s="104">
        <f t="shared" si="24"/>
        <v>0</v>
      </c>
      <c r="AG40" s="104">
        <f t="shared" si="24"/>
        <v>0</v>
      </c>
      <c r="AH40" s="93">
        <f t="shared" si="8"/>
        <v>0</v>
      </c>
      <c r="AI40" s="27"/>
      <c r="AJ40" s="27"/>
      <c r="AK40" s="73"/>
      <c r="AL40" s="28"/>
      <c r="AM40" s="77" t="s">
        <v>15</v>
      </c>
      <c r="AN40" s="75">
        <f t="shared" si="9"/>
        <v>0</v>
      </c>
    </row>
    <row r="41" spans="2:41" s="25" customFormat="1" ht="18" customHeight="1" x14ac:dyDescent="0.2">
      <c r="B41" s="104" t="s">
        <v>32</v>
      </c>
      <c r="C41" s="104">
        <f t="shared" si="23"/>
        <v>0</v>
      </c>
      <c r="D41" s="104">
        <f t="shared" ref="D41:AG41" si="25">D17/5625</f>
        <v>0</v>
      </c>
      <c r="E41" s="104">
        <f t="shared" si="25"/>
        <v>0</v>
      </c>
      <c r="F41" s="104">
        <f t="shared" si="25"/>
        <v>0</v>
      </c>
      <c r="G41" s="104">
        <f t="shared" si="25"/>
        <v>0</v>
      </c>
      <c r="H41" s="104">
        <f t="shared" si="25"/>
        <v>0</v>
      </c>
      <c r="I41" s="104">
        <f t="shared" si="25"/>
        <v>0</v>
      </c>
      <c r="J41" s="104">
        <f t="shared" si="25"/>
        <v>0</v>
      </c>
      <c r="K41" s="104">
        <f t="shared" si="25"/>
        <v>0</v>
      </c>
      <c r="L41" s="104">
        <f t="shared" si="25"/>
        <v>0</v>
      </c>
      <c r="M41" s="104">
        <f t="shared" si="25"/>
        <v>0</v>
      </c>
      <c r="N41" s="104">
        <f t="shared" si="25"/>
        <v>0</v>
      </c>
      <c r="O41" s="104">
        <f t="shared" si="25"/>
        <v>0</v>
      </c>
      <c r="P41" s="104">
        <f t="shared" si="25"/>
        <v>0</v>
      </c>
      <c r="Q41" s="104">
        <f t="shared" si="25"/>
        <v>0</v>
      </c>
      <c r="R41" s="104">
        <f t="shared" si="25"/>
        <v>0</v>
      </c>
      <c r="S41" s="104">
        <f t="shared" si="25"/>
        <v>0</v>
      </c>
      <c r="T41" s="104">
        <f t="shared" si="25"/>
        <v>0</v>
      </c>
      <c r="U41" s="104">
        <f t="shared" si="25"/>
        <v>0</v>
      </c>
      <c r="V41" s="104">
        <f t="shared" si="25"/>
        <v>0</v>
      </c>
      <c r="W41" s="104">
        <f t="shared" si="25"/>
        <v>0</v>
      </c>
      <c r="X41" s="104">
        <f t="shared" si="25"/>
        <v>0</v>
      </c>
      <c r="Y41" s="104">
        <f t="shared" si="25"/>
        <v>0</v>
      </c>
      <c r="Z41" s="104">
        <f t="shared" si="25"/>
        <v>0</v>
      </c>
      <c r="AA41" s="104">
        <f t="shared" si="25"/>
        <v>0</v>
      </c>
      <c r="AB41" s="104">
        <f t="shared" si="25"/>
        <v>0</v>
      </c>
      <c r="AC41" s="104">
        <f t="shared" si="25"/>
        <v>0</v>
      </c>
      <c r="AD41" s="104">
        <f t="shared" si="25"/>
        <v>0</v>
      </c>
      <c r="AE41" s="104">
        <f t="shared" si="25"/>
        <v>0</v>
      </c>
      <c r="AF41" s="104">
        <f t="shared" si="25"/>
        <v>0</v>
      </c>
      <c r="AG41" s="104">
        <f t="shared" si="25"/>
        <v>0</v>
      </c>
      <c r="AH41" s="93">
        <f t="shared" si="8"/>
        <v>0</v>
      </c>
      <c r="AI41" s="6"/>
      <c r="AJ41" s="6"/>
      <c r="AK41" s="14"/>
      <c r="AL41" s="28"/>
      <c r="AM41" s="70"/>
      <c r="AN41" s="80"/>
      <c r="AO41" s="30"/>
    </row>
    <row r="42" spans="2:41" s="25" customFormat="1" ht="18" customHeight="1" x14ac:dyDescent="0.2">
      <c r="B42" s="92" t="s">
        <v>6</v>
      </c>
      <c r="C42" s="92">
        <f t="shared" ref="C42" si="26">C18/15000</f>
        <v>0</v>
      </c>
      <c r="D42" s="92">
        <f t="shared" ref="D42:AG42" si="27">D18/15000</f>
        <v>0</v>
      </c>
      <c r="E42" s="92">
        <f t="shared" si="27"/>
        <v>0</v>
      </c>
      <c r="F42" s="92">
        <f t="shared" si="27"/>
        <v>0</v>
      </c>
      <c r="G42" s="92">
        <f t="shared" si="27"/>
        <v>0</v>
      </c>
      <c r="H42" s="92">
        <f t="shared" si="27"/>
        <v>0</v>
      </c>
      <c r="I42" s="92">
        <f t="shared" si="27"/>
        <v>0</v>
      </c>
      <c r="J42" s="92">
        <f t="shared" si="27"/>
        <v>0</v>
      </c>
      <c r="K42" s="92">
        <f t="shared" si="27"/>
        <v>0</v>
      </c>
      <c r="L42" s="92">
        <f t="shared" si="27"/>
        <v>0</v>
      </c>
      <c r="M42" s="92">
        <f t="shared" si="27"/>
        <v>0</v>
      </c>
      <c r="N42" s="92">
        <f t="shared" si="27"/>
        <v>0</v>
      </c>
      <c r="O42" s="92">
        <f t="shared" si="27"/>
        <v>0</v>
      </c>
      <c r="P42" s="92">
        <f t="shared" si="27"/>
        <v>0</v>
      </c>
      <c r="Q42" s="92">
        <f t="shared" si="27"/>
        <v>0</v>
      </c>
      <c r="R42" s="92">
        <f t="shared" si="27"/>
        <v>0</v>
      </c>
      <c r="S42" s="92">
        <f t="shared" si="27"/>
        <v>0</v>
      </c>
      <c r="T42" s="92">
        <f t="shared" si="27"/>
        <v>0</v>
      </c>
      <c r="U42" s="92">
        <f t="shared" si="27"/>
        <v>0</v>
      </c>
      <c r="V42" s="92">
        <f t="shared" si="27"/>
        <v>0</v>
      </c>
      <c r="W42" s="92">
        <f t="shared" si="27"/>
        <v>0</v>
      </c>
      <c r="X42" s="92">
        <f t="shared" si="27"/>
        <v>0</v>
      </c>
      <c r="Y42" s="92">
        <f t="shared" si="27"/>
        <v>0</v>
      </c>
      <c r="Z42" s="92">
        <f t="shared" si="27"/>
        <v>0</v>
      </c>
      <c r="AA42" s="92">
        <f t="shared" si="27"/>
        <v>0</v>
      </c>
      <c r="AB42" s="92">
        <f t="shared" si="27"/>
        <v>0</v>
      </c>
      <c r="AC42" s="92">
        <f t="shared" si="27"/>
        <v>0</v>
      </c>
      <c r="AD42" s="92">
        <f t="shared" si="27"/>
        <v>0</v>
      </c>
      <c r="AE42" s="92">
        <f t="shared" si="27"/>
        <v>0</v>
      </c>
      <c r="AF42" s="92">
        <f t="shared" si="27"/>
        <v>0</v>
      </c>
      <c r="AG42" s="92">
        <f t="shared" si="27"/>
        <v>0</v>
      </c>
      <c r="AH42" s="93">
        <f t="shared" si="8"/>
        <v>0</v>
      </c>
      <c r="AI42" s="6"/>
      <c r="AJ42" s="6"/>
      <c r="AK42" s="14"/>
      <c r="AL42" s="28"/>
      <c r="AM42" s="70"/>
      <c r="AN42" s="29"/>
      <c r="AO42" s="30"/>
    </row>
    <row r="43" spans="2:41" s="17" customFormat="1" ht="18" customHeight="1" x14ac:dyDescent="0.2">
      <c r="B43" s="92" t="s">
        <v>7</v>
      </c>
      <c r="C43" s="92">
        <f t="shared" ref="C43" si="28">C19/12500</f>
        <v>0</v>
      </c>
      <c r="D43" s="92">
        <f t="shared" ref="D43:AG43" si="29">D19/12500</f>
        <v>0</v>
      </c>
      <c r="E43" s="92">
        <f t="shared" si="29"/>
        <v>0</v>
      </c>
      <c r="F43" s="92">
        <f t="shared" si="29"/>
        <v>0</v>
      </c>
      <c r="G43" s="92">
        <f t="shared" si="29"/>
        <v>0</v>
      </c>
      <c r="H43" s="92">
        <f t="shared" si="29"/>
        <v>0</v>
      </c>
      <c r="I43" s="92">
        <f t="shared" si="29"/>
        <v>0</v>
      </c>
      <c r="J43" s="92">
        <f t="shared" si="29"/>
        <v>0</v>
      </c>
      <c r="K43" s="92">
        <f t="shared" si="29"/>
        <v>0</v>
      </c>
      <c r="L43" s="92">
        <f t="shared" si="29"/>
        <v>0</v>
      </c>
      <c r="M43" s="92">
        <f t="shared" si="29"/>
        <v>0</v>
      </c>
      <c r="N43" s="92">
        <f t="shared" si="29"/>
        <v>0</v>
      </c>
      <c r="O43" s="92">
        <f t="shared" si="29"/>
        <v>0</v>
      </c>
      <c r="P43" s="92">
        <f t="shared" si="29"/>
        <v>0</v>
      </c>
      <c r="Q43" s="92">
        <f t="shared" si="29"/>
        <v>0</v>
      </c>
      <c r="R43" s="92">
        <f t="shared" si="29"/>
        <v>0</v>
      </c>
      <c r="S43" s="92">
        <f t="shared" si="29"/>
        <v>0</v>
      </c>
      <c r="T43" s="92">
        <f t="shared" si="29"/>
        <v>0</v>
      </c>
      <c r="U43" s="92">
        <f t="shared" si="29"/>
        <v>0</v>
      </c>
      <c r="V43" s="92">
        <f t="shared" si="29"/>
        <v>0</v>
      </c>
      <c r="W43" s="92">
        <f t="shared" si="29"/>
        <v>0</v>
      </c>
      <c r="X43" s="92">
        <f t="shared" si="29"/>
        <v>0</v>
      </c>
      <c r="Y43" s="92">
        <f t="shared" si="29"/>
        <v>0</v>
      </c>
      <c r="Z43" s="92">
        <f t="shared" si="29"/>
        <v>0</v>
      </c>
      <c r="AA43" s="92">
        <f t="shared" si="29"/>
        <v>0</v>
      </c>
      <c r="AB43" s="92">
        <f t="shared" si="29"/>
        <v>0</v>
      </c>
      <c r="AC43" s="92">
        <f t="shared" si="29"/>
        <v>0</v>
      </c>
      <c r="AD43" s="92">
        <f t="shared" si="29"/>
        <v>0</v>
      </c>
      <c r="AE43" s="92">
        <f t="shared" si="29"/>
        <v>0</v>
      </c>
      <c r="AF43" s="92">
        <f t="shared" si="29"/>
        <v>0</v>
      </c>
      <c r="AG43" s="92">
        <f t="shared" si="29"/>
        <v>0</v>
      </c>
      <c r="AH43" s="93">
        <f t="shared" si="8"/>
        <v>0</v>
      </c>
      <c r="AI43" s="2"/>
      <c r="AJ43" s="2"/>
      <c r="AK43" s="14"/>
      <c r="AL43" s="15"/>
      <c r="AM43" s="16"/>
    </row>
    <row r="44" spans="2:41" s="17" customFormat="1" ht="18" customHeight="1" x14ac:dyDescent="0.2">
      <c r="B44" s="92" t="s">
        <v>8</v>
      </c>
      <c r="C44" s="92">
        <f t="shared" ref="C44" si="30">C20/6000</f>
        <v>0</v>
      </c>
      <c r="D44" s="92">
        <f t="shared" ref="D44:AG44" si="31">D20/6000</f>
        <v>0</v>
      </c>
      <c r="E44" s="92">
        <f t="shared" si="31"/>
        <v>0</v>
      </c>
      <c r="F44" s="92">
        <f t="shared" si="31"/>
        <v>0</v>
      </c>
      <c r="G44" s="92">
        <f t="shared" si="31"/>
        <v>0</v>
      </c>
      <c r="H44" s="92">
        <f t="shared" si="31"/>
        <v>0</v>
      </c>
      <c r="I44" s="92">
        <f t="shared" si="31"/>
        <v>0</v>
      </c>
      <c r="J44" s="92">
        <f t="shared" si="31"/>
        <v>0</v>
      </c>
      <c r="K44" s="92">
        <f t="shared" si="31"/>
        <v>0</v>
      </c>
      <c r="L44" s="92">
        <f t="shared" si="31"/>
        <v>0</v>
      </c>
      <c r="M44" s="92">
        <f t="shared" si="31"/>
        <v>0</v>
      </c>
      <c r="N44" s="92">
        <f t="shared" si="31"/>
        <v>0</v>
      </c>
      <c r="O44" s="92">
        <f t="shared" si="31"/>
        <v>0</v>
      </c>
      <c r="P44" s="92">
        <f t="shared" si="31"/>
        <v>0</v>
      </c>
      <c r="Q44" s="92">
        <f t="shared" si="31"/>
        <v>0</v>
      </c>
      <c r="R44" s="92">
        <f t="shared" si="31"/>
        <v>0</v>
      </c>
      <c r="S44" s="92">
        <f t="shared" si="31"/>
        <v>0</v>
      </c>
      <c r="T44" s="92">
        <f t="shared" si="31"/>
        <v>0</v>
      </c>
      <c r="U44" s="92">
        <f t="shared" si="31"/>
        <v>0</v>
      </c>
      <c r="V44" s="92">
        <f t="shared" si="31"/>
        <v>0</v>
      </c>
      <c r="W44" s="92">
        <f t="shared" si="31"/>
        <v>0</v>
      </c>
      <c r="X44" s="92">
        <f t="shared" si="31"/>
        <v>0</v>
      </c>
      <c r="Y44" s="92">
        <f t="shared" si="31"/>
        <v>0</v>
      </c>
      <c r="Z44" s="92">
        <f t="shared" si="31"/>
        <v>0</v>
      </c>
      <c r="AA44" s="92">
        <f t="shared" si="31"/>
        <v>0</v>
      </c>
      <c r="AB44" s="92">
        <f t="shared" si="31"/>
        <v>0</v>
      </c>
      <c r="AC44" s="92">
        <f t="shared" si="31"/>
        <v>0</v>
      </c>
      <c r="AD44" s="92">
        <f t="shared" si="31"/>
        <v>0</v>
      </c>
      <c r="AE44" s="92">
        <f t="shared" si="31"/>
        <v>0</v>
      </c>
      <c r="AF44" s="92">
        <f t="shared" si="31"/>
        <v>0</v>
      </c>
      <c r="AG44" s="92">
        <f t="shared" si="31"/>
        <v>0</v>
      </c>
      <c r="AH44" s="93">
        <f t="shared" si="8"/>
        <v>0</v>
      </c>
      <c r="AI44" s="2"/>
      <c r="AJ44" s="2"/>
      <c r="AK44" s="14"/>
      <c r="AL44" s="15"/>
      <c r="AM44" s="16"/>
    </row>
    <row r="45" spans="2:41" s="17" customFormat="1" ht="18" customHeight="1" x14ac:dyDescent="0.2">
      <c r="B45" s="92" t="s">
        <v>9</v>
      </c>
      <c r="C45" s="92">
        <f t="shared" ref="C45" si="32">C21/3000</f>
        <v>0</v>
      </c>
      <c r="D45" s="92">
        <f t="shared" ref="D45:AG45" si="33">D21/3000</f>
        <v>0</v>
      </c>
      <c r="E45" s="92">
        <f t="shared" si="33"/>
        <v>0</v>
      </c>
      <c r="F45" s="92">
        <f t="shared" si="33"/>
        <v>0</v>
      </c>
      <c r="G45" s="92">
        <f t="shared" si="33"/>
        <v>0</v>
      </c>
      <c r="H45" s="92">
        <f t="shared" si="33"/>
        <v>0</v>
      </c>
      <c r="I45" s="92">
        <f t="shared" si="33"/>
        <v>0</v>
      </c>
      <c r="J45" s="92">
        <f t="shared" si="33"/>
        <v>0</v>
      </c>
      <c r="K45" s="92">
        <f t="shared" si="33"/>
        <v>0</v>
      </c>
      <c r="L45" s="92">
        <f t="shared" si="33"/>
        <v>0</v>
      </c>
      <c r="M45" s="92">
        <f t="shared" si="33"/>
        <v>0</v>
      </c>
      <c r="N45" s="92">
        <f t="shared" si="33"/>
        <v>0</v>
      </c>
      <c r="O45" s="92">
        <f t="shared" si="33"/>
        <v>0</v>
      </c>
      <c r="P45" s="92">
        <f t="shared" si="33"/>
        <v>0</v>
      </c>
      <c r="Q45" s="92">
        <f t="shared" si="33"/>
        <v>0</v>
      </c>
      <c r="R45" s="92">
        <f t="shared" si="33"/>
        <v>0</v>
      </c>
      <c r="S45" s="92">
        <f t="shared" si="33"/>
        <v>0</v>
      </c>
      <c r="T45" s="92">
        <f t="shared" si="33"/>
        <v>0</v>
      </c>
      <c r="U45" s="92">
        <f t="shared" si="33"/>
        <v>0</v>
      </c>
      <c r="V45" s="92">
        <f t="shared" si="33"/>
        <v>0</v>
      </c>
      <c r="W45" s="92">
        <f t="shared" si="33"/>
        <v>0</v>
      </c>
      <c r="X45" s="92">
        <f t="shared" si="33"/>
        <v>0</v>
      </c>
      <c r="Y45" s="92">
        <f t="shared" si="33"/>
        <v>0</v>
      </c>
      <c r="Z45" s="92">
        <f t="shared" si="33"/>
        <v>0</v>
      </c>
      <c r="AA45" s="92">
        <f t="shared" si="33"/>
        <v>0</v>
      </c>
      <c r="AB45" s="92">
        <f t="shared" si="33"/>
        <v>0</v>
      </c>
      <c r="AC45" s="92">
        <f t="shared" si="33"/>
        <v>0</v>
      </c>
      <c r="AD45" s="92">
        <f t="shared" si="33"/>
        <v>0</v>
      </c>
      <c r="AE45" s="92">
        <f t="shared" si="33"/>
        <v>0</v>
      </c>
      <c r="AF45" s="92">
        <f t="shared" si="33"/>
        <v>0</v>
      </c>
      <c r="AG45" s="92">
        <f t="shared" si="33"/>
        <v>0</v>
      </c>
      <c r="AH45" s="93">
        <f t="shared" si="8"/>
        <v>0</v>
      </c>
      <c r="AI45" s="2"/>
      <c r="AJ45" s="2"/>
      <c r="AK45" s="14"/>
      <c r="AL45" s="15"/>
      <c r="AM45" s="16"/>
    </row>
    <row r="46" spans="2:41" s="17" customFormat="1" ht="18" customHeight="1" x14ac:dyDescent="0.2">
      <c r="B46" s="92" t="s">
        <v>10</v>
      </c>
      <c r="C46" s="92">
        <f t="shared" ref="C46" si="34">C22/1000</f>
        <v>0</v>
      </c>
      <c r="D46" s="92">
        <f t="shared" ref="D46:AG46" si="35">D22/1000</f>
        <v>0</v>
      </c>
      <c r="E46" s="92">
        <f t="shared" si="35"/>
        <v>0</v>
      </c>
      <c r="F46" s="92">
        <f t="shared" si="35"/>
        <v>0</v>
      </c>
      <c r="G46" s="92">
        <f t="shared" si="35"/>
        <v>0</v>
      </c>
      <c r="H46" s="92">
        <f t="shared" si="35"/>
        <v>0</v>
      </c>
      <c r="I46" s="92">
        <f t="shared" si="35"/>
        <v>0</v>
      </c>
      <c r="J46" s="92">
        <f t="shared" si="35"/>
        <v>0</v>
      </c>
      <c r="K46" s="92">
        <f t="shared" si="35"/>
        <v>0</v>
      </c>
      <c r="L46" s="92">
        <f t="shared" si="35"/>
        <v>0</v>
      </c>
      <c r="M46" s="92">
        <f t="shared" si="35"/>
        <v>0</v>
      </c>
      <c r="N46" s="92">
        <f t="shared" si="35"/>
        <v>0</v>
      </c>
      <c r="O46" s="92">
        <f t="shared" si="35"/>
        <v>0</v>
      </c>
      <c r="P46" s="92">
        <f t="shared" si="35"/>
        <v>0</v>
      </c>
      <c r="Q46" s="92">
        <f t="shared" si="35"/>
        <v>0</v>
      </c>
      <c r="R46" s="92">
        <f t="shared" si="35"/>
        <v>0</v>
      </c>
      <c r="S46" s="92">
        <f t="shared" si="35"/>
        <v>0</v>
      </c>
      <c r="T46" s="92">
        <f t="shared" si="35"/>
        <v>0</v>
      </c>
      <c r="U46" s="92">
        <f t="shared" si="35"/>
        <v>0</v>
      </c>
      <c r="V46" s="92">
        <f t="shared" si="35"/>
        <v>0</v>
      </c>
      <c r="W46" s="92">
        <f t="shared" si="35"/>
        <v>0</v>
      </c>
      <c r="X46" s="92">
        <f t="shared" si="35"/>
        <v>0</v>
      </c>
      <c r="Y46" s="92">
        <f t="shared" si="35"/>
        <v>0</v>
      </c>
      <c r="Z46" s="92">
        <f t="shared" si="35"/>
        <v>0</v>
      </c>
      <c r="AA46" s="92">
        <f t="shared" si="35"/>
        <v>0</v>
      </c>
      <c r="AB46" s="92">
        <f t="shared" si="35"/>
        <v>0</v>
      </c>
      <c r="AC46" s="92">
        <f t="shared" si="35"/>
        <v>0</v>
      </c>
      <c r="AD46" s="92">
        <f t="shared" si="35"/>
        <v>0</v>
      </c>
      <c r="AE46" s="92">
        <f t="shared" si="35"/>
        <v>0</v>
      </c>
      <c r="AF46" s="92">
        <f t="shared" si="35"/>
        <v>0</v>
      </c>
      <c r="AG46" s="92">
        <f t="shared" si="35"/>
        <v>0</v>
      </c>
      <c r="AH46" s="93">
        <f t="shared" si="8"/>
        <v>0</v>
      </c>
      <c r="AI46" s="2"/>
      <c r="AJ46" s="2"/>
      <c r="AK46" s="14"/>
      <c r="AL46" s="15"/>
      <c r="AM46" s="16"/>
    </row>
    <row r="47" spans="2:41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2"/>
      <c r="AI47" s="2"/>
      <c r="AJ47" s="2"/>
      <c r="AK47" s="14"/>
      <c r="AL47" s="15"/>
      <c r="AM47" s="16"/>
    </row>
    <row r="48" spans="2:41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2"/>
      <c r="AI48" s="2"/>
      <c r="AJ48" s="2"/>
      <c r="AK48" s="14"/>
      <c r="AL48" s="15"/>
      <c r="AM48" s="16"/>
    </row>
    <row r="49" spans="2:40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2"/>
      <c r="AI49" s="2"/>
      <c r="AJ49" s="2"/>
      <c r="AK49" s="14"/>
      <c r="AL49" s="15"/>
      <c r="AM49" s="16"/>
    </row>
    <row r="50" spans="2:40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2"/>
      <c r="AI50" s="2"/>
      <c r="AJ50" s="2"/>
      <c r="AK50" s="14"/>
      <c r="AL50" s="15"/>
      <c r="AM50" s="81"/>
      <c r="AN50" s="17"/>
    </row>
    <row r="51" spans="2:40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"/>
      <c r="AI51" s="2"/>
      <c r="AJ51" s="2"/>
      <c r="AK51" s="14"/>
      <c r="AL51" s="15"/>
      <c r="AM51" s="81"/>
      <c r="AN51" s="17"/>
    </row>
    <row r="52" spans="2:40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2"/>
      <c r="AI52" s="2"/>
      <c r="AJ52" s="2"/>
      <c r="AK52" s="14"/>
      <c r="AL52" s="15"/>
      <c r="AM52" s="81"/>
      <c r="AN52" s="17"/>
    </row>
    <row r="53" spans="2:40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2"/>
      <c r="AJ53" s="2"/>
      <c r="AK53" s="14"/>
      <c r="AL53" s="15"/>
      <c r="AM53" s="81"/>
      <c r="AN53" s="17"/>
    </row>
    <row r="54" spans="2:40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2"/>
      <c r="AI54" s="2"/>
      <c r="AJ54" s="2"/>
      <c r="AK54" s="14"/>
      <c r="AL54" s="15"/>
      <c r="AM54" s="81"/>
      <c r="AN54" s="17"/>
    </row>
    <row r="55" spans="2:40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2"/>
      <c r="AI55" s="2"/>
      <c r="AJ55" s="2"/>
      <c r="AK55" s="14"/>
      <c r="AL55" s="15"/>
      <c r="AM55" s="81"/>
      <c r="AN55" s="17"/>
    </row>
    <row r="56" spans="2:40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2"/>
      <c r="AI56" s="2"/>
      <c r="AJ56" s="2"/>
      <c r="AK56" s="14"/>
      <c r="AL56" s="15"/>
      <c r="AM56" s="81"/>
      <c r="AN56" s="17"/>
    </row>
    <row r="57" spans="2:40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"/>
      <c r="AI57" s="2"/>
      <c r="AJ57" s="2"/>
      <c r="AK57" s="14"/>
      <c r="AL57" s="15"/>
      <c r="AM57" s="81"/>
      <c r="AN57" s="17"/>
    </row>
    <row r="58" spans="2:40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2"/>
      <c r="AI58" s="2"/>
      <c r="AJ58" s="2"/>
      <c r="AK58" s="14"/>
      <c r="AL58" s="15"/>
      <c r="AM58" s="81"/>
      <c r="AN58" s="17"/>
    </row>
    <row r="59" spans="2:40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2"/>
      <c r="AI59" s="2"/>
      <c r="AJ59" s="2"/>
      <c r="AK59" s="14"/>
      <c r="AL59" s="15"/>
      <c r="AM59" s="81"/>
      <c r="AN59" s="17"/>
    </row>
    <row r="60" spans="2:40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2"/>
      <c r="AI60" s="2"/>
      <c r="AJ60" s="2"/>
      <c r="AK60" s="14"/>
      <c r="AL60" s="15"/>
      <c r="AM60" s="81"/>
      <c r="AN60" s="17"/>
    </row>
    <row r="61" spans="2:40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2"/>
      <c r="AI61" s="2"/>
      <c r="AJ61" s="2"/>
      <c r="AK61" s="14"/>
      <c r="AL61" s="15"/>
      <c r="AM61" s="81"/>
      <c r="AN61" s="17"/>
    </row>
    <row r="62" spans="2:40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2"/>
      <c r="AI62" s="2"/>
      <c r="AJ62" s="2"/>
      <c r="AK62" s="14"/>
      <c r="AL62" s="15"/>
      <c r="AM62" s="81"/>
      <c r="AN62" s="17"/>
    </row>
    <row r="63" spans="2:40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2"/>
      <c r="AI63" s="2"/>
      <c r="AJ63" s="2"/>
      <c r="AK63" s="14"/>
      <c r="AL63" s="15"/>
      <c r="AM63" s="81"/>
      <c r="AN63" s="17"/>
    </row>
    <row r="64" spans="2:40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2"/>
      <c r="AI64" s="2"/>
      <c r="AJ64" s="2"/>
      <c r="AK64" s="14"/>
      <c r="AL64" s="15"/>
      <c r="AM64" s="81"/>
      <c r="AN64" s="17"/>
    </row>
    <row r="65" spans="2:40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2"/>
      <c r="AI65" s="2"/>
      <c r="AJ65" s="2"/>
      <c r="AK65" s="14"/>
      <c r="AL65" s="15"/>
      <c r="AM65" s="81"/>
      <c r="AN65" s="17"/>
    </row>
    <row r="66" spans="2:40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2"/>
      <c r="AI66" s="2"/>
      <c r="AJ66" s="2"/>
      <c r="AK66" s="14"/>
      <c r="AL66" s="15"/>
      <c r="AM66" s="81"/>
      <c r="AN66" s="17"/>
    </row>
    <row r="67" spans="2:40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2"/>
      <c r="AI67" s="2"/>
      <c r="AJ67" s="2"/>
      <c r="AK67" s="14"/>
      <c r="AL67" s="15"/>
      <c r="AM67" s="81"/>
      <c r="AN67" s="17"/>
    </row>
    <row r="68" spans="2:40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2"/>
      <c r="AI68" s="2"/>
      <c r="AJ68" s="2"/>
      <c r="AK68" s="14"/>
      <c r="AL68" s="15"/>
      <c r="AM68" s="81"/>
      <c r="AN68" s="17"/>
    </row>
    <row r="69" spans="2:40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2"/>
      <c r="AI69" s="2"/>
      <c r="AJ69" s="2"/>
      <c r="AK69" s="14"/>
      <c r="AL69" s="15"/>
      <c r="AM69" s="81"/>
      <c r="AN69" s="17"/>
    </row>
    <row r="70" spans="2:40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2"/>
      <c r="AI70" s="2"/>
      <c r="AJ70" s="2"/>
      <c r="AK70" s="14"/>
      <c r="AL70" s="15"/>
      <c r="AM70" s="81"/>
      <c r="AN70" s="17"/>
    </row>
    <row r="71" spans="2:40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2"/>
      <c r="AI71" s="2"/>
      <c r="AJ71" s="2"/>
      <c r="AK71" s="14"/>
      <c r="AL71" s="15"/>
      <c r="AM71" s="81"/>
      <c r="AN71" s="17"/>
    </row>
    <row r="72" spans="2:40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2"/>
      <c r="AI72" s="2"/>
      <c r="AJ72" s="2"/>
      <c r="AK72" s="14"/>
      <c r="AL72" s="15"/>
      <c r="AM72" s="81"/>
      <c r="AN72" s="17"/>
    </row>
    <row r="73" spans="2:40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2"/>
      <c r="AI73" s="2"/>
      <c r="AJ73" s="2"/>
      <c r="AK73" s="14"/>
      <c r="AL73" s="15"/>
      <c r="AM73" s="81"/>
      <c r="AN73" s="17"/>
    </row>
    <row r="74" spans="2:40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2"/>
      <c r="AI74" s="2"/>
      <c r="AJ74" s="2"/>
      <c r="AK74" s="14"/>
      <c r="AL74" s="15"/>
      <c r="AM74" s="81"/>
      <c r="AN74" s="17"/>
    </row>
    <row r="75" spans="2:40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2"/>
      <c r="AI75" s="2"/>
      <c r="AJ75" s="2"/>
      <c r="AK75" s="14"/>
      <c r="AL75" s="15"/>
      <c r="AM75" s="81"/>
      <c r="AN75" s="17"/>
    </row>
    <row r="76" spans="2:40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2"/>
      <c r="AI76" s="2"/>
      <c r="AJ76" s="2"/>
      <c r="AK76" s="14"/>
      <c r="AL76" s="15"/>
      <c r="AM76" s="81"/>
      <c r="AN76" s="17"/>
    </row>
    <row r="77" spans="2:40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2"/>
      <c r="AI77" s="2"/>
      <c r="AJ77" s="2"/>
      <c r="AK77" s="14"/>
      <c r="AL77" s="15"/>
      <c r="AM77" s="81"/>
      <c r="AN77" s="17"/>
    </row>
    <row r="78" spans="2:40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2"/>
      <c r="AI78" s="2"/>
      <c r="AJ78" s="2"/>
      <c r="AK78" s="14"/>
      <c r="AL78" s="15"/>
      <c r="AM78" s="81"/>
      <c r="AN78" s="17"/>
    </row>
    <row r="79" spans="2:40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2"/>
      <c r="AI79" s="2"/>
      <c r="AJ79" s="2"/>
      <c r="AK79" s="14"/>
      <c r="AL79" s="15"/>
      <c r="AM79" s="81"/>
      <c r="AN79" s="17"/>
    </row>
    <row r="80" spans="2:40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2"/>
      <c r="AI80" s="2"/>
      <c r="AJ80" s="2"/>
      <c r="AK80" s="14"/>
      <c r="AL80" s="15"/>
      <c r="AM80" s="81"/>
      <c r="AN80" s="17"/>
    </row>
    <row r="81" spans="2:41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2"/>
      <c r="AI81" s="2"/>
      <c r="AJ81" s="2"/>
      <c r="AK81" s="14"/>
      <c r="AL81" s="15"/>
      <c r="AM81" s="81"/>
      <c r="AN81" s="17"/>
    </row>
    <row r="82" spans="2:41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2"/>
      <c r="AI82" s="2"/>
      <c r="AJ82" s="2"/>
      <c r="AK82" s="14"/>
      <c r="AL82" s="15"/>
      <c r="AM82" s="81"/>
      <c r="AN82" s="17"/>
    </row>
    <row r="83" spans="2:41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2"/>
      <c r="AI83" s="2"/>
      <c r="AJ83" s="2"/>
      <c r="AK83" s="14"/>
      <c r="AL83" s="15"/>
      <c r="AM83" s="81"/>
      <c r="AN83" s="17"/>
    </row>
    <row r="84" spans="2:41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2"/>
      <c r="AI84" s="2"/>
      <c r="AJ84" s="2"/>
      <c r="AK84" s="14"/>
      <c r="AL84" s="15"/>
      <c r="AM84" s="81"/>
      <c r="AN84" s="17"/>
    </row>
    <row r="85" spans="2:41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2"/>
      <c r="AI85" s="2"/>
      <c r="AJ85" s="2"/>
      <c r="AK85" s="14"/>
      <c r="AL85" s="15"/>
      <c r="AM85" s="81"/>
      <c r="AN85" s="17"/>
    </row>
    <row r="86" spans="2:41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2"/>
      <c r="AI86" s="2"/>
      <c r="AJ86" s="2"/>
      <c r="AK86" s="14"/>
      <c r="AL86" s="15"/>
      <c r="AM86" s="81"/>
      <c r="AN86" s="17"/>
    </row>
    <row r="87" spans="2:41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2"/>
      <c r="AI87" s="2"/>
      <c r="AJ87" s="2"/>
      <c r="AK87" s="14"/>
      <c r="AL87" s="15"/>
      <c r="AM87" s="81"/>
      <c r="AN87" s="17"/>
    </row>
    <row r="88" spans="2:41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2"/>
      <c r="AI88" s="2"/>
      <c r="AJ88" s="2"/>
      <c r="AK88" s="14"/>
      <c r="AL88" s="15"/>
      <c r="AM88" s="81"/>
      <c r="AN88" s="17"/>
    </row>
    <row r="89" spans="2:41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2"/>
      <c r="AI89" s="2"/>
      <c r="AJ89" s="2"/>
      <c r="AK89" s="14"/>
      <c r="AL89" s="15"/>
      <c r="AM89" s="81"/>
      <c r="AN89" s="17"/>
    </row>
    <row r="90" spans="2:41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2"/>
      <c r="AI90" s="2"/>
      <c r="AJ90" s="2"/>
      <c r="AK90" s="14"/>
      <c r="AL90" s="15"/>
      <c r="AM90" s="81"/>
      <c r="AN90" s="17"/>
    </row>
    <row r="91" spans="2:41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2"/>
      <c r="AI91" s="2"/>
      <c r="AJ91" s="2"/>
      <c r="AK91" s="14"/>
      <c r="AL91" s="15"/>
      <c r="AM91" s="81"/>
      <c r="AN91" s="17"/>
    </row>
    <row r="92" spans="2:41" x14ac:dyDescent="0.2">
      <c r="AO92" s="19"/>
    </row>
  </sheetData>
  <mergeCells count="5">
    <mergeCell ref="A3:A4"/>
    <mergeCell ref="B3:B4"/>
    <mergeCell ref="C3:AG3"/>
    <mergeCell ref="AH3:AH4"/>
    <mergeCell ref="A1:AH1"/>
  </mergeCells>
  <pageMargins left="0.75" right="0.75" top="1" bottom="1" header="0.5" footer="0.5"/>
  <pageSetup paperSize="1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EE66-0C78-4970-8A60-D32616A9D067}">
  <dimension ref="A1:AL92"/>
  <sheetViews>
    <sheetView zoomScaleNormal="100" workbookViewId="0">
      <pane xSplit="2" topLeftCell="AB1" activePane="topRight" state="frozen"/>
      <selection pane="topRight" activeCell="AI25" sqref="AI25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0" width="15.77734375" style="1" customWidth="1"/>
    <col min="31" max="31" width="15.77734375" style="2" customWidth="1"/>
    <col min="32" max="32" width="10.5546875" style="2" customWidth="1"/>
    <col min="33" max="33" width="14.21875" style="2" customWidth="1"/>
    <col min="34" max="34" width="12.88671875" style="14" customWidth="1"/>
    <col min="35" max="35" width="13.109375" style="15" bestFit="1" customWidth="1"/>
    <col min="36" max="36" width="27.21875" style="16" customWidth="1"/>
    <col min="37" max="37" width="14.44140625" style="17" bestFit="1" customWidth="1"/>
    <col min="38" max="38" width="11.77734375" style="18" bestFit="1" customWidth="1"/>
    <col min="39" max="41" width="8.88671875" style="19"/>
    <col min="42" max="42" width="13.44140625" style="19" bestFit="1" customWidth="1"/>
    <col min="43" max="253" width="8.88671875" style="19"/>
    <col min="254" max="254" width="5.109375" style="19" customWidth="1"/>
    <col min="255" max="255" width="49.33203125" style="19" customWidth="1"/>
    <col min="256" max="287" width="15.77734375" style="19" customWidth="1"/>
    <col min="288" max="289" width="10.5546875" style="19" customWidth="1"/>
    <col min="290" max="290" width="11" style="19" customWidth="1"/>
    <col min="291" max="291" width="13.109375" style="19" bestFit="1" customWidth="1"/>
    <col min="292" max="292" width="27.21875" style="19" customWidth="1"/>
    <col min="293" max="293" width="14.44140625" style="19" bestFit="1" customWidth="1"/>
    <col min="294" max="294" width="11.77734375" style="19" bestFit="1" customWidth="1"/>
    <col min="295" max="297" width="8.88671875" style="19"/>
    <col min="298" max="298" width="13.44140625" style="19" bestFit="1" customWidth="1"/>
    <col min="299" max="509" width="8.88671875" style="19"/>
    <col min="510" max="510" width="5.109375" style="19" customWidth="1"/>
    <col min="511" max="511" width="49.33203125" style="19" customWidth="1"/>
    <col min="512" max="543" width="15.77734375" style="19" customWidth="1"/>
    <col min="544" max="545" width="10.5546875" style="19" customWidth="1"/>
    <col min="546" max="546" width="11" style="19" customWidth="1"/>
    <col min="547" max="547" width="13.109375" style="19" bestFit="1" customWidth="1"/>
    <col min="548" max="548" width="27.21875" style="19" customWidth="1"/>
    <col min="549" max="549" width="14.44140625" style="19" bestFit="1" customWidth="1"/>
    <col min="550" max="550" width="11.77734375" style="19" bestFit="1" customWidth="1"/>
    <col min="551" max="553" width="8.88671875" style="19"/>
    <col min="554" max="554" width="13.44140625" style="19" bestFit="1" customWidth="1"/>
    <col min="555" max="765" width="8.88671875" style="19"/>
    <col min="766" max="766" width="5.109375" style="19" customWidth="1"/>
    <col min="767" max="767" width="49.33203125" style="19" customWidth="1"/>
    <col min="768" max="799" width="15.77734375" style="19" customWidth="1"/>
    <col min="800" max="801" width="10.5546875" style="19" customWidth="1"/>
    <col min="802" max="802" width="11" style="19" customWidth="1"/>
    <col min="803" max="803" width="13.109375" style="19" bestFit="1" customWidth="1"/>
    <col min="804" max="804" width="27.21875" style="19" customWidth="1"/>
    <col min="805" max="805" width="14.44140625" style="19" bestFit="1" customWidth="1"/>
    <col min="806" max="806" width="11.77734375" style="19" bestFit="1" customWidth="1"/>
    <col min="807" max="809" width="8.88671875" style="19"/>
    <col min="810" max="810" width="13.44140625" style="19" bestFit="1" customWidth="1"/>
    <col min="811" max="1021" width="8.88671875" style="19"/>
    <col min="1022" max="1022" width="5.109375" style="19" customWidth="1"/>
    <col min="1023" max="1023" width="49.33203125" style="19" customWidth="1"/>
    <col min="1024" max="1055" width="15.77734375" style="19" customWidth="1"/>
    <col min="1056" max="1057" width="10.5546875" style="19" customWidth="1"/>
    <col min="1058" max="1058" width="11" style="19" customWidth="1"/>
    <col min="1059" max="1059" width="13.109375" style="19" bestFit="1" customWidth="1"/>
    <col min="1060" max="1060" width="27.21875" style="19" customWidth="1"/>
    <col min="1061" max="1061" width="14.44140625" style="19" bestFit="1" customWidth="1"/>
    <col min="1062" max="1062" width="11.77734375" style="19" bestFit="1" customWidth="1"/>
    <col min="1063" max="1065" width="8.88671875" style="19"/>
    <col min="1066" max="1066" width="13.44140625" style="19" bestFit="1" customWidth="1"/>
    <col min="1067" max="1277" width="8.88671875" style="19"/>
    <col min="1278" max="1278" width="5.109375" style="19" customWidth="1"/>
    <col min="1279" max="1279" width="49.33203125" style="19" customWidth="1"/>
    <col min="1280" max="1311" width="15.77734375" style="19" customWidth="1"/>
    <col min="1312" max="1313" width="10.5546875" style="19" customWidth="1"/>
    <col min="1314" max="1314" width="11" style="19" customWidth="1"/>
    <col min="1315" max="1315" width="13.109375" style="19" bestFit="1" customWidth="1"/>
    <col min="1316" max="1316" width="27.21875" style="19" customWidth="1"/>
    <col min="1317" max="1317" width="14.44140625" style="19" bestFit="1" customWidth="1"/>
    <col min="1318" max="1318" width="11.77734375" style="19" bestFit="1" customWidth="1"/>
    <col min="1319" max="1321" width="8.88671875" style="19"/>
    <col min="1322" max="1322" width="13.44140625" style="19" bestFit="1" customWidth="1"/>
    <col min="1323" max="1533" width="8.88671875" style="19"/>
    <col min="1534" max="1534" width="5.109375" style="19" customWidth="1"/>
    <col min="1535" max="1535" width="49.33203125" style="19" customWidth="1"/>
    <col min="1536" max="1567" width="15.77734375" style="19" customWidth="1"/>
    <col min="1568" max="1569" width="10.5546875" style="19" customWidth="1"/>
    <col min="1570" max="1570" width="11" style="19" customWidth="1"/>
    <col min="1571" max="1571" width="13.109375" style="19" bestFit="1" customWidth="1"/>
    <col min="1572" max="1572" width="27.21875" style="19" customWidth="1"/>
    <col min="1573" max="1573" width="14.44140625" style="19" bestFit="1" customWidth="1"/>
    <col min="1574" max="1574" width="11.77734375" style="19" bestFit="1" customWidth="1"/>
    <col min="1575" max="1577" width="8.88671875" style="19"/>
    <col min="1578" max="1578" width="13.44140625" style="19" bestFit="1" customWidth="1"/>
    <col min="1579" max="1789" width="8.88671875" style="19"/>
    <col min="1790" max="1790" width="5.109375" style="19" customWidth="1"/>
    <col min="1791" max="1791" width="49.33203125" style="19" customWidth="1"/>
    <col min="1792" max="1823" width="15.77734375" style="19" customWidth="1"/>
    <col min="1824" max="1825" width="10.5546875" style="19" customWidth="1"/>
    <col min="1826" max="1826" width="11" style="19" customWidth="1"/>
    <col min="1827" max="1827" width="13.109375" style="19" bestFit="1" customWidth="1"/>
    <col min="1828" max="1828" width="27.21875" style="19" customWidth="1"/>
    <col min="1829" max="1829" width="14.44140625" style="19" bestFit="1" customWidth="1"/>
    <col min="1830" max="1830" width="11.77734375" style="19" bestFit="1" customWidth="1"/>
    <col min="1831" max="1833" width="8.88671875" style="19"/>
    <col min="1834" max="1834" width="13.44140625" style="19" bestFit="1" customWidth="1"/>
    <col min="1835" max="2045" width="8.88671875" style="19"/>
    <col min="2046" max="2046" width="5.109375" style="19" customWidth="1"/>
    <col min="2047" max="2047" width="49.33203125" style="19" customWidth="1"/>
    <col min="2048" max="2079" width="15.77734375" style="19" customWidth="1"/>
    <col min="2080" max="2081" width="10.5546875" style="19" customWidth="1"/>
    <col min="2082" max="2082" width="11" style="19" customWidth="1"/>
    <col min="2083" max="2083" width="13.109375" style="19" bestFit="1" customWidth="1"/>
    <col min="2084" max="2084" width="27.21875" style="19" customWidth="1"/>
    <col min="2085" max="2085" width="14.44140625" style="19" bestFit="1" customWidth="1"/>
    <col min="2086" max="2086" width="11.77734375" style="19" bestFit="1" customWidth="1"/>
    <col min="2087" max="2089" width="8.88671875" style="19"/>
    <col min="2090" max="2090" width="13.44140625" style="19" bestFit="1" customWidth="1"/>
    <col min="2091" max="2301" width="8.88671875" style="19"/>
    <col min="2302" max="2302" width="5.109375" style="19" customWidth="1"/>
    <col min="2303" max="2303" width="49.33203125" style="19" customWidth="1"/>
    <col min="2304" max="2335" width="15.77734375" style="19" customWidth="1"/>
    <col min="2336" max="2337" width="10.5546875" style="19" customWidth="1"/>
    <col min="2338" max="2338" width="11" style="19" customWidth="1"/>
    <col min="2339" max="2339" width="13.109375" style="19" bestFit="1" customWidth="1"/>
    <col min="2340" max="2340" width="27.21875" style="19" customWidth="1"/>
    <col min="2341" max="2341" width="14.44140625" style="19" bestFit="1" customWidth="1"/>
    <col min="2342" max="2342" width="11.77734375" style="19" bestFit="1" customWidth="1"/>
    <col min="2343" max="2345" width="8.88671875" style="19"/>
    <col min="2346" max="2346" width="13.44140625" style="19" bestFit="1" customWidth="1"/>
    <col min="2347" max="2557" width="8.88671875" style="19"/>
    <col min="2558" max="2558" width="5.109375" style="19" customWidth="1"/>
    <col min="2559" max="2559" width="49.33203125" style="19" customWidth="1"/>
    <col min="2560" max="2591" width="15.77734375" style="19" customWidth="1"/>
    <col min="2592" max="2593" width="10.5546875" style="19" customWidth="1"/>
    <col min="2594" max="2594" width="11" style="19" customWidth="1"/>
    <col min="2595" max="2595" width="13.109375" style="19" bestFit="1" customWidth="1"/>
    <col min="2596" max="2596" width="27.21875" style="19" customWidth="1"/>
    <col min="2597" max="2597" width="14.44140625" style="19" bestFit="1" customWidth="1"/>
    <col min="2598" max="2598" width="11.77734375" style="19" bestFit="1" customWidth="1"/>
    <col min="2599" max="2601" width="8.88671875" style="19"/>
    <col min="2602" max="2602" width="13.44140625" style="19" bestFit="1" customWidth="1"/>
    <col min="2603" max="2813" width="8.88671875" style="19"/>
    <col min="2814" max="2814" width="5.109375" style="19" customWidth="1"/>
    <col min="2815" max="2815" width="49.33203125" style="19" customWidth="1"/>
    <col min="2816" max="2847" width="15.77734375" style="19" customWidth="1"/>
    <col min="2848" max="2849" width="10.5546875" style="19" customWidth="1"/>
    <col min="2850" max="2850" width="11" style="19" customWidth="1"/>
    <col min="2851" max="2851" width="13.109375" style="19" bestFit="1" customWidth="1"/>
    <col min="2852" max="2852" width="27.21875" style="19" customWidth="1"/>
    <col min="2853" max="2853" width="14.44140625" style="19" bestFit="1" customWidth="1"/>
    <col min="2854" max="2854" width="11.77734375" style="19" bestFit="1" customWidth="1"/>
    <col min="2855" max="2857" width="8.88671875" style="19"/>
    <col min="2858" max="2858" width="13.44140625" style="19" bestFit="1" customWidth="1"/>
    <col min="2859" max="3069" width="8.88671875" style="19"/>
    <col min="3070" max="3070" width="5.109375" style="19" customWidth="1"/>
    <col min="3071" max="3071" width="49.33203125" style="19" customWidth="1"/>
    <col min="3072" max="3103" width="15.77734375" style="19" customWidth="1"/>
    <col min="3104" max="3105" width="10.5546875" style="19" customWidth="1"/>
    <col min="3106" max="3106" width="11" style="19" customWidth="1"/>
    <col min="3107" max="3107" width="13.109375" style="19" bestFit="1" customWidth="1"/>
    <col min="3108" max="3108" width="27.21875" style="19" customWidth="1"/>
    <col min="3109" max="3109" width="14.44140625" style="19" bestFit="1" customWidth="1"/>
    <col min="3110" max="3110" width="11.77734375" style="19" bestFit="1" customWidth="1"/>
    <col min="3111" max="3113" width="8.88671875" style="19"/>
    <col min="3114" max="3114" width="13.44140625" style="19" bestFit="1" customWidth="1"/>
    <col min="3115" max="3325" width="8.88671875" style="19"/>
    <col min="3326" max="3326" width="5.109375" style="19" customWidth="1"/>
    <col min="3327" max="3327" width="49.33203125" style="19" customWidth="1"/>
    <col min="3328" max="3359" width="15.77734375" style="19" customWidth="1"/>
    <col min="3360" max="3361" width="10.5546875" style="19" customWidth="1"/>
    <col min="3362" max="3362" width="11" style="19" customWidth="1"/>
    <col min="3363" max="3363" width="13.109375" style="19" bestFit="1" customWidth="1"/>
    <col min="3364" max="3364" width="27.21875" style="19" customWidth="1"/>
    <col min="3365" max="3365" width="14.44140625" style="19" bestFit="1" customWidth="1"/>
    <col min="3366" max="3366" width="11.77734375" style="19" bestFit="1" customWidth="1"/>
    <col min="3367" max="3369" width="8.88671875" style="19"/>
    <col min="3370" max="3370" width="13.44140625" style="19" bestFit="1" customWidth="1"/>
    <col min="3371" max="3581" width="8.88671875" style="19"/>
    <col min="3582" max="3582" width="5.109375" style="19" customWidth="1"/>
    <col min="3583" max="3583" width="49.33203125" style="19" customWidth="1"/>
    <col min="3584" max="3615" width="15.77734375" style="19" customWidth="1"/>
    <col min="3616" max="3617" width="10.5546875" style="19" customWidth="1"/>
    <col min="3618" max="3618" width="11" style="19" customWidth="1"/>
    <col min="3619" max="3619" width="13.109375" style="19" bestFit="1" customWidth="1"/>
    <col min="3620" max="3620" width="27.21875" style="19" customWidth="1"/>
    <col min="3621" max="3621" width="14.44140625" style="19" bestFit="1" customWidth="1"/>
    <col min="3622" max="3622" width="11.77734375" style="19" bestFit="1" customWidth="1"/>
    <col min="3623" max="3625" width="8.88671875" style="19"/>
    <col min="3626" max="3626" width="13.44140625" style="19" bestFit="1" customWidth="1"/>
    <col min="3627" max="3837" width="8.88671875" style="19"/>
    <col min="3838" max="3838" width="5.109375" style="19" customWidth="1"/>
    <col min="3839" max="3839" width="49.33203125" style="19" customWidth="1"/>
    <col min="3840" max="3871" width="15.77734375" style="19" customWidth="1"/>
    <col min="3872" max="3873" width="10.5546875" style="19" customWidth="1"/>
    <col min="3874" max="3874" width="11" style="19" customWidth="1"/>
    <col min="3875" max="3875" width="13.109375" style="19" bestFit="1" customWidth="1"/>
    <col min="3876" max="3876" width="27.21875" style="19" customWidth="1"/>
    <col min="3877" max="3877" width="14.44140625" style="19" bestFit="1" customWidth="1"/>
    <col min="3878" max="3878" width="11.77734375" style="19" bestFit="1" customWidth="1"/>
    <col min="3879" max="3881" width="8.88671875" style="19"/>
    <col min="3882" max="3882" width="13.44140625" style="19" bestFit="1" customWidth="1"/>
    <col min="3883" max="4093" width="8.88671875" style="19"/>
    <col min="4094" max="4094" width="5.109375" style="19" customWidth="1"/>
    <col min="4095" max="4095" width="49.33203125" style="19" customWidth="1"/>
    <col min="4096" max="4127" width="15.77734375" style="19" customWidth="1"/>
    <col min="4128" max="4129" width="10.5546875" style="19" customWidth="1"/>
    <col min="4130" max="4130" width="11" style="19" customWidth="1"/>
    <col min="4131" max="4131" width="13.109375" style="19" bestFit="1" customWidth="1"/>
    <col min="4132" max="4132" width="27.21875" style="19" customWidth="1"/>
    <col min="4133" max="4133" width="14.44140625" style="19" bestFit="1" customWidth="1"/>
    <col min="4134" max="4134" width="11.77734375" style="19" bestFit="1" customWidth="1"/>
    <col min="4135" max="4137" width="8.88671875" style="19"/>
    <col min="4138" max="4138" width="13.44140625" style="19" bestFit="1" customWidth="1"/>
    <col min="4139" max="4349" width="8.88671875" style="19"/>
    <col min="4350" max="4350" width="5.109375" style="19" customWidth="1"/>
    <col min="4351" max="4351" width="49.33203125" style="19" customWidth="1"/>
    <col min="4352" max="4383" width="15.77734375" style="19" customWidth="1"/>
    <col min="4384" max="4385" width="10.5546875" style="19" customWidth="1"/>
    <col min="4386" max="4386" width="11" style="19" customWidth="1"/>
    <col min="4387" max="4387" width="13.109375" style="19" bestFit="1" customWidth="1"/>
    <col min="4388" max="4388" width="27.21875" style="19" customWidth="1"/>
    <col min="4389" max="4389" width="14.44140625" style="19" bestFit="1" customWidth="1"/>
    <col min="4390" max="4390" width="11.77734375" style="19" bestFit="1" customWidth="1"/>
    <col min="4391" max="4393" width="8.88671875" style="19"/>
    <col min="4394" max="4394" width="13.44140625" style="19" bestFit="1" customWidth="1"/>
    <col min="4395" max="4605" width="8.88671875" style="19"/>
    <col min="4606" max="4606" width="5.109375" style="19" customWidth="1"/>
    <col min="4607" max="4607" width="49.33203125" style="19" customWidth="1"/>
    <col min="4608" max="4639" width="15.77734375" style="19" customWidth="1"/>
    <col min="4640" max="4641" width="10.5546875" style="19" customWidth="1"/>
    <col min="4642" max="4642" width="11" style="19" customWidth="1"/>
    <col min="4643" max="4643" width="13.109375" style="19" bestFit="1" customWidth="1"/>
    <col min="4644" max="4644" width="27.21875" style="19" customWidth="1"/>
    <col min="4645" max="4645" width="14.44140625" style="19" bestFit="1" customWidth="1"/>
    <col min="4646" max="4646" width="11.77734375" style="19" bestFit="1" customWidth="1"/>
    <col min="4647" max="4649" width="8.88671875" style="19"/>
    <col min="4650" max="4650" width="13.44140625" style="19" bestFit="1" customWidth="1"/>
    <col min="4651" max="4861" width="8.88671875" style="19"/>
    <col min="4862" max="4862" width="5.109375" style="19" customWidth="1"/>
    <col min="4863" max="4863" width="49.33203125" style="19" customWidth="1"/>
    <col min="4864" max="4895" width="15.77734375" style="19" customWidth="1"/>
    <col min="4896" max="4897" width="10.5546875" style="19" customWidth="1"/>
    <col min="4898" max="4898" width="11" style="19" customWidth="1"/>
    <col min="4899" max="4899" width="13.109375" style="19" bestFit="1" customWidth="1"/>
    <col min="4900" max="4900" width="27.21875" style="19" customWidth="1"/>
    <col min="4901" max="4901" width="14.44140625" style="19" bestFit="1" customWidth="1"/>
    <col min="4902" max="4902" width="11.77734375" style="19" bestFit="1" customWidth="1"/>
    <col min="4903" max="4905" width="8.88671875" style="19"/>
    <col min="4906" max="4906" width="13.44140625" style="19" bestFit="1" customWidth="1"/>
    <col min="4907" max="5117" width="8.88671875" style="19"/>
    <col min="5118" max="5118" width="5.109375" style="19" customWidth="1"/>
    <col min="5119" max="5119" width="49.33203125" style="19" customWidth="1"/>
    <col min="5120" max="5151" width="15.77734375" style="19" customWidth="1"/>
    <col min="5152" max="5153" width="10.5546875" style="19" customWidth="1"/>
    <col min="5154" max="5154" width="11" style="19" customWidth="1"/>
    <col min="5155" max="5155" width="13.109375" style="19" bestFit="1" customWidth="1"/>
    <col min="5156" max="5156" width="27.21875" style="19" customWidth="1"/>
    <col min="5157" max="5157" width="14.44140625" style="19" bestFit="1" customWidth="1"/>
    <col min="5158" max="5158" width="11.77734375" style="19" bestFit="1" customWidth="1"/>
    <col min="5159" max="5161" width="8.88671875" style="19"/>
    <col min="5162" max="5162" width="13.44140625" style="19" bestFit="1" customWidth="1"/>
    <col min="5163" max="5373" width="8.88671875" style="19"/>
    <col min="5374" max="5374" width="5.109375" style="19" customWidth="1"/>
    <col min="5375" max="5375" width="49.33203125" style="19" customWidth="1"/>
    <col min="5376" max="5407" width="15.77734375" style="19" customWidth="1"/>
    <col min="5408" max="5409" width="10.5546875" style="19" customWidth="1"/>
    <col min="5410" max="5410" width="11" style="19" customWidth="1"/>
    <col min="5411" max="5411" width="13.109375" style="19" bestFit="1" customWidth="1"/>
    <col min="5412" max="5412" width="27.21875" style="19" customWidth="1"/>
    <col min="5413" max="5413" width="14.44140625" style="19" bestFit="1" customWidth="1"/>
    <col min="5414" max="5414" width="11.77734375" style="19" bestFit="1" customWidth="1"/>
    <col min="5415" max="5417" width="8.88671875" style="19"/>
    <col min="5418" max="5418" width="13.44140625" style="19" bestFit="1" customWidth="1"/>
    <col min="5419" max="5629" width="8.88671875" style="19"/>
    <col min="5630" max="5630" width="5.109375" style="19" customWidth="1"/>
    <col min="5631" max="5631" width="49.33203125" style="19" customWidth="1"/>
    <col min="5632" max="5663" width="15.77734375" style="19" customWidth="1"/>
    <col min="5664" max="5665" width="10.5546875" style="19" customWidth="1"/>
    <col min="5666" max="5666" width="11" style="19" customWidth="1"/>
    <col min="5667" max="5667" width="13.109375" style="19" bestFit="1" customWidth="1"/>
    <col min="5668" max="5668" width="27.21875" style="19" customWidth="1"/>
    <col min="5669" max="5669" width="14.44140625" style="19" bestFit="1" customWidth="1"/>
    <col min="5670" max="5670" width="11.77734375" style="19" bestFit="1" customWidth="1"/>
    <col min="5671" max="5673" width="8.88671875" style="19"/>
    <col min="5674" max="5674" width="13.44140625" style="19" bestFit="1" customWidth="1"/>
    <col min="5675" max="5885" width="8.88671875" style="19"/>
    <col min="5886" max="5886" width="5.109375" style="19" customWidth="1"/>
    <col min="5887" max="5887" width="49.33203125" style="19" customWidth="1"/>
    <col min="5888" max="5919" width="15.77734375" style="19" customWidth="1"/>
    <col min="5920" max="5921" width="10.5546875" style="19" customWidth="1"/>
    <col min="5922" max="5922" width="11" style="19" customWidth="1"/>
    <col min="5923" max="5923" width="13.109375" style="19" bestFit="1" customWidth="1"/>
    <col min="5924" max="5924" width="27.21875" style="19" customWidth="1"/>
    <col min="5925" max="5925" width="14.44140625" style="19" bestFit="1" customWidth="1"/>
    <col min="5926" max="5926" width="11.77734375" style="19" bestFit="1" customWidth="1"/>
    <col min="5927" max="5929" width="8.88671875" style="19"/>
    <col min="5930" max="5930" width="13.44140625" style="19" bestFit="1" customWidth="1"/>
    <col min="5931" max="6141" width="8.88671875" style="19"/>
    <col min="6142" max="6142" width="5.109375" style="19" customWidth="1"/>
    <col min="6143" max="6143" width="49.33203125" style="19" customWidth="1"/>
    <col min="6144" max="6175" width="15.77734375" style="19" customWidth="1"/>
    <col min="6176" max="6177" width="10.5546875" style="19" customWidth="1"/>
    <col min="6178" max="6178" width="11" style="19" customWidth="1"/>
    <col min="6179" max="6179" width="13.109375" style="19" bestFit="1" customWidth="1"/>
    <col min="6180" max="6180" width="27.21875" style="19" customWidth="1"/>
    <col min="6181" max="6181" width="14.44140625" style="19" bestFit="1" customWidth="1"/>
    <col min="6182" max="6182" width="11.77734375" style="19" bestFit="1" customWidth="1"/>
    <col min="6183" max="6185" width="8.88671875" style="19"/>
    <col min="6186" max="6186" width="13.44140625" style="19" bestFit="1" customWidth="1"/>
    <col min="6187" max="6397" width="8.88671875" style="19"/>
    <col min="6398" max="6398" width="5.109375" style="19" customWidth="1"/>
    <col min="6399" max="6399" width="49.33203125" style="19" customWidth="1"/>
    <col min="6400" max="6431" width="15.77734375" style="19" customWidth="1"/>
    <col min="6432" max="6433" width="10.5546875" style="19" customWidth="1"/>
    <col min="6434" max="6434" width="11" style="19" customWidth="1"/>
    <col min="6435" max="6435" width="13.109375" style="19" bestFit="1" customWidth="1"/>
    <col min="6436" max="6436" width="27.21875" style="19" customWidth="1"/>
    <col min="6437" max="6437" width="14.44140625" style="19" bestFit="1" customWidth="1"/>
    <col min="6438" max="6438" width="11.77734375" style="19" bestFit="1" customWidth="1"/>
    <col min="6439" max="6441" width="8.88671875" style="19"/>
    <col min="6442" max="6442" width="13.44140625" style="19" bestFit="1" customWidth="1"/>
    <col min="6443" max="6653" width="8.88671875" style="19"/>
    <col min="6654" max="6654" width="5.109375" style="19" customWidth="1"/>
    <col min="6655" max="6655" width="49.33203125" style="19" customWidth="1"/>
    <col min="6656" max="6687" width="15.77734375" style="19" customWidth="1"/>
    <col min="6688" max="6689" width="10.5546875" style="19" customWidth="1"/>
    <col min="6690" max="6690" width="11" style="19" customWidth="1"/>
    <col min="6691" max="6691" width="13.109375" style="19" bestFit="1" customWidth="1"/>
    <col min="6692" max="6692" width="27.21875" style="19" customWidth="1"/>
    <col min="6693" max="6693" width="14.44140625" style="19" bestFit="1" customWidth="1"/>
    <col min="6694" max="6694" width="11.77734375" style="19" bestFit="1" customWidth="1"/>
    <col min="6695" max="6697" width="8.88671875" style="19"/>
    <col min="6698" max="6698" width="13.44140625" style="19" bestFit="1" customWidth="1"/>
    <col min="6699" max="6909" width="8.88671875" style="19"/>
    <col min="6910" max="6910" width="5.109375" style="19" customWidth="1"/>
    <col min="6911" max="6911" width="49.33203125" style="19" customWidth="1"/>
    <col min="6912" max="6943" width="15.77734375" style="19" customWidth="1"/>
    <col min="6944" max="6945" width="10.5546875" style="19" customWidth="1"/>
    <col min="6946" max="6946" width="11" style="19" customWidth="1"/>
    <col min="6947" max="6947" width="13.109375" style="19" bestFit="1" customWidth="1"/>
    <col min="6948" max="6948" width="27.21875" style="19" customWidth="1"/>
    <col min="6949" max="6949" width="14.44140625" style="19" bestFit="1" customWidth="1"/>
    <col min="6950" max="6950" width="11.77734375" style="19" bestFit="1" customWidth="1"/>
    <col min="6951" max="6953" width="8.88671875" style="19"/>
    <col min="6954" max="6954" width="13.44140625" style="19" bestFit="1" customWidth="1"/>
    <col min="6955" max="7165" width="8.88671875" style="19"/>
    <col min="7166" max="7166" width="5.109375" style="19" customWidth="1"/>
    <col min="7167" max="7167" width="49.33203125" style="19" customWidth="1"/>
    <col min="7168" max="7199" width="15.77734375" style="19" customWidth="1"/>
    <col min="7200" max="7201" width="10.5546875" style="19" customWidth="1"/>
    <col min="7202" max="7202" width="11" style="19" customWidth="1"/>
    <col min="7203" max="7203" width="13.109375" style="19" bestFit="1" customWidth="1"/>
    <col min="7204" max="7204" width="27.21875" style="19" customWidth="1"/>
    <col min="7205" max="7205" width="14.44140625" style="19" bestFit="1" customWidth="1"/>
    <col min="7206" max="7206" width="11.77734375" style="19" bestFit="1" customWidth="1"/>
    <col min="7207" max="7209" width="8.88671875" style="19"/>
    <col min="7210" max="7210" width="13.44140625" style="19" bestFit="1" customWidth="1"/>
    <col min="7211" max="7421" width="8.88671875" style="19"/>
    <col min="7422" max="7422" width="5.109375" style="19" customWidth="1"/>
    <col min="7423" max="7423" width="49.33203125" style="19" customWidth="1"/>
    <col min="7424" max="7455" width="15.77734375" style="19" customWidth="1"/>
    <col min="7456" max="7457" width="10.5546875" style="19" customWidth="1"/>
    <col min="7458" max="7458" width="11" style="19" customWidth="1"/>
    <col min="7459" max="7459" width="13.109375" style="19" bestFit="1" customWidth="1"/>
    <col min="7460" max="7460" width="27.21875" style="19" customWidth="1"/>
    <col min="7461" max="7461" width="14.44140625" style="19" bestFit="1" customWidth="1"/>
    <col min="7462" max="7462" width="11.77734375" style="19" bestFit="1" customWidth="1"/>
    <col min="7463" max="7465" width="8.88671875" style="19"/>
    <col min="7466" max="7466" width="13.44140625" style="19" bestFit="1" customWidth="1"/>
    <col min="7467" max="7677" width="8.88671875" style="19"/>
    <col min="7678" max="7678" width="5.109375" style="19" customWidth="1"/>
    <col min="7679" max="7679" width="49.33203125" style="19" customWidth="1"/>
    <col min="7680" max="7711" width="15.77734375" style="19" customWidth="1"/>
    <col min="7712" max="7713" width="10.5546875" style="19" customWidth="1"/>
    <col min="7714" max="7714" width="11" style="19" customWidth="1"/>
    <col min="7715" max="7715" width="13.109375" style="19" bestFit="1" customWidth="1"/>
    <col min="7716" max="7716" width="27.21875" style="19" customWidth="1"/>
    <col min="7717" max="7717" width="14.44140625" style="19" bestFit="1" customWidth="1"/>
    <col min="7718" max="7718" width="11.77734375" style="19" bestFit="1" customWidth="1"/>
    <col min="7719" max="7721" width="8.88671875" style="19"/>
    <col min="7722" max="7722" width="13.44140625" style="19" bestFit="1" customWidth="1"/>
    <col min="7723" max="7933" width="8.88671875" style="19"/>
    <col min="7934" max="7934" width="5.109375" style="19" customWidth="1"/>
    <col min="7935" max="7935" width="49.33203125" style="19" customWidth="1"/>
    <col min="7936" max="7967" width="15.77734375" style="19" customWidth="1"/>
    <col min="7968" max="7969" width="10.5546875" style="19" customWidth="1"/>
    <col min="7970" max="7970" width="11" style="19" customWidth="1"/>
    <col min="7971" max="7971" width="13.109375" style="19" bestFit="1" customWidth="1"/>
    <col min="7972" max="7972" width="27.21875" style="19" customWidth="1"/>
    <col min="7973" max="7973" width="14.44140625" style="19" bestFit="1" customWidth="1"/>
    <col min="7974" max="7974" width="11.77734375" style="19" bestFit="1" customWidth="1"/>
    <col min="7975" max="7977" width="8.88671875" style="19"/>
    <col min="7978" max="7978" width="13.44140625" style="19" bestFit="1" customWidth="1"/>
    <col min="7979" max="8189" width="8.88671875" style="19"/>
    <col min="8190" max="8190" width="5.109375" style="19" customWidth="1"/>
    <col min="8191" max="8191" width="49.33203125" style="19" customWidth="1"/>
    <col min="8192" max="8223" width="15.77734375" style="19" customWidth="1"/>
    <col min="8224" max="8225" width="10.5546875" style="19" customWidth="1"/>
    <col min="8226" max="8226" width="11" style="19" customWidth="1"/>
    <col min="8227" max="8227" width="13.109375" style="19" bestFit="1" customWidth="1"/>
    <col min="8228" max="8228" width="27.21875" style="19" customWidth="1"/>
    <col min="8229" max="8229" width="14.44140625" style="19" bestFit="1" customWidth="1"/>
    <col min="8230" max="8230" width="11.77734375" style="19" bestFit="1" customWidth="1"/>
    <col min="8231" max="8233" width="8.88671875" style="19"/>
    <col min="8234" max="8234" width="13.44140625" style="19" bestFit="1" customWidth="1"/>
    <col min="8235" max="8445" width="8.88671875" style="19"/>
    <col min="8446" max="8446" width="5.109375" style="19" customWidth="1"/>
    <col min="8447" max="8447" width="49.33203125" style="19" customWidth="1"/>
    <col min="8448" max="8479" width="15.77734375" style="19" customWidth="1"/>
    <col min="8480" max="8481" width="10.5546875" style="19" customWidth="1"/>
    <col min="8482" max="8482" width="11" style="19" customWidth="1"/>
    <col min="8483" max="8483" width="13.109375" style="19" bestFit="1" customWidth="1"/>
    <col min="8484" max="8484" width="27.21875" style="19" customWidth="1"/>
    <col min="8485" max="8485" width="14.44140625" style="19" bestFit="1" customWidth="1"/>
    <col min="8486" max="8486" width="11.77734375" style="19" bestFit="1" customWidth="1"/>
    <col min="8487" max="8489" width="8.88671875" style="19"/>
    <col min="8490" max="8490" width="13.44140625" style="19" bestFit="1" customWidth="1"/>
    <col min="8491" max="8701" width="8.88671875" style="19"/>
    <col min="8702" max="8702" width="5.109375" style="19" customWidth="1"/>
    <col min="8703" max="8703" width="49.33203125" style="19" customWidth="1"/>
    <col min="8704" max="8735" width="15.77734375" style="19" customWidth="1"/>
    <col min="8736" max="8737" width="10.5546875" style="19" customWidth="1"/>
    <col min="8738" max="8738" width="11" style="19" customWidth="1"/>
    <col min="8739" max="8739" width="13.109375" style="19" bestFit="1" customWidth="1"/>
    <col min="8740" max="8740" width="27.21875" style="19" customWidth="1"/>
    <col min="8741" max="8741" width="14.44140625" style="19" bestFit="1" customWidth="1"/>
    <col min="8742" max="8742" width="11.77734375" style="19" bestFit="1" customWidth="1"/>
    <col min="8743" max="8745" width="8.88671875" style="19"/>
    <col min="8746" max="8746" width="13.44140625" style="19" bestFit="1" customWidth="1"/>
    <col min="8747" max="8957" width="8.88671875" style="19"/>
    <col min="8958" max="8958" width="5.109375" style="19" customWidth="1"/>
    <col min="8959" max="8959" width="49.33203125" style="19" customWidth="1"/>
    <col min="8960" max="8991" width="15.77734375" style="19" customWidth="1"/>
    <col min="8992" max="8993" width="10.5546875" style="19" customWidth="1"/>
    <col min="8994" max="8994" width="11" style="19" customWidth="1"/>
    <col min="8995" max="8995" width="13.109375" style="19" bestFit="1" customWidth="1"/>
    <col min="8996" max="8996" width="27.21875" style="19" customWidth="1"/>
    <col min="8997" max="8997" width="14.44140625" style="19" bestFit="1" customWidth="1"/>
    <col min="8998" max="8998" width="11.77734375" style="19" bestFit="1" customWidth="1"/>
    <col min="8999" max="9001" width="8.88671875" style="19"/>
    <col min="9002" max="9002" width="13.44140625" style="19" bestFit="1" customWidth="1"/>
    <col min="9003" max="9213" width="8.88671875" style="19"/>
    <col min="9214" max="9214" width="5.109375" style="19" customWidth="1"/>
    <col min="9215" max="9215" width="49.33203125" style="19" customWidth="1"/>
    <col min="9216" max="9247" width="15.77734375" style="19" customWidth="1"/>
    <col min="9248" max="9249" width="10.5546875" style="19" customWidth="1"/>
    <col min="9250" max="9250" width="11" style="19" customWidth="1"/>
    <col min="9251" max="9251" width="13.109375" style="19" bestFit="1" customWidth="1"/>
    <col min="9252" max="9252" width="27.21875" style="19" customWidth="1"/>
    <col min="9253" max="9253" width="14.44140625" style="19" bestFit="1" customWidth="1"/>
    <col min="9254" max="9254" width="11.77734375" style="19" bestFit="1" customWidth="1"/>
    <col min="9255" max="9257" width="8.88671875" style="19"/>
    <col min="9258" max="9258" width="13.44140625" style="19" bestFit="1" customWidth="1"/>
    <col min="9259" max="9469" width="8.88671875" style="19"/>
    <col min="9470" max="9470" width="5.109375" style="19" customWidth="1"/>
    <col min="9471" max="9471" width="49.33203125" style="19" customWidth="1"/>
    <col min="9472" max="9503" width="15.77734375" style="19" customWidth="1"/>
    <col min="9504" max="9505" width="10.5546875" style="19" customWidth="1"/>
    <col min="9506" max="9506" width="11" style="19" customWidth="1"/>
    <col min="9507" max="9507" width="13.109375" style="19" bestFit="1" customWidth="1"/>
    <col min="9508" max="9508" width="27.21875" style="19" customWidth="1"/>
    <col min="9509" max="9509" width="14.44140625" style="19" bestFit="1" customWidth="1"/>
    <col min="9510" max="9510" width="11.77734375" style="19" bestFit="1" customWidth="1"/>
    <col min="9511" max="9513" width="8.88671875" style="19"/>
    <col min="9514" max="9514" width="13.44140625" style="19" bestFit="1" customWidth="1"/>
    <col min="9515" max="9725" width="8.88671875" style="19"/>
    <col min="9726" max="9726" width="5.109375" style="19" customWidth="1"/>
    <col min="9727" max="9727" width="49.33203125" style="19" customWidth="1"/>
    <col min="9728" max="9759" width="15.77734375" style="19" customWidth="1"/>
    <col min="9760" max="9761" width="10.5546875" style="19" customWidth="1"/>
    <col min="9762" max="9762" width="11" style="19" customWidth="1"/>
    <col min="9763" max="9763" width="13.109375" style="19" bestFit="1" customWidth="1"/>
    <col min="9764" max="9764" width="27.21875" style="19" customWidth="1"/>
    <col min="9765" max="9765" width="14.44140625" style="19" bestFit="1" customWidth="1"/>
    <col min="9766" max="9766" width="11.77734375" style="19" bestFit="1" customWidth="1"/>
    <col min="9767" max="9769" width="8.88671875" style="19"/>
    <col min="9770" max="9770" width="13.44140625" style="19" bestFit="1" customWidth="1"/>
    <col min="9771" max="9981" width="8.88671875" style="19"/>
    <col min="9982" max="9982" width="5.109375" style="19" customWidth="1"/>
    <col min="9983" max="9983" width="49.33203125" style="19" customWidth="1"/>
    <col min="9984" max="10015" width="15.77734375" style="19" customWidth="1"/>
    <col min="10016" max="10017" width="10.5546875" style="19" customWidth="1"/>
    <col min="10018" max="10018" width="11" style="19" customWidth="1"/>
    <col min="10019" max="10019" width="13.109375" style="19" bestFit="1" customWidth="1"/>
    <col min="10020" max="10020" width="27.21875" style="19" customWidth="1"/>
    <col min="10021" max="10021" width="14.44140625" style="19" bestFit="1" customWidth="1"/>
    <col min="10022" max="10022" width="11.77734375" style="19" bestFit="1" customWidth="1"/>
    <col min="10023" max="10025" width="8.88671875" style="19"/>
    <col min="10026" max="10026" width="13.44140625" style="19" bestFit="1" customWidth="1"/>
    <col min="10027" max="10237" width="8.88671875" style="19"/>
    <col min="10238" max="10238" width="5.109375" style="19" customWidth="1"/>
    <col min="10239" max="10239" width="49.33203125" style="19" customWidth="1"/>
    <col min="10240" max="10271" width="15.77734375" style="19" customWidth="1"/>
    <col min="10272" max="10273" width="10.5546875" style="19" customWidth="1"/>
    <col min="10274" max="10274" width="11" style="19" customWidth="1"/>
    <col min="10275" max="10275" width="13.109375" style="19" bestFit="1" customWidth="1"/>
    <col min="10276" max="10276" width="27.21875" style="19" customWidth="1"/>
    <col min="10277" max="10277" width="14.44140625" style="19" bestFit="1" customWidth="1"/>
    <col min="10278" max="10278" width="11.77734375" style="19" bestFit="1" customWidth="1"/>
    <col min="10279" max="10281" width="8.88671875" style="19"/>
    <col min="10282" max="10282" width="13.44140625" style="19" bestFit="1" customWidth="1"/>
    <col min="10283" max="10493" width="8.88671875" style="19"/>
    <col min="10494" max="10494" width="5.109375" style="19" customWidth="1"/>
    <col min="10495" max="10495" width="49.33203125" style="19" customWidth="1"/>
    <col min="10496" max="10527" width="15.77734375" style="19" customWidth="1"/>
    <col min="10528" max="10529" width="10.5546875" style="19" customWidth="1"/>
    <col min="10530" max="10530" width="11" style="19" customWidth="1"/>
    <col min="10531" max="10531" width="13.109375" style="19" bestFit="1" customWidth="1"/>
    <col min="10532" max="10532" width="27.21875" style="19" customWidth="1"/>
    <col min="10533" max="10533" width="14.44140625" style="19" bestFit="1" customWidth="1"/>
    <col min="10534" max="10534" width="11.77734375" style="19" bestFit="1" customWidth="1"/>
    <col min="10535" max="10537" width="8.88671875" style="19"/>
    <col min="10538" max="10538" width="13.44140625" style="19" bestFit="1" customWidth="1"/>
    <col min="10539" max="10749" width="8.88671875" style="19"/>
    <col min="10750" max="10750" width="5.109375" style="19" customWidth="1"/>
    <col min="10751" max="10751" width="49.33203125" style="19" customWidth="1"/>
    <col min="10752" max="10783" width="15.77734375" style="19" customWidth="1"/>
    <col min="10784" max="10785" width="10.5546875" style="19" customWidth="1"/>
    <col min="10786" max="10786" width="11" style="19" customWidth="1"/>
    <col min="10787" max="10787" width="13.109375" style="19" bestFit="1" customWidth="1"/>
    <col min="10788" max="10788" width="27.21875" style="19" customWidth="1"/>
    <col min="10789" max="10789" width="14.44140625" style="19" bestFit="1" customWidth="1"/>
    <col min="10790" max="10790" width="11.77734375" style="19" bestFit="1" customWidth="1"/>
    <col min="10791" max="10793" width="8.88671875" style="19"/>
    <col min="10794" max="10794" width="13.44140625" style="19" bestFit="1" customWidth="1"/>
    <col min="10795" max="11005" width="8.88671875" style="19"/>
    <col min="11006" max="11006" width="5.109375" style="19" customWidth="1"/>
    <col min="11007" max="11007" width="49.33203125" style="19" customWidth="1"/>
    <col min="11008" max="11039" width="15.77734375" style="19" customWidth="1"/>
    <col min="11040" max="11041" width="10.5546875" style="19" customWidth="1"/>
    <col min="11042" max="11042" width="11" style="19" customWidth="1"/>
    <col min="11043" max="11043" width="13.109375" style="19" bestFit="1" customWidth="1"/>
    <col min="11044" max="11044" width="27.21875" style="19" customWidth="1"/>
    <col min="11045" max="11045" width="14.44140625" style="19" bestFit="1" customWidth="1"/>
    <col min="11046" max="11046" width="11.77734375" style="19" bestFit="1" customWidth="1"/>
    <col min="11047" max="11049" width="8.88671875" style="19"/>
    <col min="11050" max="11050" width="13.44140625" style="19" bestFit="1" customWidth="1"/>
    <col min="11051" max="11261" width="8.88671875" style="19"/>
    <col min="11262" max="11262" width="5.109375" style="19" customWidth="1"/>
    <col min="11263" max="11263" width="49.33203125" style="19" customWidth="1"/>
    <col min="11264" max="11295" width="15.77734375" style="19" customWidth="1"/>
    <col min="11296" max="11297" width="10.5546875" style="19" customWidth="1"/>
    <col min="11298" max="11298" width="11" style="19" customWidth="1"/>
    <col min="11299" max="11299" width="13.109375" style="19" bestFit="1" customWidth="1"/>
    <col min="11300" max="11300" width="27.21875" style="19" customWidth="1"/>
    <col min="11301" max="11301" width="14.44140625" style="19" bestFit="1" customWidth="1"/>
    <col min="11302" max="11302" width="11.77734375" style="19" bestFit="1" customWidth="1"/>
    <col min="11303" max="11305" width="8.88671875" style="19"/>
    <col min="11306" max="11306" width="13.44140625" style="19" bestFit="1" customWidth="1"/>
    <col min="11307" max="11517" width="8.88671875" style="19"/>
    <col min="11518" max="11518" width="5.109375" style="19" customWidth="1"/>
    <col min="11519" max="11519" width="49.33203125" style="19" customWidth="1"/>
    <col min="11520" max="11551" width="15.77734375" style="19" customWidth="1"/>
    <col min="11552" max="11553" width="10.5546875" style="19" customWidth="1"/>
    <col min="11554" max="11554" width="11" style="19" customWidth="1"/>
    <col min="11555" max="11555" width="13.109375" style="19" bestFit="1" customWidth="1"/>
    <col min="11556" max="11556" width="27.21875" style="19" customWidth="1"/>
    <col min="11557" max="11557" width="14.44140625" style="19" bestFit="1" customWidth="1"/>
    <col min="11558" max="11558" width="11.77734375" style="19" bestFit="1" customWidth="1"/>
    <col min="11559" max="11561" width="8.88671875" style="19"/>
    <col min="11562" max="11562" width="13.44140625" style="19" bestFit="1" customWidth="1"/>
    <col min="11563" max="11773" width="8.88671875" style="19"/>
    <col min="11774" max="11774" width="5.109375" style="19" customWidth="1"/>
    <col min="11775" max="11775" width="49.33203125" style="19" customWidth="1"/>
    <col min="11776" max="11807" width="15.77734375" style="19" customWidth="1"/>
    <col min="11808" max="11809" width="10.5546875" style="19" customWidth="1"/>
    <col min="11810" max="11810" width="11" style="19" customWidth="1"/>
    <col min="11811" max="11811" width="13.109375" style="19" bestFit="1" customWidth="1"/>
    <col min="11812" max="11812" width="27.21875" style="19" customWidth="1"/>
    <col min="11813" max="11813" width="14.44140625" style="19" bestFit="1" customWidth="1"/>
    <col min="11814" max="11814" width="11.77734375" style="19" bestFit="1" customWidth="1"/>
    <col min="11815" max="11817" width="8.88671875" style="19"/>
    <col min="11818" max="11818" width="13.44140625" style="19" bestFit="1" customWidth="1"/>
    <col min="11819" max="12029" width="8.88671875" style="19"/>
    <col min="12030" max="12030" width="5.109375" style="19" customWidth="1"/>
    <col min="12031" max="12031" width="49.33203125" style="19" customWidth="1"/>
    <col min="12032" max="12063" width="15.77734375" style="19" customWidth="1"/>
    <col min="12064" max="12065" width="10.5546875" style="19" customWidth="1"/>
    <col min="12066" max="12066" width="11" style="19" customWidth="1"/>
    <col min="12067" max="12067" width="13.109375" style="19" bestFit="1" customWidth="1"/>
    <col min="12068" max="12068" width="27.21875" style="19" customWidth="1"/>
    <col min="12069" max="12069" width="14.44140625" style="19" bestFit="1" customWidth="1"/>
    <col min="12070" max="12070" width="11.77734375" style="19" bestFit="1" customWidth="1"/>
    <col min="12071" max="12073" width="8.88671875" style="19"/>
    <col min="12074" max="12074" width="13.44140625" style="19" bestFit="1" customWidth="1"/>
    <col min="12075" max="12285" width="8.88671875" style="19"/>
    <col min="12286" max="12286" width="5.109375" style="19" customWidth="1"/>
    <col min="12287" max="12287" width="49.33203125" style="19" customWidth="1"/>
    <col min="12288" max="12319" width="15.77734375" style="19" customWidth="1"/>
    <col min="12320" max="12321" width="10.5546875" style="19" customWidth="1"/>
    <col min="12322" max="12322" width="11" style="19" customWidth="1"/>
    <col min="12323" max="12323" width="13.109375" style="19" bestFit="1" customWidth="1"/>
    <col min="12324" max="12324" width="27.21875" style="19" customWidth="1"/>
    <col min="12325" max="12325" width="14.44140625" style="19" bestFit="1" customWidth="1"/>
    <col min="12326" max="12326" width="11.77734375" style="19" bestFit="1" customWidth="1"/>
    <col min="12327" max="12329" width="8.88671875" style="19"/>
    <col min="12330" max="12330" width="13.44140625" style="19" bestFit="1" customWidth="1"/>
    <col min="12331" max="12541" width="8.88671875" style="19"/>
    <col min="12542" max="12542" width="5.109375" style="19" customWidth="1"/>
    <col min="12543" max="12543" width="49.33203125" style="19" customWidth="1"/>
    <col min="12544" max="12575" width="15.77734375" style="19" customWidth="1"/>
    <col min="12576" max="12577" width="10.5546875" style="19" customWidth="1"/>
    <col min="12578" max="12578" width="11" style="19" customWidth="1"/>
    <col min="12579" max="12579" width="13.109375" style="19" bestFit="1" customWidth="1"/>
    <col min="12580" max="12580" width="27.21875" style="19" customWidth="1"/>
    <col min="12581" max="12581" width="14.44140625" style="19" bestFit="1" customWidth="1"/>
    <col min="12582" max="12582" width="11.77734375" style="19" bestFit="1" customWidth="1"/>
    <col min="12583" max="12585" width="8.88671875" style="19"/>
    <col min="12586" max="12586" width="13.44140625" style="19" bestFit="1" customWidth="1"/>
    <col min="12587" max="12797" width="8.88671875" style="19"/>
    <col min="12798" max="12798" width="5.109375" style="19" customWidth="1"/>
    <col min="12799" max="12799" width="49.33203125" style="19" customWidth="1"/>
    <col min="12800" max="12831" width="15.77734375" style="19" customWidth="1"/>
    <col min="12832" max="12833" width="10.5546875" style="19" customWidth="1"/>
    <col min="12834" max="12834" width="11" style="19" customWidth="1"/>
    <col min="12835" max="12835" width="13.109375" style="19" bestFit="1" customWidth="1"/>
    <col min="12836" max="12836" width="27.21875" style="19" customWidth="1"/>
    <col min="12837" max="12837" width="14.44140625" style="19" bestFit="1" customWidth="1"/>
    <col min="12838" max="12838" width="11.77734375" style="19" bestFit="1" customWidth="1"/>
    <col min="12839" max="12841" width="8.88671875" style="19"/>
    <col min="12842" max="12842" width="13.44140625" style="19" bestFit="1" customWidth="1"/>
    <col min="12843" max="13053" width="8.88671875" style="19"/>
    <col min="13054" max="13054" width="5.109375" style="19" customWidth="1"/>
    <col min="13055" max="13055" width="49.33203125" style="19" customWidth="1"/>
    <col min="13056" max="13087" width="15.77734375" style="19" customWidth="1"/>
    <col min="13088" max="13089" width="10.5546875" style="19" customWidth="1"/>
    <col min="13090" max="13090" width="11" style="19" customWidth="1"/>
    <col min="13091" max="13091" width="13.109375" style="19" bestFit="1" customWidth="1"/>
    <col min="13092" max="13092" width="27.21875" style="19" customWidth="1"/>
    <col min="13093" max="13093" width="14.44140625" style="19" bestFit="1" customWidth="1"/>
    <col min="13094" max="13094" width="11.77734375" style="19" bestFit="1" customWidth="1"/>
    <col min="13095" max="13097" width="8.88671875" style="19"/>
    <col min="13098" max="13098" width="13.44140625" style="19" bestFit="1" customWidth="1"/>
    <col min="13099" max="13309" width="8.88671875" style="19"/>
    <col min="13310" max="13310" width="5.109375" style="19" customWidth="1"/>
    <col min="13311" max="13311" width="49.33203125" style="19" customWidth="1"/>
    <col min="13312" max="13343" width="15.77734375" style="19" customWidth="1"/>
    <col min="13344" max="13345" width="10.5546875" style="19" customWidth="1"/>
    <col min="13346" max="13346" width="11" style="19" customWidth="1"/>
    <col min="13347" max="13347" width="13.109375" style="19" bestFit="1" customWidth="1"/>
    <col min="13348" max="13348" width="27.21875" style="19" customWidth="1"/>
    <col min="13349" max="13349" width="14.44140625" style="19" bestFit="1" customWidth="1"/>
    <col min="13350" max="13350" width="11.77734375" style="19" bestFit="1" customWidth="1"/>
    <col min="13351" max="13353" width="8.88671875" style="19"/>
    <col min="13354" max="13354" width="13.44140625" style="19" bestFit="1" customWidth="1"/>
    <col min="13355" max="13565" width="8.88671875" style="19"/>
    <col min="13566" max="13566" width="5.109375" style="19" customWidth="1"/>
    <col min="13567" max="13567" width="49.33203125" style="19" customWidth="1"/>
    <col min="13568" max="13599" width="15.77734375" style="19" customWidth="1"/>
    <col min="13600" max="13601" width="10.5546875" style="19" customWidth="1"/>
    <col min="13602" max="13602" width="11" style="19" customWidth="1"/>
    <col min="13603" max="13603" width="13.109375" style="19" bestFit="1" customWidth="1"/>
    <col min="13604" max="13604" width="27.21875" style="19" customWidth="1"/>
    <col min="13605" max="13605" width="14.44140625" style="19" bestFit="1" customWidth="1"/>
    <col min="13606" max="13606" width="11.77734375" style="19" bestFit="1" customWidth="1"/>
    <col min="13607" max="13609" width="8.88671875" style="19"/>
    <col min="13610" max="13610" width="13.44140625" style="19" bestFit="1" customWidth="1"/>
    <col min="13611" max="13821" width="8.88671875" style="19"/>
    <col min="13822" max="13822" width="5.109375" style="19" customWidth="1"/>
    <col min="13823" max="13823" width="49.33203125" style="19" customWidth="1"/>
    <col min="13824" max="13855" width="15.77734375" style="19" customWidth="1"/>
    <col min="13856" max="13857" width="10.5546875" style="19" customWidth="1"/>
    <col min="13858" max="13858" width="11" style="19" customWidth="1"/>
    <col min="13859" max="13859" width="13.109375" style="19" bestFit="1" customWidth="1"/>
    <col min="13860" max="13860" width="27.21875" style="19" customWidth="1"/>
    <col min="13861" max="13861" width="14.44140625" style="19" bestFit="1" customWidth="1"/>
    <col min="13862" max="13862" width="11.77734375" style="19" bestFit="1" customWidth="1"/>
    <col min="13863" max="13865" width="8.88671875" style="19"/>
    <col min="13866" max="13866" width="13.44140625" style="19" bestFit="1" customWidth="1"/>
    <col min="13867" max="14077" width="8.88671875" style="19"/>
    <col min="14078" max="14078" width="5.109375" style="19" customWidth="1"/>
    <col min="14079" max="14079" width="49.33203125" style="19" customWidth="1"/>
    <col min="14080" max="14111" width="15.77734375" style="19" customWidth="1"/>
    <col min="14112" max="14113" width="10.5546875" style="19" customWidth="1"/>
    <col min="14114" max="14114" width="11" style="19" customWidth="1"/>
    <col min="14115" max="14115" width="13.109375" style="19" bestFit="1" customWidth="1"/>
    <col min="14116" max="14116" width="27.21875" style="19" customWidth="1"/>
    <col min="14117" max="14117" width="14.44140625" style="19" bestFit="1" customWidth="1"/>
    <col min="14118" max="14118" width="11.77734375" style="19" bestFit="1" customWidth="1"/>
    <col min="14119" max="14121" width="8.88671875" style="19"/>
    <col min="14122" max="14122" width="13.44140625" style="19" bestFit="1" customWidth="1"/>
    <col min="14123" max="14333" width="8.88671875" style="19"/>
    <col min="14334" max="14334" width="5.109375" style="19" customWidth="1"/>
    <col min="14335" max="14335" width="49.33203125" style="19" customWidth="1"/>
    <col min="14336" max="14367" width="15.77734375" style="19" customWidth="1"/>
    <col min="14368" max="14369" width="10.5546875" style="19" customWidth="1"/>
    <col min="14370" max="14370" width="11" style="19" customWidth="1"/>
    <col min="14371" max="14371" width="13.109375" style="19" bestFit="1" customWidth="1"/>
    <col min="14372" max="14372" width="27.21875" style="19" customWidth="1"/>
    <col min="14373" max="14373" width="14.44140625" style="19" bestFit="1" customWidth="1"/>
    <col min="14374" max="14374" width="11.77734375" style="19" bestFit="1" customWidth="1"/>
    <col min="14375" max="14377" width="8.88671875" style="19"/>
    <col min="14378" max="14378" width="13.44140625" style="19" bestFit="1" customWidth="1"/>
    <col min="14379" max="14589" width="8.88671875" style="19"/>
    <col min="14590" max="14590" width="5.109375" style="19" customWidth="1"/>
    <col min="14591" max="14591" width="49.33203125" style="19" customWidth="1"/>
    <col min="14592" max="14623" width="15.77734375" style="19" customWidth="1"/>
    <col min="14624" max="14625" width="10.5546875" style="19" customWidth="1"/>
    <col min="14626" max="14626" width="11" style="19" customWidth="1"/>
    <col min="14627" max="14627" width="13.109375" style="19" bestFit="1" customWidth="1"/>
    <col min="14628" max="14628" width="27.21875" style="19" customWidth="1"/>
    <col min="14629" max="14629" width="14.44140625" style="19" bestFit="1" customWidth="1"/>
    <col min="14630" max="14630" width="11.77734375" style="19" bestFit="1" customWidth="1"/>
    <col min="14631" max="14633" width="8.88671875" style="19"/>
    <col min="14634" max="14634" width="13.44140625" style="19" bestFit="1" customWidth="1"/>
    <col min="14635" max="14845" width="8.88671875" style="19"/>
    <col min="14846" max="14846" width="5.109375" style="19" customWidth="1"/>
    <col min="14847" max="14847" width="49.33203125" style="19" customWidth="1"/>
    <col min="14848" max="14879" width="15.77734375" style="19" customWidth="1"/>
    <col min="14880" max="14881" width="10.5546875" style="19" customWidth="1"/>
    <col min="14882" max="14882" width="11" style="19" customWidth="1"/>
    <col min="14883" max="14883" width="13.109375" style="19" bestFit="1" customWidth="1"/>
    <col min="14884" max="14884" width="27.21875" style="19" customWidth="1"/>
    <col min="14885" max="14885" width="14.44140625" style="19" bestFit="1" customWidth="1"/>
    <col min="14886" max="14886" width="11.77734375" style="19" bestFit="1" customWidth="1"/>
    <col min="14887" max="14889" width="8.88671875" style="19"/>
    <col min="14890" max="14890" width="13.44140625" style="19" bestFit="1" customWidth="1"/>
    <col min="14891" max="15101" width="8.88671875" style="19"/>
    <col min="15102" max="15102" width="5.109375" style="19" customWidth="1"/>
    <col min="15103" max="15103" width="49.33203125" style="19" customWidth="1"/>
    <col min="15104" max="15135" width="15.77734375" style="19" customWidth="1"/>
    <col min="15136" max="15137" width="10.5546875" style="19" customWidth="1"/>
    <col min="15138" max="15138" width="11" style="19" customWidth="1"/>
    <col min="15139" max="15139" width="13.109375" style="19" bestFit="1" customWidth="1"/>
    <col min="15140" max="15140" width="27.21875" style="19" customWidth="1"/>
    <col min="15141" max="15141" width="14.44140625" style="19" bestFit="1" customWidth="1"/>
    <col min="15142" max="15142" width="11.77734375" style="19" bestFit="1" customWidth="1"/>
    <col min="15143" max="15145" width="8.88671875" style="19"/>
    <col min="15146" max="15146" width="13.44140625" style="19" bestFit="1" customWidth="1"/>
    <col min="15147" max="15357" width="8.88671875" style="19"/>
    <col min="15358" max="15358" width="5.109375" style="19" customWidth="1"/>
    <col min="15359" max="15359" width="49.33203125" style="19" customWidth="1"/>
    <col min="15360" max="15391" width="15.77734375" style="19" customWidth="1"/>
    <col min="15392" max="15393" width="10.5546875" style="19" customWidth="1"/>
    <col min="15394" max="15394" width="11" style="19" customWidth="1"/>
    <col min="15395" max="15395" width="13.109375" style="19" bestFit="1" customWidth="1"/>
    <col min="15396" max="15396" width="27.21875" style="19" customWidth="1"/>
    <col min="15397" max="15397" width="14.44140625" style="19" bestFit="1" customWidth="1"/>
    <col min="15398" max="15398" width="11.77734375" style="19" bestFit="1" customWidth="1"/>
    <col min="15399" max="15401" width="8.88671875" style="19"/>
    <col min="15402" max="15402" width="13.44140625" style="19" bestFit="1" customWidth="1"/>
    <col min="15403" max="15613" width="8.88671875" style="19"/>
    <col min="15614" max="15614" width="5.109375" style="19" customWidth="1"/>
    <col min="15615" max="15615" width="49.33203125" style="19" customWidth="1"/>
    <col min="15616" max="15647" width="15.77734375" style="19" customWidth="1"/>
    <col min="15648" max="15649" width="10.5546875" style="19" customWidth="1"/>
    <col min="15650" max="15650" width="11" style="19" customWidth="1"/>
    <col min="15651" max="15651" width="13.109375" style="19" bestFit="1" customWidth="1"/>
    <col min="15652" max="15652" width="27.21875" style="19" customWidth="1"/>
    <col min="15653" max="15653" width="14.44140625" style="19" bestFit="1" customWidth="1"/>
    <col min="15654" max="15654" width="11.77734375" style="19" bestFit="1" customWidth="1"/>
    <col min="15655" max="15657" width="8.88671875" style="19"/>
    <col min="15658" max="15658" width="13.44140625" style="19" bestFit="1" customWidth="1"/>
    <col min="15659" max="15869" width="8.88671875" style="19"/>
    <col min="15870" max="15870" width="5.109375" style="19" customWidth="1"/>
    <col min="15871" max="15871" width="49.33203125" style="19" customWidth="1"/>
    <col min="15872" max="15903" width="15.77734375" style="19" customWidth="1"/>
    <col min="15904" max="15905" width="10.5546875" style="19" customWidth="1"/>
    <col min="15906" max="15906" width="11" style="19" customWidth="1"/>
    <col min="15907" max="15907" width="13.109375" style="19" bestFit="1" customWidth="1"/>
    <col min="15908" max="15908" width="27.21875" style="19" customWidth="1"/>
    <col min="15909" max="15909" width="14.44140625" style="19" bestFit="1" customWidth="1"/>
    <col min="15910" max="15910" width="11.77734375" style="19" bestFit="1" customWidth="1"/>
    <col min="15911" max="15913" width="8.88671875" style="19"/>
    <col min="15914" max="15914" width="13.44140625" style="19" bestFit="1" customWidth="1"/>
    <col min="15915" max="16125" width="8.88671875" style="19"/>
    <col min="16126" max="16126" width="5.109375" style="19" customWidth="1"/>
    <col min="16127" max="16127" width="49.33203125" style="19" customWidth="1"/>
    <col min="16128" max="16159" width="15.77734375" style="19" customWidth="1"/>
    <col min="16160" max="16161" width="10.5546875" style="19" customWidth="1"/>
    <col min="16162" max="16162" width="11" style="19" customWidth="1"/>
    <col min="16163" max="16163" width="13.109375" style="19" bestFit="1" customWidth="1"/>
    <col min="16164" max="16164" width="27.21875" style="19" customWidth="1"/>
    <col min="16165" max="16165" width="14.44140625" style="19" bestFit="1" customWidth="1"/>
    <col min="16166" max="16166" width="11.77734375" style="19" bestFit="1" customWidth="1"/>
    <col min="16167" max="16169" width="8.88671875" style="19"/>
    <col min="16170" max="16170" width="13.44140625" style="19" bestFit="1" customWidth="1"/>
    <col min="16171" max="16384" width="8.88671875" style="19"/>
  </cols>
  <sheetData>
    <row r="1" spans="1:38" ht="15.75" customHeight="1" x14ac:dyDescent="0.2">
      <c r="A1" s="115" t="s">
        <v>51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</row>
    <row r="2" spans="1:38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</row>
    <row r="3" spans="1:38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2" t="s">
        <v>18</v>
      </c>
      <c r="AF3" s="20"/>
      <c r="AG3" s="20"/>
      <c r="AH3" s="21"/>
      <c r="AI3" s="22"/>
      <c r="AJ3" s="23" t="s">
        <v>0</v>
      </c>
      <c r="AK3" s="24"/>
      <c r="AL3" s="24"/>
    </row>
    <row r="4" spans="1:38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122"/>
      <c r="AF4" s="27"/>
      <c r="AG4" s="27"/>
      <c r="AH4" s="14"/>
      <c r="AI4" s="28"/>
      <c r="AJ4" s="23" t="s">
        <v>19</v>
      </c>
      <c r="AK4" s="29"/>
      <c r="AL4" s="30"/>
    </row>
    <row r="5" spans="1:38" s="25" customFormat="1" ht="18" customHeight="1" x14ac:dyDescent="0.2">
      <c r="A5" s="31">
        <v>1</v>
      </c>
      <c r="B5" s="32" t="s">
        <v>2</v>
      </c>
      <c r="C5" s="32">
        <v>19460000</v>
      </c>
      <c r="D5" s="33"/>
      <c r="E5" s="32">
        <v>6380000</v>
      </c>
      <c r="F5" s="34">
        <v>4032000</v>
      </c>
      <c r="G5" s="34">
        <v>4836000</v>
      </c>
      <c r="H5" s="32">
        <v>3144000</v>
      </c>
      <c r="I5" s="32">
        <v>14660000</v>
      </c>
      <c r="J5" s="32">
        <v>17828000</v>
      </c>
      <c r="K5" s="33"/>
      <c r="L5" s="32">
        <v>5068000</v>
      </c>
      <c r="M5" s="32">
        <v>5236000</v>
      </c>
      <c r="N5" s="32">
        <v>4736000</v>
      </c>
      <c r="O5" s="32">
        <v>3160000</v>
      </c>
      <c r="P5" s="32">
        <v>15004000</v>
      </c>
      <c r="Q5" s="32">
        <v>26532000</v>
      </c>
      <c r="R5" s="32">
        <v>6596000</v>
      </c>
      <c r="S5" s="32">
        <v>21700000</v>
      </c>
      <c r="T5" s="33"/>
      <c r="U5" s="32">
        <v>744000</v>
      </c>
      <c r="V5" s="32">
        <v>896000</v>
      </c>
      <c r="W5" s="32">
        <v>2484000</v>
      </c>
      <c r="X5" s="32">
        <v>2096000</v>
      </c>
      <c r="Y5" s="33"/>
      <c r="Z5" s="32">
        <v>1020000</v>
      </c>
      <c r="AA5" s="32">
        <v>936000</v>
      </c>
      <c r="AB5" s="32">
        <v>1028000</v>
      </c>
      <c r="AC5" s="32">
        <v>736000</v>
      </c>
      <c r="AD5" s="32">
        <v>2980000</v>
      </c>
      <c r="AE5" s="35">
        <f t="shared" ref="AE5:AE22" si="0">SUM(C5:AD5)</f>
        <v>171292000</v>
      </c>
      <c r="AF5" s="107">
        <f>AE5/4000</f>
        <v>42823</v>
      </c>
      <c r="AG5" s="109">
        <v>81424000</v>
      </c>
      <c r="AH5" s="111">
        <f>AE5+AG5</f>
        <v>252716000</v>
      </c>
      <c r="AI5" s="38"/>
      <c r="AJ5" s="3" t="s">
        <v>2</v>
      </c>
      <c r="AK5" s="39">
        <f t="shared" ref="AK5:AK23" si="1">AE5</f>
        <v>171292000</v>
      </c>
      <c r="AL5" s="30"/>
    </row>
    <row r="6" spans="1:38" s="25" customFormat="1" ht="18" customHeight="1" x14ac:dyDescent="0.2">
      <c r="A6" s="40">
        <v>2</v>
      </c>
      <c r="B6" s="41" t="s">
        <v>3</v>
      </c>
      <c r="C6" s="41">
        <v>3723000</v>
      </c>
      <c r="D6" s="42"/>
      <c r="E6" s="41">
        <v>801000</v>
      </c>
      <c r="F6" s="41">
        <v>396000</v>
      </c>
      <c r="G6" s="41">
        <v>723000</v>
      </c>
      <c r="H6" s="41">
        <v>357000</v>
      </c>
      <c r="I6" s="41">
        <v>2712000</v>
      </c>
      <c r="J6" s="41">
        <v>3957000</v>
      </c>
      <c r="K6" s="42"/>
      <c r="L6" s="41">
        <v>603000</v>
      </c>
      <c r="M6" s="41">
        <v>735000</v>
      </c>
      <c r="N6" s="41">
        <v>696000</v>
      </c>
      <c r="O6" s="41">
        <v>432000</v>
      </c>
      <c r="P6" s="41">
        <v>2742000</v>
      </c>
      <c r="Q6" s="41">
        <v>5373000</v>
      </c>
      <c r="R6" s="41">
        <v>1512000</v>
      </c>
      <c r="S6" s="41">
        <v>4539000</v>
      </c>
      <c r="T6" s="42"/>
      <c r="U6" s="41">
        <v>168000</v>
      </c>
      <c r="V6" s="41">
        <v>153000</v>
      </c>
      <c r="W6" s="41">
        <v>438000</v>
      </c>
      <c r="X6" s="41">
        <v>411000</v>
      </c>
      <c r="Y6" s="42"/>
      <c r="Z6" s="41">
        <v>138000</v>
      </c>
      <c r="AA6" s="41">
        <v>99000</v>
      </c>
      <c r="AB6" s="41">
        <v>150000</v>
      </c>
      <c r="AC6" s="41">
        <v>78000</v>
      </c>
      <c r="AD6" s="41">
        <v>429000</v>
      </c>
      <c r="AE6" s="84">
        <f t="shared" si="0"/>
        <v>31365000</v>
      </c>
      <c r="AF6" s="107">
        <f>AE6/3000</f>
        <v>10455</v>
      </c>
      <c r="AG6" s="109">
        <v>10629000</v>
      </c>
      <c r="AH6" s="111">
        <f t="shared" ref="AH6:AH22" si="2">AE6+AG6</f>
        <v>41994000</v>
      </c>
      <c r="AI6" s="38"/>
      <c r="AJ6" s="3" t="s">
        <v>3</v>
      </c>
      <c r="AK6" s="39">
        <f t="shared" si="1"/>
        <v>31365000</v>
      </c>
      <c r="AL6" s="30"/>
    </row>
    <row r="7" spans="1:38" s="25" customFormat="1" ht="18" customHeight="1" x14ac:dyDescent="0.2">
      <c r="A7" s="40">
        <v>3</v>
      </c>
      <c r="B7" s="41" t="s">
        <v>4</v>
      </c>
      <c r="C7" s="41"/>
      <c r="D7" s="42"/>
      <c r="E7" s="41"/>
      <c r="F7" s="41"/>
      <c r="G7" s="41"/>
      <c r="H7" s="41"/>
      <c r="I7" s="41"/>
      <c r="J7" s="41"/>
      <c r="K7" s="42"/>
      <c r="L7" s="41"/>
      <c r="M7" s="41"/>
      <c r="N7" s="41"/>
      <c r="O7" s="41"/>
      <c r="P7" s="41"/>
      <c r="Q7" s="41"/>
      <c r="R7" s="41"/>
      <c r="S7" s="41"/>
      <c r="T7" s="42"/>
      <c r="U7" s="41"/>
      <c r="V7" s="41"/>
      <c r="W7" s="41"/>
      <c r="X7" s="41"/>
      <c r="Y7" s="42"/>
      <c r="Z7" s="41"/>
      <c r="AA7" s="41"/>
      <c r="AB7" s="41"/>
      <c r="AC7" s="41"/>
      <c r="AD7" s="41"/>
      <c r="AE7" s="84">
        <f t="shared" si="0"/>
        <v>0</v>
      </c>
      <c r="AF7" s="107">
        <f>AE7/3000</f>
        <v>0</v>
      </c>
      <c r="AG7" s="109"/>
      <c r="AH7" s="111">
        <f t="shared" si="2"/>
        <v>0</v>
      </c>
      <c r="AI7" s="38"/>
      <c r="AJ7" s="3" t="s">
        <v>4</v>
      </c>
      <c r="AK7" s="39">
        <f t="shared" si="1"/>
        <v>0</v>
      </c>
      <c r="AL7" s="30"/>
    </row>
    <row r="8" spans="1:38" s="25" customFormat="1" ht="18" customHeight="1" x14ac:dyDescent="0.2">
      <c r="A8" s="40">
        <v>4</v>
      </c>
      <c r="B8" s="41" t="s">
        <v>5</v>
      </c>
      <c r="C8" s="41"/>
      <c r="D8" s="42"/>
      <c r="E8" s="41"/>
      <c r="F8" s="41"/>
      <c r="G8" s="41"/>
      <c r="H8" s="41"/>
      <c r="I8" s="41"/>
      <c r="J8" s="41"/>
      <c r="K8" s="42"/>
      <c r="L8" s="41"/>
      <c r="M8" s="41"/>
      <c r="N8" s="41"/>
      <c r="O8" s="41"/>
      <c r="P8" s="41"/>
      <c r="Q8" s="41"/>
      <c r="R8" s="41"/>
      <c r="S8" s="41"/>
      <c r="T8" s="42"/>
      <c r="U8" s="41"/>
      <c r="V8" s="41"/>
      <c r="W8" s="41"/>
      <c r="X8" s="41"/>
      <c r="Y8" s="42"/>
      <c r="Z8" s="41"/>
      <c r="AA8" s="41"/>
      <c r="AB8" s="41"/>
      <c r="AC8" s="41"/>
      <c r="AD8" s="41"/>
      <c r="AE8" s="84">
        <f t="shared" si="0"/>
        <v>0</v>
      </c>
      <c r="AF8" s="107">
        <f>AE8/2250</f>
        <v>0</v>
      </c>
      <c r="AG8" s="109"/>
      <c r="AH8" s="111">
        <f t="shared" si="2"/>
        <v>0</v>
      </c>
      <c r="AI8" s="38"/>
      <c r="AJ8" s="3" t="s">
        <v>5</v>
      </c>
      <c r="AK8" s="39">
        <f t="shared" si="1"/>
        <v>0</v>
      </c>
      <c r="AL8" s="30"/>
    </row>
    <row r="9" spans="1:38" s="25" customFormat="1" ht="18" customHeight="1" x14ac:dyDescent="0.2">
      <c r="A9" s="40">
        <v>5</v>
      </c>
      <c r="B9" s="43" t="s">
        <v>20</v>
      </c>
      <c r="C9" s="41">
        <v>552500</v>
      </c>
      <c r="D9" s="42"/>
      <c r="E9" s="41">
        <v>10000</v>
      </c>
      <c r="F9" s="41">
        <v>25000</v>
      </c>
      <c r="G9" s="41">
        <v>37500</v>
      </c>
      <c r="H9" s="41">
        <v>12500</v>
      </c>
      <c r="I9" s="41">
        <v>432500</v>
      </c>
      <c r="J9" s="41">
        <v>355000</v>
      </c>
      <c r="K9" s="42"/>
      <c r="L9" s="41">
        <v>5000</v>
      </c>
      <c r="M9" s="41">
        <v>7500</v>
      </c>
      <c r="N9" s="41">
        <v>62500</v>
      </c>
      <c r="O9" s="41">
        <v>42500</v>
      </c>
      <c r="P9" s="41">
        <v>347500</v>
      </c>
      <c r="Q9" s="41">
        <v>822500</v>
      </c>
      <c r="R9" s="41">
        <v>40000</v>
      </c>
      <c r="S9" s="41">
        <v>672500</v>
      </c>
      <c r="T9" s="42"/>
      <c r="U9" s="41">
        <v>2500</v>
      </c>
      <c r="V9" s="41">
        <v>20000</v>
      </c>
      <c r="W9" s="41"/>
      <c r="X9" s="41"/>
      <c r="Y9" s="42"/>
      <c r="Z9" s="41">
        <v>15000</v>
      </c>
      <c r="AA9" s="41">
        <v>15000</v>
      </c>
      <c r="AB9" s="41"/>
      <c r="AC9" s="41"/>
      <c r="AD9" s="41">
        <v>17500</v>
      </c>
      <c r="AE9" s="84">
        <f t="shared" si="0"/>
        <v>3495000</v>
      </c>
      <c r="AF9" s="107">
        <f>AE9/2500</f>
        <v>1398</v>
      </c>
      <c r="AG9" s="109">
        <v>8072500</v>
      </c>
      <c r="AH9" s="111">
        <f t="shared" si="2"/>
        <v>11567500</v>
      </c>
      <c r="AI9" s="38"/>
      <c r="AJ9" s="3"/>
      <c r="AK9" s="39"/>
      <c r="AL9" s="30"/>
    </row>
    <row r="10" spans="1:38" s="25" customFormat="1" ht="18" customHeight="1" x14ac:dyDescent="0.2">
      <c r="A10" s="40">
        <v>6</v>
      </c>
      <c r="B10" s="44" t="s">
        <v>21</v>
      </c>
      <c r="C10" s="44"/>
      <c r="D10" s="42"/>
      <c r="E10" s="44">
        <v>600000</v>
      </c>
      <c r="F10" s="44">
        <v>342000</v>
      </c>
      <c r="G10" s="44">
        <v>330000</v>
      </c>
      <c r="H10" s="44">
        <v>330000</v>
      </c>
      <c r="I10" s="44"/>
      <c r="J10" s="44"/>
      <c r="K10" s="42"/>
      <c r="L10" s="44">
        <v>264000</v>
      </c>
      <c r="M10" s="44">
        <v>624000</v>
      </c>
      <c r="N10" s="44">
        <v>258000</v>
      </c>
      <c r="O10" s="45">
        <v>168000</v>
      </c>
      <c r="P10" s="44"/>
      <c r="Q10" s="44"/>
      <c r="R10" s="44"/>
      <c r="S10" s="44"/>
      <c r="T10" s="42"/>
      <c r="U10" s="44">
        <v>18000</v>
      </c>
      <c r="V10" s="44">
        <v>18000</v>
      </c>
      <c r="W10" s="44"/>
      <c r="X10" s="44"/>
      <c r="Y10" s="42"/>
      <c r="Z10" s="44">
        <v>18000</v>
      </c>
      <c r="AA10" s="44">
        <v>48000</v>
      </c>
      <c r="AB10" s="44">
        <v>54000</v>
      </c>
      <c r="AC10" s="44">
        <v>36000</v>
      </c>
      <c r="AD10" s="44"/>
      <c r="AE10" s="84">
        <f t="shared" si="0"/>
        <v>3108000</v>
      </c>
      <c r="AF10" s="107">
        <f>AE10/6000</f>
        <v>518</v>
      </c>
      <c r="AG10" s="109">
        <v>9930000</v>
      </c>
      <c r="AH10" s="111">
        <f t="shared" si="2"/>
        <v>13038000</v>
      </c>
      <c r="AI10" s="38"/>
      <c r="AJ10" s="3" t="s">
        <v>10</v>
      </c>
      <c r="AK10" s="39">
        <f t="shared" si="1"/>
        <v>3108000</v>
      </c>
      <c r="AL10" s="30"/>
    </row>
    <row r="11" spans="1:38" s="50" customFormat="1" ht="18" customHeight="1" x14ac:dyDescent="0.2">
      <c r="A11" s="40">
        <v>7</v>
      </c>
      <c r="B11" s="44" t="s">
        <v>22</v>
      </c>
      <c r="C11" s="44"/>
      <c r="D11" s="42"/>
      <c r="E11" s="44">
        <v>210000</v>
      </c>
      <c r="F11" s="46">
        <v>228000</v>
      </c>
      <c r="G11" s="46">
        <v>108000</v>
      </c>
      <c r="H11" s="44">
        <v>234000</v>
      </c>
      <c r="I11" s="44"/>
      <c r="J11" s="44"/>
      <c r="K11" s="42"/>
      <c r="L11" s="44">
        <v>156000</v>
      </c>
      <c r="M11" s="44">
        <v>288000</v>
      </c>
      <c r="N11" s="44">
        <v>186000</v>
      </c>
      <c r="O11" s="45">
        <v>174000</v>
      </c>
      <c r="P11" s="44"/>
      <c r="Q11" s="44"/>
      <c r="R11" s="44"/>
      <c r="S11" s="44"/>
      <c r="T11" s="42"/>
      <c r="U11" s="44">
        <v>36000</v>
      </c>
      <c r="V11" s="44">
        <v>18000</v>
      </c>
      <c r="W11" s="44"/>
      <c r="X11" s="44"/>
      <c r="Y11" s="42"/>
      <c r="Z11" s="44">
        <v>42000</v>
      </c>
      <c r="AA11" s="44">
        <v>36000</v>
      </c>
      <c r="AB11" s="44">
        <v>30000</v>
      </c>
      <c r="AC11" s="44">
        <v>42000</v>
      </c>
      <c r="AD11" s="44"/>
      <c r="AE11" s="84">
        <f t="shared" si="0"/>
        <v>1788000</v>
      </c>
      <c r="AF11" s="107">
        <f>AE11/6000</f>
        <v>298</v>
      </c>
      <c r="AG11" s="109">
        <v>1896000</v>
      </c>
      <c r="AH11" s="111">
        <f t="shared" si="2"/>
        <v>3684000</v>
      </c>
      <c r="AI11" s="47"/>
      <c r="AJ11" s="48" t="s">
        <v>23</v>
      </c>
      <c r="AK11" s="39">
        <f t="shared" si="1"/>
        <v>1788000</v>
      </c>
      <c r="AL11" s="49"/>
    </row>
    <row r="12" spans="1:38" s="50" customFormat="1" ht="18" customHeight="1" x14ac:dyDescent="0.2">
      <c r="A12" s="40">
        <v>8</v>
      </c>
      <c r="B12" s="44" t="s">
        <v>24</v>
      </c>
      <c r="C12" s="44"/>
      <c r="D12" s="42"/>
      <c r="E12" s="51"/>
      <c r="F12" s="44"/>
      <c r="G12" s="44"/>
      <c r="H12" s="44"/>
      <c r="I12" s="44"/>
      <c r="J12" s="44"/>
      <c r="K12" s="42"/>
      <c r="L12" s="44"/>
      <c r="M12" s="44"/>
      <c r="N12" s="44"/>
      <c r="O12" s="45"/>
      <c r="P12" s="44"/>
      <c r="Q12" s="44"/>
      <c r="R12" s="44"/>
      <c r="S12" s="44"/>
      <c r="T12" s="42"/>
      <c r="U12" s="44"/>
      <c r="V12" s="44"/>
      <c r="W12" s="44"/>
      <c r="X12" s="44"/>
      <c r="Y12" s="42"/>
      <c r="Z12" s="44"/>
      <c r="AA12" s="44"/>
      <c r="AB12" s="44"/>
      <c r="AC12" s="44"/>
      <c r="AD12" s="44"/>
      <c r="AE12" s="84">
        <f t="shared" si="0"/>
        <v>0</v>
      </c>
      <c r="AF12" s="107">
        <f>AE12/4500</f>
        <v>0</v>
      </c>
      <c r="AG12" s="109"/>
      <c r="AH12" s="111">
        <f t="shared" si="2"/>
        <v>0</v>
      </c>
      <c r="AI12" s="47"/>
      <c r="AJ12" s="48" t="s">
        <v>25</v>
      </c>
      <c r="AK12" s="39">
        <f t="shared" si="1"/>
        <v>0</v>
      </c>
      <c r="AL12" s="49"/>
    </row>
    <row r="13" spans="1:38" s="50" customFormat="1" ht="18" customHeight="1" x14ac:dyDescent="0.2">
      <c r="A13" s="40">
        <v>9</v>
      </c>
      <c r="B13" s="44" t="s">
        <v>26</v>
      </c>
      <c r="C13" s="44"/>
      <c r="D13" s="42"/>
      <c r="E13" s="44"/>
      <c r="F13" s="44"/>
      <c r="G13" s="44"/>
      <c r="H13" s="44"/>
      <c r="I13" s="44"/>
      <c r="J13" s="44"/>
      <c r="K13" s="42"/>
      <c r="L13" s="44"/>
      <c r="M13" s="44"/>
      <c r="N13" s="44"/>
      <c r="O13" s="45"/>
      <c r="P13" s="44"/>
      <c r="Q13" s="44"/>
      <c r="R13" s="44"/>
      <c r="S13" s="44"/>
      <c r="T13" s="42"/>
      <c r="U13" s="44"/>
      <c r="V13" s="44"/>
      <c r="W13" s="44"/>
      <c r="X13" s="44"/>
      <c r="Y13" s="42"/>
      <c r="Z13" s="44"/>
      <c r="AA13" s="44"/>
      <c r="AB13" s="44"/>
      <c r="AC13" s="44"/>
      <c r="AD13" s="44"/>
      <c r="AE13" s="84">
        <f t="shared" si="0"/>
        <v>0</v>
      </c>
      <c r="AF13" s="107">
        <f>AE13/4500</f>
        <v>0</v>
      </c>
      <c r="AG13" s="109"/>
      <c r="AH13" s="111">
        <f t="shared" si="2"/>
        <v>0</v>
      </c>
      <c r="AI13" s="47"/>
      <c r="AJ13" s="48" t="s">
        <v>27</v>
      </c>
      <c r="AK13" s="39">
        <f t="shared" si="1"/>
        <v>0</v>
      </c>
      <c r="AL13" s="49"/>
    </row>
    <row r="14" spans="1:38" s="50" customFormat="1" ht="18" customHeight="1" x14ac:dyDescent="0.2">
      <c r="A14" s="40">
        <v>10</v>
      </c>
      <c r="B14" s="52" t="s">
        <v>28</v>
      </c>
      <c r="C14" s="52">
        <v>5280000</v>
      </c>
      <c r="D14" s="42"/>
      <c r="E14" s="52"/>
      <c r="F14" s="52"/>
      <c r="G14" s="52"/>
      <c r="H14" s="52"/>
      <c r="I14" s="52">
        <v>3900000</v>
      </c>
      <c r="J14" s="52">
        <v>4312500</v>
      </c>
      <c r="K14" s="42"/>
      <c r="L14" s="52"/>
      <c r="M14" s="52"/>
      <c r="N14" s="52"/>
      <c r="O14" s="53"/>
      <c r="P14" s="52">
        <v>4140000</v>
      </c>
      <c r="Q14" s="52">
        <v>8482500</v>
      </c>
      <c r="R14" s="52">
        <v>2220000</v>
      </c>
      <c r="S14" s="52">
        <v>7665000</v>
      </c>
      <c r="T14" s="42"/>
      <c r="U14" s="52"/>
      <c r="V14" s="52"/>
      <c r="W14" s="52">
        <v>172500</v>
      </c>
      <c r="X14" s="52">
        <v>45000</v>
      </c>
      <c r="Y14" s="42"/>
      <c r="Z14" s="52"/>
      <c r="AA14" s="52"/>
      <c r="AB14" s="52"/>
      <c r="AC14" s="52"/>
      <c r="AD14" s="52">
        <v>90000</v>
      </c>
      <c r="AE14" s="84">
        <f t="shared" si="0"/>
        <v>36307500</v>
      </c>
      <c r="AF14" s="107">
        <f>AE14/7500</f>
        <v>4841</v>
      </c>
      <c r="AG14" s="109">
        <v>37672500</v>
      </c>
      <c r="AH14" s="111">
        <f t="shared" si="2"/>
        <v>73980000</v>
      </c>
      <c r="AI14" s="47"/>
      <c r="AJ14" s="48" t="s">
        <v>29</v>
      </c>
      <c r="AK14" s="39">
        <f t="shared" si="1"/>
        <v>36307500</v>
      </c>
      <c r="AL14" s="49"/>
    </row>
    <row r="15" spans="1:38" s="11" customFormat="1" ht="18" customHeight="1" x14ac:dyDescent="0.2">
      <c r="A15" s="40">
        <v>11</v>
      </c>
      <c r="B15" s="52" t="s">
        <v>30</v>
      </c>
      <c r="C15" s="52">
        <v>4200000</v>
      </c>
      <c r="D15" s="42"/>
      <c r="E15" s="52"/>
      <c r="F15" s="52"/>
      <c r="G15" s="52"/>
      <c r="H15" s="52"/>
      <c r="I15" s="52">
        <v>2805000</v>
      </c>
      <c r="J15" s="52">
        <v>2842500</v>
      </c>
      <c r="K15" s="42"/>
      <c r="L15" s="52"/>
      <c r="M15" s="52"/>
      <c r="N15" s="52"/>
      <c r="O15" s="53"/>
      <c r="P15" s="52">
        <v>3225000</v>
      </c>
      <c r="Q15" s="52">
        <v>7447500</v>
      </c>
      <c r="R15" s="52">
        <v>1807500</v>
      </c>
      <c r="S15" s="52">
        <v>6210000</v>
      </c>
      <c r="T15" s="42"/>
      <c r="U15" s="52"/>
      <c r="V15" s="52"/>
      <c r="W15" s="52">
        <v>195000</v>
      </c>
      <c r="X15" s="52">
        <v>75000</v>
      </c>
      <c r="Y15" s="42"/>
      <c r="Z15" s="52"/>
      <c r="AA15" s="52"/>
      <c r="AB15" s="52"/>
      <c r="AC15" s="52"/>
      <c r="AD15" s="52">
        <v>135000</v>
      </c>
      <c r="AE15" s="84">
        <f t="shared" si="0"/>
        <v>28942500</v>
      </c>
      <c r="AF15" s="107">
        <f>AE15/7500</f>
        <v>3859</v>
      </c>
      <c r="AG15" s="109">
        <v>7065000</v>
      </c>
      <c r="AH15" s="111">
        <f t="shared" si="2"/>
        <v>36007500</v>
      </c>
      <c r="AI15" s="38"/>
      <c r="AJ15" s="54" t="s">
        <v>21</v>
      </c>
      <c r="AK15" s="39">
        <f t="shared" si="1"/>
        <v>28942500</v>
      </c>
      <c r="AL15" s="29"/>
    </row>
    <row r="16" spans="1:38" s="11" customFormat="1" ht="18" customHeight="1" x14ac:dyDescent="0.2">
      <c r="A16" s="40">
        <v>12</v>
      </c>
      <c r="B16" s="55" t="s">
        <v>31</v>
      </c>
      <c r="C16" s="52"/>
      <c r="D16" s="42"/>
      <c r="E16" s="52"/>
      <c r="F16" s="52"/>
      <c r="G16" s="52"/>
      <c r="H16" s="52"/>
      <c r="I16" s="52"/>
      <c r="J16" s="52"/>
      <c r="K16" s="42"/>
      <c r="L16" s="52"/>
      <c r="M16" s="52"/>
      <c r="N16" s="52"/>
      <c r="O16" s="56"/>
      <c r="P16" s="52"/>
      <c r="Q16" s="52"/>
      <c r="R16" s="52"/>
      <c r="S16" s="52"/>
      <c r="T16" s="42"/>
      <c r="U16" s="52"/>
      <c r="V16" s="52"/>
      <c r="W16" s="52"/>
      <c r="X16" s="52"/>
      <c r="Y16" s="42"/>
      <c r="Z16" s="52"/>
      <c r="AA16" s="52"/>
      <c r="AB16" s="52"/>
      <c r="AC16" s="52"/>
      <c r="AD16" s="52"/>
      <c r="AE16" s="84">
        <f t="shared" si="0"/>
        <v>0</v>
      </c>
      <c r="AF16" s="107">
        <f>AE16/5625</f>
        <v>0</v>
      </c>
      <c r="AG16" s="109"/>
      <c r="AH16" s="111">
        <f t="shared" si="2"/>
        <v>0</v>
      </c>
      <c r="AI16" s="38"/>
      <c r="AJ16" s="54" t="s">
        <v>22</v>
      </c>
      <c r="AK16" s="39">
        <f t="shared" si="1"/>
        <v>0</v>
      </c>
      <c r="AL16" s="29"/>
    </row>
    <row r="17" spans="1:38" s="11" customFormat="1" ht="18" customHeight="1" x14ac:dyDescent="0.2">
      <c r="A17" s="40">
        <v>13</v>
      </c>
      <c r="B17" s="52" t="s">
        <v>32</v>
      </c>
      <c r="C17" s="52"/>
      <c r="D17" s="42"/>
      <c r="E17" s="52"/>
      <c r="F17" s="52"/>
      <c r="G17" s="52"/>
      <c r="H17" s="52"/>
      <c r="I17" s="52"/>
      <c r="J17" s="52"/>
      <c r="K17" s="42"/>
      <c r="L17" s="52"/>
      <c r="M17" s="52"/>
      <c r="N17" s="52"/>
      <c r="O17" s="56"/>
      <c r="P17" s="52"/>
      <c r="Q17" s="52"/>
      <c r="R17" s="52"/>
      <c r="S17" s="52"/>
      <c r="T17" s="42"/>
      <c r="U17" s="52"/>
      <c r="V17" s="52"/>
      <c r="W17" s="52"/>
      <c r="X17" s="52"/>
      <c r="Y17" s="42"/>
      <c r="Z17" s="52"/>
      <c r="AA17" s="52"/>
      <c r="AB17" s="52"/>
      <c r="AC17" s="52"/>
      <c r="AD17" s="52"/>
      <c r="AE17" s="84">
        <f t="shared" si="0"/>
        <v>0</v>
      </c>
      <c r="AF17" s="107">
        <f>AE17/5625</f>
        <v>0</v>
      </c>
      <c r="AG17" s="109"/>
      <c r="AH17" s="111">
        <f t="shared" si="2"/>
        <v>0</v>
      </c>
      <c r="AI17" s="38"/>
      <c r="AJ17" s="54" t="s">
        <v>24</v>
      </c>
      <c r="AK17" s="39">
        <f t="shared" si="1"/>
        <v>0</v>
      </c>
      <c r="AL17" s="29"/>
    </row>
    <row r="18" spans="1:38" s="11" customFormat="1" ht="18" customHeight="1" x14ac:dyDescent="0.2">
      <c r="A18" s="40">
        <v>14</v>
      </c>
      <c r="B18" s="41" t="s">
        <v>6</v>
      </c>
      <c r="C18" s="41"/>
      <c r="D18" s="42"/>
      <c r="E18" s="41"/>
      <c r="F18" s="41"/>
      <c r="G18" s="41"/>
      <c r="H18" s="41"/>
      <c r="I18" s="41"/>
      <c r="J18" s="41"/>
      <c r="K18" s="42"/>
      <c r="L18" s="41"/>
      <c r="M18" s="41"/>
      <c r="N18" s="41"/>
      <c r="O18" s="57"/>
      <c r="P18" s="41"/>
      <c r="Q18" s="41"/>
      <c r="R18" s="41"/>
      <c r="S18" s="41"/>
      <c r="T18" s="42"/>
      <c r="U18" s="41"/>
      <c r="V18" s="41"/>
      <c r="W18" s="41"/>
      <c r="X18" s="41"/>
      <c r="Y18" s="42"/>
      <c r="Z18" s="41"/>
      <c r="AA18" s="41"/>
      <c r="AB18" s="41"/>
      <c r="AC18" s="41"/>
      <c r="AD18" s="41"/>
      <c r="AE18" s="84">
        <f t="shared" si="0"/>
        <v>0</v>
      </c>
      <c r="AF18" s="107">
        <f>AE18/15000</f>
        <v>0</v>
      </c>
      <c r="AG18" s="110">
        <v>750000</v>
      </c>
      <c r="AH18" s="111">
        <f t="shared" si="2"/>
        <v>750000</v>
      </c>
      <c r="AI18" s="38"/>
      <c r="AJ18" s="54" t="s">
        <v>26</v>
      </c>
      <c r="AK18" s="39">
        <f t="shared" si="1"/>
        <v>0</v>
      </c>
      <c r="AL18" s="29"/>
    </row>
    <row r="19" spans="1:38" s="11" customFormat="1" ht="18" customHeight="1" x14ac:dyDescent="0.2">
      <c r="A19" s="40">
        <v>15</v>
      </c>
      <c r="B19" s="41" t="s">
        <v>7</v>
      </c>
      <c r="C19" s="41"/>
      <c r="D19" s="42"/>
      <c r="E19" s="41"/>
      <c r="F19" s="41"/>
      <c r="G19" s="41"/>
      <c r="H19" s="41"/>
      <c r="I19" s="41"/>
      <c r="J19" s="41"/>
      <c r="K19" s="42"/>
      <c r="L19" s="41"/>
      <c r="M19" s="41"/>
      <c r="N19" s="41"/>
      <c r="O19" s="57"/>
      <c r="P19" s="41"/>
      <c r="Q19" s="41"/>
      <c r="R19" s="41"/>
      <c r="S19" s="41"/>
      <c r="T19" s="42"/>
      <c r="U19" s="41"/>
      <c r="V19" s="41"/>
      <c r="W19" s="41"/>
      <c r="X19" s="41"/>
      <c r="Y19" s="42"/>
      <c r="Z19" s="41"/>
      <c r="AA19" s="41"/>
      <c r="AB19" s="41"/>
      <c r="AC19" s="41"/>
      <c r="AD19" s="41"/>
      <c r="AE19" s="84">
        <f t="shared" si="0"/>
        <v>0</v>
      </c>
      <c r="AF19" s="107">
        <f>AE19/12500</f>
        <v>0</v>
      </c>
      <c r="AG19" s="110">
        <v>275000</v>
      </c>
      <c r="AH19" s="111">
        <f t="shared" si="2"/>
        <v>275000</v>
      </c>
      <c r="AI19" s="38"/>
      <c r="AJ19" s="58" t="s">
        <v>28</v>
      </c>
      <c r="AK19" s="39">
        <f t="shared" si="1"/>
        <v>0</v>
      </c>
      <c r="AL19" s="29"/>
    </row>
    <row r="20" spans="1:38" s="11" customFormat="1" ht="18" customHeight="1" x14ac:dyDescent="0.2">
      <c r="A20" s="40">
        <v>16</v>
      </c>
      <c r="B20" s="41" t="s">
        <v>8</v>
      </c>
      <c r="C20" s="41"/>
      <c r="D20" s="42"/>
      <c r="E20" s="41"/>
      <c r="F20" s="41"/>
      <c r="G20" s="41"/>
      <c r="H20" s="41"/>
      <c r="I20" s="41"/>
      <c r="J20" s="41"/>
      <c r="K20" s="42"/>
      <c r="L20" s="41"/>
      <c r="M20" s="41"/>
      <c r="N20" s="41"/>
      <c r="O20" s="57"/>
      <c r="P20" s="41"/>
      <c r="Q20" s="41"/>
      <c r="R20" s="41"/>
      <c r="S20" s="41"/>
      <c r="T20" s="42"/>
      <c r="U20" s="41"/>
      <c r="V20" s="41"/>
      <c r="W20" s="41"/>
      <c r="X20" s="41"/>
      <c r="Y20" s="42"/>
      <c r="Z20" s="41"/>
      <c r="AA20" s="41"/>
      <c r="AB20" s="41"/>
      <c r="AC20" s="41"/>
      <c r="AD20" s="41"/>
      <c r="AE20" s="84">
        <f t="shared" si="0"/>
        <v>0</v>
      </c>
      <c r="AF20" s="107">
        <f>AE20/6000</f>
        <v>0</v>
      </c>
      <c r="AG20" s="110">
        <v>7014000</v>
      </c>
      <c r="AH20" s="111">
        <f t="shared" si="2"/>
        <v>7014000</v>
      </c>
      <c r="AI20" s="38"/>
      <c r="AJ20" s="58" t="s">
        <v>30</v>
      </c>
      <c r="AK20" s="39">
        <f t="shared" si="1"/>
        <v>0</v>
      </c>
      <c r="AL20" s="29"/>
    </row>
    <row r="21" spans="1:38" s="11" customFormat="1" ht="18" customHeight="1" x14ac:dyDescent="0.2">
      <c r="A21" s="40">
        <v>17</v>
      </c>
      <c r="B21" s="41" t="s">
        <v>9</v>
      </c>
      <c r="C21" s="41"/>
      <c r="D21" s="42"/>
      <c r="E21" s="41"/>
      <c r="F21" s="41"/>
      <c r="G21" s="41"/>
      <c r="H21" s="41"/>
      <c r="I21" s="41"/>
      <c r="J21" s="41"/>
      <c r="K21" s="42"/>
      <c r="L21" s="41"/>
      <c r="M21" s="41"/>
      <c r="N21" s="41"/>
      <c r="O21" s="57"/>
      <c r="P21" s="41"/>
      <c r="Q21" s="41"/>
      <c r="R21" s="41"/>
      <c r="S21" s="41"/>
      <c r="T21" s="42"/>
      <c r="U21" s="41"/>
      <c r="V21" s="41"/>
      <c r="W21" s="41"/>
      <c r="X21" s="41"/>
      <c r="Y21" s="42"/>
      <c r="Z21" s="41"/>
      <c r="AA21" s="41"/>
      <c r="AB21" s="41"/>
      <c r="AC21" s="41"/>
      <c r="AD21" s="41"/>
      <c r="AE21" s="84">
        <f t="shared" si="0"/>
        <v>0</v>
      </c>
      <c r="AF21" s="107">
        <f>AE21/3000</f>
        <v>0</v>
      </c>
      <c r="AG21" s="110">
        <v>7149000</v>
      </c>
      <c r="AH21" s="111">
        <f t="shared" si="2"/>
        <v>7149000</v>
      </c>
      <c r="AI21" s="38"/>
      <c r="AJ21" s="58" t="s">
        <v>31</v>
      </c>
      <c r="AK21" s="39">
        <f t="shared" si="1"/>
        <v>0</v>
      </c>
      <c r="AL21" s="29"/>
    </row>
    <row r="22" spans="1:38" s="11" customFormat="1" ht="18" customHeight="1" thickBot="1" x14ac:dyDescent="0.25">
      <c r="A22" s="40">
        <v>18</v>
      </c>
      <c r="B22" s="59" t="s">
        <v>10</v>
      </c>
      <c r="C22" s="59"/>
      <c r="D22" s="60"/>
      <c r="E22" s="59"/>
      <c r="F22" s="61"/>
      <c r="G22" s="61"/>
      <c r="H22" s="59"/>
      <c r="I22" s="59"/>
      <c r="J22" s="59"/>
      <c r="K22" s="60"/>
      <c r="L22" s="59"/>
      <c r="M22" s="59"/>
      <c r="N22" s="59"/>
      <c r="O22" s="62"/>
      <c r="P22" s="59"/>
      <c r="Q22" s="59"/>
      <c r="R22" s="59"/>
      <c r="S22" s="59"/>
      <c r="T22" s="60"/>
      <c r="U22" s="59"/>
      <c r="V22" s="59"/>
      <c r="W22" s="59"/>
      <c r="X22" s="59"/>
      <c r="Y22" s="60"/>
      <c r="Z22" s="59"/>
      <c r="AA22" s="59"/>
      <c r="AB22" s="59"/>
      <c r="AC22" s="59"/>
      <c r="AD22" s="59"/>
      <c r="AE22" s="83">
        <f t="shared" si="0"/>
        <v>0</v>
      </c>
      <c r="AF22" s="107">
        <f>AE22/1000</f>
        <v>0</v>
      </c>
      <c r="AG22" s="110">
        <v>428000</v>
      </c>
      <c r="AH22" s="111">
        <f t="shared" si="2"/>
        <v>428000</v>
      </c>
      <c r="AI22" s="38"/>
      <c r="AJ22" s="58" t="s">
        <v>32</v>
      </c>
      <c r="AK22" s="39">
        <f t="shared" si="1"/>
        <v>0</v>
      </c>
      <c r="AL22" s="29"/>
    </row>
    <row r="23" spans="1:38" s="67" customFormat="1" ht="18" customHeight="1" x14ac:dyDescent="0.25">
      <c r="A23" s="63"/>
      <c r="B23" s="64" t="s">
        <v>11</v>
      </c>
      <c r="C23" s="65">
        <f t="shared" ref="C23:AG23" si="3">SUM(C5:C22)</f>
        <v>33215500</v>
      </c>
      <c r="D23" s="65">
        <f t="shared" si="3"/>
        <v>0</v>
      </c>
      <c r="E23" s="65">
        <f t="shared" si="3"/>
        <v>8001000</v>
      </c>
      <c r="F23" s="65">
        <f t="shared" si="3"/>
        <v>5023000</v>
      </c>
      <c r="G23" s="65">
        <f t="shared" si="3"/>
        <v>6034500</v>
      </c>
      <c r="H23" s="65">
        <f t="shared" si="3"/>
        <v>4077500</v>
      </c>
      <c r="I23" s="65">
        <f t="shared" si="3"/>
        <v>24509500</v>
      </c>
      <c r="J23" s="65">
        <f t="shared" si="3"/>
        <v>29295000</v>
      </c>
      <c r="K23" s="65">
        <f t="shared" si="3"/>
        <v>0</v>
      </c>
      <c r="L23" s="65">
        <f t="shared" si="3"/>
        <v>6096000</v>
      </c>
      <c r="M23" s="65">
        <f t="shared" si="3"/>
        <v>6890500</v>
      </c>
      <c r="N23" s="65">
        <f t="shared" si="3"/>
        <v>5938500</v>
      </c>
      <c r="O23" s="65">
        <f t="shared" si="3"/>
        <v>3976500</v>
      </c>
      <c r="P23" s="65">
        <f t="shared" si="3"/>
        <v>25458500</v>
      </c>
      <c r="Q23" s="65">
        <f t="shared" si="3"/>
        <v>48657500</v>
      </c>
      <c r="R23" s="65">
        <f t="shared" si="3"/>
        <v>12175500</v>
      </c>
      <c r="S23" s="65">
        <f t="shared" si="3"/>
        <v>40786500</v>
      </c>
      <c r="T23" s="65">
        <f t="shared" si="3"/>
        <v>0</v>
      </c>
      <c r="U23" s="65">
        <f t="shared" si="3"/>
        <v>968500</v>
      </c>
      <c r="V23" s="65">
        <f t="shared" si="3"/>
        <v>1105000</v>
      </c>
      <c r="W23" s="65">
        <f t="shared" si="3"/>
        <v>3289500</v>
      </c>
      <c r="X23" s="65">
        <f t="shared" si="3"/>
        <v>2627000</v>
      </c>
      <c r="Y23" s="65">
        <f t="shared" si="3"/>
        <v>0</v>
      </c>
      <c r="Z23" s="65">
        <f t="shared" si="3"/>
        <v>1233000</v>
      </c>
      <c r="AA23" s="65">
        <f t="shared" si="3"/>
        <v>1134000</v>
      </c>
      <c r="AB23" s="65">
        <f t="shared" si="3"/>
        <v>1262000</v>
      </c>
      <c r="AC23" s="65">
        <f t="shared" si="3"/>
        <v>892000</v>
      </c>
      <c r="AD23" s="65">
        <f t="shared" si="3"/>
        <v>3651500</v>
      </c>
      <c r="AE23" s="65">
        <f t="shared" si="3"/>
        <v>276298000</v>
      </c>
      <c r="AF23" s="65"/>
      <c r="AG23" s="65">
        <f t="shared" si="3"/>
        <v>172305000</v>
      </c>
      <c r="AH23" s="108"/>
      <c r="AI23" s="38"/>
      <c r="AJ23" s="66" t="s">
        <v>11</v>
      </c>
      <c r="AK23" s="39">
        <f t="shared" si="1"/>
        <v>276298000</v>
      </c>
    </row>
    <row r="24" spans="1:38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6"/>
      <c r="AF24" s="6"/>
      <c r="AG24" s="6"/>
      <c r="AH24" s="7"/>
      <c r="AI24" s="28"/>
      <c r="AJ24" s="69"/>
      <c r="AK24" s="29"/>
      <c r="AL24" s="39"/>
    </row>
    <row r="25" spans="1:38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6"/>
      <c r="AF25" s="6"/>
      <c r="AG25" s="6"/>
      <c r="AH25" s="7"/>
      <c r="AI25" s="28"/>
      <c r="AJ25" s="69"/>
      <c r="AK25" s="29"/>
      <c r="AL25" s="39"/>
    </row>
    <row r="26" spans="1:38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6"/>
      <c r="AF26" s="6"/>
      <c r="AG26" s="6"/>
      <c r="AH26" s="37"/>
      <c r="AI26" s="28"/>
      <c r="AJ26" s="69"/>
      <c r="AK26" s="29"/>
      <c r="AL26" s="30"/>
    </row>
    <row r="27" spans="1:38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6"/>
      <c r="AF27" s="6"/>
      <c r="AG27" s="6"/>
      <c r="AH27" s="14"/>
      <c r="AI27" s="28"/>
      <c r="AJ27" s="70" t="s">
        <v>13</v>
      </c>
      <c r="AK27" s="29"/>
      <c r="AL27" s="30"/>
    </row>
    <row r="28" spans="1:38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7" t="s">
        <v>1</v>
      </c>
      <c r="AF28" s="20"/>
      <c r="AG28" s="20"/>
      <c r="AH28" s="21"/>
      <c r="AI28" s="28"/>
      <c r="AJ28" s="71" t="s">
        <v>14</v>
      </c>
      <c r="AK28" s="72"/>
      <c r="AL28" s="30"/>
    </row>
    <row r="29" spans="1:38" s="25" customFormat="1" ht="18" customHeight="1" x14ac:dyDescent="0.2">
      <c r="B29" s="92" t="s">
        <v>2</v>
      </c>
      <c r="C29" s="92">
        <f t="shared" ref="C29:AD29" si="4">C5/4000</f>
        <v>4865</v>
      </c>
      <c r="D29" s="92">
        <f t="shared" si="4"/>
        <v>0</v>
      </c>
      <c r="E29" s="92">
        <f t="shared" si="4"/>
        <v>1595</v>
      </c>
      <c r="F29" s="92">
        <f t="shared" si="4"/>
        <v>1008</v>
      </c>
      <c r="G29" s="92">
        <f t="shared" si="4"/>
        <v>1209</v>
      </c>
      <c r="H29" s="92">
        <f t="shared" si="4"/>
        <v>786</v>
      </c>
      <c r="I29" s="92">
        <f t="shared" si="4"/>
        <v>3665</v>
      </c>
      <c r="J29" s="92">
        <f t="shared" si="4"/>
        <v>4457</v>
      </c>
      <c r="K29" s="92">
        <f t="shared" si="4"/>
        <v>0</v>
      </c>
      <c r="L29" s="92">
        <f t="shared" si="4"/>
        <v>1267</v>
      </c>
      <c r="M29" s="92">
        <f t="shared" si="4"/>
        <v>1309</v>
      </c>
      <c r="N29" s="92">
        <f t="shared" si="4"/>
        <v>1184</v>
      </c>
      <c r="O29" s="92">
        <f t="shared" si="4"/>
        <v>790</v>
      </c>
      <c r="P29" s="92">
        <f t="shared" si="4"/>
        <v>3751</v>
      </c>
      <c r="Q29" s="92">
        <f t="shared" si="4"/>
        <v>6633</v>
      </c>
      <c r="R29" s="92">
        <f t="shared" si="4"/>
        <v>1649</v>
      </c>
      <c r="S29" s="92">
        <f t="shared" si="4"/>
        <v>5425</v>
      </c>
      <c r="T29" s="92">
        <f t="shared" si="4"/>
        <v>0</v>
      </c>
      <c r="U29" s="92">
        <f t="shared" si="4"/>
        <v>186</v>
      </c>
      <c r="V29" s="92">
        <f t="shared" si="4"/>
        <v>224</v>
      </c>
      <c r="W29" s="92">
        <f t="shared" si="4"/>
        <v>621</v>
      </c>
      <c r="X29" s="92">
        <f t="shared" si="4"/>
        <v>524</v>
      </c>
      <c r="Y29" s="92">
        <f t="shared" si="4"/>
        <v>0</v>
      </c>
      <c r="Z29" s="92">
        <f t="shared" si="4"/>
        <v>255</v>
      </c>
      <c r="AA29" s="92">
        <f t="shared" si="4"/>
        <v>234</v>
      </c>
      <c r="AB29" s="92">
        <f t="shared" si="4"/>
        <v>257</v>
      </c>
      <c r="AC29" s="92">
        <f t="shared" si="4"/>
        <v>184</v>
      </c>
      <c r="AD29" s="92">
        <f t="shared" si="4"/>
        <v>745</v>
      </c>
      <c r="AE29" s="93">
        <f t="shared" ref="AE29:AE46" si="5">SUM(C29:AD29)</f>
        <v>42823</v>
      </c>
      <c r="AF29" s="27"/>
      <c r="AG29" s="27"/>
      <c r="AH29" s="73"/>
      <c r="AI29" s="28"/>
      <c r="AJ29" s="74" t="s">
        <v>2</v>
      </c>
      <c r="AK29" s="75">
        <f>AE29</f>
        <v>42823</v>
      </c>
      <c r="AL29" s="30"/>
    </row>
    <row r="30" spans="1:38" s="25" customFormat="1" ht="18" customHeight="1" x14ac:dyDescent="0.2">
      <c r="B30" s="92" t="s">
        <v>3</v>
      </c>
      <c r="C30" s="92">
        <f t="shared" ref="C30:AD31" si="6">C6/3000</f>
        <v>1241</v>
      </c>
      <c r="D30" s="92">
        <f t="shared" si="6"/>
        <v>0</v>
      </c>
      <c r="E30" s="92">
        <f t="shared" si="6"/>
        <v>267</v>
      </c>
      <c r="F30" s="92">
        <f t="shared" si="6"/>
        <v>132</v>
      </c>
      <c r="G30" s="92">
        <f t="shared" si="6"/>
        <v>241</v>
      </c>
      <c r="H30" s="92">
        <f t="shared" si="6"/>
        <v>119</v>
      </c>
      <c r="I30" s="92">
        <f t="shared" si="6"/>
        <v>904</v>
      </c>
      <c r="J30" s="92">
        <f t="shared" si="6"/>
        <v>1319</v>
      </c>
      <c r="K30" s="92">
        <f t="shared" si="6"/>
        <v>0</v>
      </c>
      <c r="L30" s="92">
        <f t="shared" si="6"/>
        <v>201</v>
      </c>
      <c r="M30" s="92">
        <f t="shared" si="6"/>
        <v>245</v>
      </c>
      <c r="N30" s="92">
        <f t="shared" si="6"/>
        <v>232</v>
      </c>
      <c r="O30" s="92">
        <f t="shared" si="6"/>
        <v>144</v>
      </c>
      <c r="P30" s="92">
        <f t="shared" si="6"/>
        <v>914</v>
      </c>
      <c r="Q30" s="92">
        <f t="shared" si="6"/>
        <v>1791</v>
      </c>
      <c r="R30" s="92">
        <f t="shared" si="6"/>
        <v>504</v>
      </c>
      <c r="S30" s="92">
        <f t="shared" si="6"/>
        <v>1513</v>
      </c>
      <c r="T30" s="92">
        <f t="shared" si="6"/>
        <v>0</v>
      </c>
      <c r="U30" s="92">
        <f t="shared" si="6"/>
        <v>56</v>
      </c>
      <c r="V30" s="92">
        <f t="shared" si="6"/>
        <v>51</v>
      </c>
      <c r="W30" s="92">
        <f t="shared" si="6"/>
        <v>146</v>
      </c>
      <c r="X30" s="92">
        <f t="shared" si="6"/>
        <v>137</v>
      </c>
      <c r="Y30" s="92">
        <f t="shared" si="6"/>
        <v>0</v>
      </c>
      <c r="Z30" s="92">
        <f t="shared" si="6"/>
        <v>46</v>
      </c>
      <c r="AA30" s="92">
        <f t="shared" si="6"/>
        <v>33</v>
      </c>
      <c r="AB30" s="92">
        <f t="shared" si="6"/>
        <v>50</v>
      </c>
      <c r="AC30" s="92">
        <f t="shared" si="6"/>
        <v>26</v>
      </c>
      <c r="AD30" s="92">
        <f t="shared" si="6"/>
        <v>143</v>
      </c>
      <c r="AE30" s="93">
        <f t="shared" si="5"/>
        <v>10455</v>
      </c>
      <c r="AF30" s="27"/>
      <c r="AG30" s="27"/>
      <c r="AH30" s="73"/>
      <c r="AI30" s="28"/>
      <c r="AJ30" s="74" t="s">
        <v>3</v>
      </c>
      <c r="AK30" s="75">
        <f t="shared" ref="AK30:AK40" si="7">AE30</f>
        <v>10455</v>
      </c>
      <c r="AL30" s="76"/>
    </row>
    <row r="31" spans="1:38" s="25" customFormat="1" ht="18" customHeight="1" x14ac:dyDescent="0.2">
      <c r="B31" s="92" t="s">
        <v>4</v>
      </c>
      <c r="C31" s="92">
        <f t="shared" si="6"/>
        <v>0</v>
      </c>
      <c r="D31" s="92">
        <f t="shared" si="6"/>
        <v>0</v>
      </c>
      <c r="E31" s="92">
        <f t="shared" si="6"/>
        <v>0</v>
      </c>
      <c r="F31" s="92">
        <f t="shared" si="6"/>
        <v>0</v>
      </c>
      <c r="G31" s="92">
        <f t="shared" si="6"/>
        <v>0</v>
      </c>
      <c r="H31" s="92">
        <f t="shared" si="6"/>
        <v>0</v>
      </c>
      <c r="I31" s="92">
        <f t="shared" si="6"/>
        <v>0</v>
      </c>
      <c r="J31" s="92">
        <f t="shared" si="6"/>
        <v>0</v>
      </c>
      <c r="K31" s="92">
        <f t="shared" si="6"/>
        <v>0</v>
      </c>
      <c r="L31" s="92">
        <f t="shared" si="6"/>
        <v>0</v>
      </c>
      <c r="M31" s="92">
        <f t="shared" si="6"/>
        <v>0</v>
      </c>
      <c r="N31" s="92">
        <f t="shared" si="6"/>
        <v>0</v>
      </c>
      <c r="O31" s="92">
        <f t="shared" si="6"/>
        <v>0</v>
      </c>
      <c r="P31" s="92">
        <f t="shared" si="6"/>
        <v>0</v>
      </c>
      <c r="Q31" s="92">
        <f t="shared" si="6"/>
        <v>0</v>
      </c>
      <c r="R31" s="92">
        <f t="shared" si="6"/>
        <v>0</v>
      </c>
      <c r="S31" s="92">
        <f t="shared" si="6"/>
        <v>0</v>
      </c>
      <c r="T31" s="92">
        <f t="shared" si="6"/>
        <v>0</v>
      </c>
      <c r="U31" s="92">
        <f t="shared" si="6"/>
        <v>0</v>
      </c>
      <c r="V31" s="92">
        <f t="shared" si="6"/>
        <v>0</v>
      </c>
      <c r="W31" s="92">
        <f t="shared" si="6"/>
        <v>0</v>
      </c>
      <c r="X31" s="92">
        <f t="shared" si="6"/>
        <v>0</v>
      </c>
      <c r="Y31" s="92">
        <f t="shared" si="6"/>
        <v>0</v>
      </c>
      <c r="Z31" s="92">
        <f t="shared" si="6"/>
        <v>0</v>
      </c>
      <c r="AA31" s="92">
        <f t="shared" si="6"/>
        <v>0</v>
      </c>
      <c r="AB31" s="92">
        <f t="shared" si="6"/>
        <v>0</v>
      </c>
      <c r="AC31" s="92">
        <f t="shared" si="6"/>
        <v>0</v>
      </c>
      <c r="AD31" s="92">
        <f t="shared" si="6"/>
        <v>0</v>
      </c>
      <c r="AE31" s="93">
        <f t="shared" si="5"/>
        <v>0</v>
      </c>
      <c r="AF31" s="27"/>
      <c r="AG31" s="27"/>
      <c r="AH31" s="73"/>
      <c r="AI31" s="28"/>
      <c r="AJ31" s="3" t="s">
        <v>4</v>
      </c>
      <c r="AK31" s="75">
        <f t="shared" si="7"/>
        <v>0</v>
      </c>
      <c r="AL31" s="30"/>
    </row>
    <row r="32" spans="1:38" s="25" customFormat="1" ht="18" customHeight="1" x14ac:dyDescent="0.2">
      <c r="B32" s="92" t="s">
        <v>5</v>
      </c>
      <c r="C32" s="92">
        <f t="shared" ref="C32:AD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3">
        <f t="shared" si="5"/>
        <v>0</v>
      </c>
      <c r="AF32" s="27"/>
      <c r="AG32" s="27"/>
      <c r="AH32" s="73"/>
      <c r="AI32" s="28"/>
      <c r="AJ32" s="3" t="s">
        <v>5</v>
      </c>
      <c r="AK32" s="75">
        <f t="shared" si="7"/>
        <v>0</v>
      </c>
      <c r="AL32" s="30"/>
    </row>
    <row r="33" spans="2:38" s="25" customFormat="1" ht="18" customHeight="1" x14ac:dyDescent="0.2">
      <c r="B33" s="92" t="s">
        <v>33</v>
      </c>
      <c r="C33" s="92">
        <f>C9/2500</f>
        <v>221</v>
      </c>
      <c r="D33" s="92">
        <f t="shared" ref="D33:AD33" si="9">D9/2500</f>
        <v>0</v>
      </c>
      <c r="E33" s="92">
        <f t="shared" si="9"/>
        <v>4</v>
      </c>
      <c r="F33" s="92">
        <f t="shared" si="9"/>
        <v>10</v>
      </c>
      <c r="G33" s="92">
        <f t="shared" si="9"/>
        <v>15</v>
      </c>
      <c r="H33" s="92">
        <f t="shared" si="9"/>
        <v>5</v>
      </c>
      <c r="I33" s="92">
        <f t="shared" si="9"/>
        <v>173</v>
      </c>
      <c r="J33" s="92">
        <f t="shared" si="9"/>
        <v>142</v>
      </c>
      <c r="K33" s="92">
        <f t="shared" si="9"/>
        <v>0</v>
      </c>
      <c r="L33" s="92">
        <f t="shared" si="9"/>
        <v>2</v>
      </c>
      <c r="M33" s="92">
        <f t="shared" si="9"/>
        <v>3</v>
      </c>
      <c r="N33" s="92">
        <f t="shared" si="9"/>
        <v>25</v>
      </c>
      <c r="O33" s="92">
        <f t="shared" si="9"/>
        <v>17</v>
      </c>
      <c r="P33" s="92">
        <f t="shared" si="9"/>
        <v>139</v>
      </c>
      <c r="Q33" s="92">
        <f t="shared" si="9"/>
        <v>329</v>
      </c>
      <c r="R33" s="92">
        <f t="shared" si="9"/>
        <v>16</v>
      </c>
      <c r="S33" s="92">
        <f t="shared" si="9"/>
        <v>269</v>
      </c>
      <c r="T33" s="92">
        <f t="shared" si="9"/>
        <v>0</v>
      </c>
      <c r="U33" s="92">
        <f t="shared" si="9"/>
        <v>1</v>
      </c>
      <c r="V33" s="92">
        <f t="shared" si="9"/>
        <v>8</v>
      </c>
      <c r="W33" s="92">
        <f t="shared" si="9"/>
        <v>0</v>
      </c>
      <c r="X33" s="92">
        <f t="shared" si="9"/>
        <v>0</v>
      </c>
      <c r="Y33" s="92">
        <f t="shared" si="9"/>
        <v>0</v>
      </c>
      <c r="Z33" s="92">
        <f t="shared" si="9"/>
        <v>6</v>
      </c>
      <c r="AA33" s="92">
        <f t="shared" si="9"/>
        <v>6</v>
      </c>
      <c r="AB33" s="92">
        <f t="shared" si="9"/>
        <v>0</v>
      </c>
      <c r="AC33" s="92">
        <f t="shared" si="9"/>
        <v>0</v>
      </c>
      <c r="AD33" s="92">
        <f t="shared" si="9"/>
        <v>7</v>
      </c>
      <c r="AE33" s="93">
        <f t="shared" si="5"/>
        <v>1398</v>
      </c>
      <c r="AF33" s="27"/>
      <c r="AG33" s="27"/>
      <c r="AH33" s="73"/>
      <c r="AI33" s="28"/>
      <c r="AJ33" s="3"/>
      <c r="AK33" s="75"/>
      <c r="AL33" s="30"/>
    </row>
    <row r="34" spans="2:38" s="25" customFormat="1" ht="18" customHeight="1" x14ac:dyDescent="0.2">
      <c r="B34" s="100" t="s">
        <v>21</v>
      </c>
      <c r="C34" s="100">
        <f t="shared" ref="C34:AD35" si="10">C10/6000</f>
        <v>0</v>
      </c>
      <c r="D34" s="100">
        <f t="shared" si="10"/>
        <v>0</v>
      </c>
      <c r="E34" s="100">
        <f t="shared" si="10"/>
        <v>100</v>
      </c>
      <c r="F34" s="100">
        <f t="shared" si="10"/>
        <v>57</v>
      </c>
      <c r="G34" s="100">
        <f t="shared" si="10"/>
        <v>55</v>
      </c>
      <c r="H34" s="100">
        <f t="shared" si="10"/>
        <v>55</v>
      </c>
      <c r="I34" s="100">
        <f t="shared" si="10"/>
        <v>0</v>
      </c>
      <c r="J34" s="100">
        <f t="shared" si="10"/>
        <v>0</v>
      </c>
      <c r="K34" s="100">
        <f t="shared" si="10"/>
        <v>0</v>
      </c>
      <c r="L34" s="100">
        <f t="shared" si="10"/>
        <v>44</v>
      </c>
      <c r="M34" s="100">
        <f t="shared" si="10"/>
        <v>104</v>
      </c>
      <c r="N34" s="100">
        <f t="shared" si="10"/>
        <v>43</v>
      </c>
      <c r="O34" s="100">
        <f t="shared" si="10"/>
        <v>28</v>
      </c>
      <c r="P34" s="100">
        <f t="shared" si="10"/>
        <v>0</v>
      </c>
      <c r="Q34" s="100">
        <f t="shared" si="10"/>
        <v>0</v>
      </c>
      <c r="R34" s="100">
        <f t="shared" si="10"/>
        <v>0</v>
      </c>
      <c r="S34" s="100">
        <f t="shared" si="10"/>
        <v>0</v>
      </c>
      <c r="T34" s="100">
        <f t="shared" si="10"/>
        <v>0</v>
      </c>
      <c r="U34" s="100">
        <f t="shared" si="10"/>
        <v>3</v>
      </c>
      <c r="V34" s="100">
        <f t="shared" si="10"/>
        <v>3</v>
      </c>
      <c r="W34" s="100">
        <f t="shared" si="10"/>
        <v>0</v>
      </c>
      <c r="X34" s="100">
        <f t="shared" si="10"/>
        <v>0</v>
      </c>
      <c r="Y34" s="100">
        <f t="shared" si="10"/>
        <v>0</v>
      </c>
      <c r="Z34" s="100">
        <f t="shared" si="10"/>
        <v>3</v>
      </c>
      <c r="AA34" s="100">
        <f t="shared" si="10"/>
        <v>8</v>
      </c>
      <c r="AB34" s="100">
        <f t="shared" si="10"/>
        <v>9</v>
      </c>
      <c r="AC34" s="100">
        <f t="shared" si="10"/>
        <v>6</v>
      </c>
      <c r="AD34" s="100">
        <f t="shared" si="10"/>
        <v>0</v>
      </c>
      <c r="AE34" s="93">
        <f t="shared" si="5"/>
        <v>518</v>
      </c>
      <c r="AF34" s="27"/>
      <c r="AG34" s="27"/>
      <c r="AH34" s="73"/>
      <c r="AI34" s="28"/>
      <c r="AJ34" s="3" t="s">
        <v>10</v>
      </c>
      <c r="AK34" s="75">
        <f t="shared" si="7"/>
        <v>518</v>
      </c>
      <c r="AL34" s="30"/>
    </row>
    <row r="35" spans="2:38" s="25" customFormat="1" ht="18" customHeight="1" thickBot="1" x14ac:dyDescent="0.25">
      <c r="B35" s="100" t="s">
        <v>22</v>
      </c>
      <c r="C35" s="100">
        <f t="shared" si="10"/>
        <v>0</v>
      </c>
      <c r="D35" s="100">
        <f t="shared" si="10"/>
        <v>0</v>
      </c>
      <c r="E35" s="100">
        <f t="shared" si="10"/>
        <v>35</v>
      </c>
      <c r="F35" s="100">
        <f t="shared" si="10"/>
        <v>38</v>
      </c>
      <c r="G35" s="100">
        <f t="shared" si="10"/>
        <v>18</v>
      </c>
      <c r="H35" s="100">
        <f t="shared" si="10"/>
        <v>39</v>
      </c>
      <c r="I35" s="100">
        <f t="shared" si="10"/>
        <v>0</v>
      </c>
      <c r="J35" s="100">
        <f t="shared" si="10"/>
        <v>0</v>
      </c>
      <c r="K35" s="100">
        <f t="shared" si="10"/>
        <v>0</v>
      </c>
      <c r="L35" s="100">
        <f t="shared" si="10"/>
        <v>26</v>
      </c>
      <c r="M35" s="100">
        <f t="shared" si="10"/>
        <v>48</v>
      </c>
      <c r="N35" s="100">
        <f t="shared" si="10"/>
        <v>31</v>
      </c>
      <c r="O35" s="100">
        <f t="shared" si="10"/>
        <v>29</v>
      </c>
      <c r="P35" s="100">
        <f t="shared" si="10"/>
        <v>0</v>
      </c>
      <c r="Q35" s="100">
        <f t="shared" si="10"/>
        <v>0</v>
      </c>
      <c r="R35" s="100">
        <f t="shared" si="10"/>
        <v>0</v>
      </c>
      <c r="S35" s="100">
        <f t="shared" si="10"/>
        <v>0</v>
      </c>
      <c r="T35" s="100">
        <f t="shared" si="10"/>
        <v>0</v>
      </c>
      <c r="U35" s="100">
        <f t="shared" si="10"/>
        <v>6</v>
      </c>
      <c r="V35" s="100">
        <f t="shared" si="10"/>
        <v>3</v>
      </c>
      <c r="W35" s="100">
        <f t="shared" si="10"/>
        <v>0</v>
      </c>
      <c r="X35" s="100">
        <f t="shared" si="10"/>
        <v>0</v>
      </c>
      <c r="Y35" s="100">
        <f t="shared" si="10"/>
        <v>0</v>
      </c>
      <c r="Z35" s="100">
        <f t="shared" si="10"/>
        <v>7</v>
      </c>
      <c r="AA35" s="100">
        <f t="shared" si="10"/>
        <v>6</v>
      </c>
      <c r="AB35" s="100">
        <f t="shared" si="10"/>
        <v>5</v>
      </c>
      <c r="AC35" s="100">
        <f t="shared" si="10"/>
        <v>7</v>
      </c>
      <c r="AD35" s="100">
        <f t="shared" si="10"/>
        <v>0</v>
      </c>
      <c r="AE35" s="93">
        <f t="shared" si="5"/>
        <v>298</v>
      </c>
      <c r="AF35" s="27"/>
      <c r="AG35" s="27"/>
      <c r="AH35" s="73"/>
      <c r="AI35" s="28"/>
      <c r="AJ35" s="77" t="s">
        <v>15</v>
      </c>
      <c r="AK35" s="75">
        <f t="shared" si="7"/>
        <v>298</v>
      </c>
      <c r="AL35" s="30"/>
    </row>
    <row r="36" spans="2:38" s="29" customFormat="1" ht="18" customHeight="1" x14ac:dyDescent="0.2">
      <c r="B36" s="100" t="s">
        <v>24</v>
      </c>
      <c r="C36" s="100">
        <f t="shared" ref="C36:AD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93">
        <f t="shared" si="5"/>
        <v>0</v>
      </c>
      <c r="AF36" s="27"/>
      <c r="AG36" s="27"/>
      <c r="AH36" s="73"/>
      <c r="AI36" s="28"/>
      <c r="AJ36" s="78" t="s">
        <v>34</v>
      </c>
      <c r="AK36" s="75">
        <f t="shared" si="7"/>
        <v>0</v>
      </c>
    </row>
    <row r="37" spans="2:38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93">
        <f t="shared" si="5"/>
        <v>0</v>
      </c>
      <c r="AF37" s="27"/>
      <c r="AG37" s="27"/>
      <c r="AH37" s="73"/>
      <c r="AI37" s="28"/>
      <c r="AJ37" s="79" t="s">
        <v>35</v>
      </c>
      <c r="AK37" s="75">
        <f t="shared" si="7"/>
        <v>0</v>
      </c>
    </row>
    <row r="38" spans="2:38" s="29" customFormat="1" ht="18" customHeight="1" x14ac:dyDescent="0.2">
      <c r="B38" s="104" t="s">
        <v>28</v>
      </c>
      <c r="C38" s="104">
        <f t="shared" ref="C38:AD39" si="12">C14/7500</f>
        <v>704</v>
      </c>
      <c r="D38" s="104">
        <f t="shared" si="12"/>
        <v>0</v>
      </c>
      <c r="E38" s="104">
        <f t="shared" si="12"/>
        <v>0</v>
      </c>
      <c r="F38" s="104">
        <f t="shared" si="12"/>
        <v>0</v>
      </c>
      <c r="G38" s="104">
        <f t="shared" si="12"/>
        <v>0</v>
      </c>
      <c r="H38" s="104">
        <f t="shared" si="12"/>
        <v>0</v>
      </c>
      <c r="I38" s="104">
        <f t="shared" si="12"/>
        <v>520</v>
      </c>
      <c r="J38" s="104">
        <f t="shared" si="12"/>
        <v>575</v>
      </c>
      <c r="K38" s="104">
        <f t="shared" si="12"/>
        <v>0</v>
      </c>
      <c r="L38" s="104">
        <f t="shared" si="12"/>
        <v>0</v>
      </c>
      <c r="M38" s="104">
        <f t="shared" si="12"/>
        <v>0</v>
      </c>
      <c r="N38" s="104">
        <f t="shared" si="12"/>
        <v>0</v>
      </c>
      <c r="O38" s="104">
        <f t="shared" si="12"/>
        <v>0</v>
      </c>
      <c r="P38" s="104">
        <f t="shared" si="12"/>
        <v>552</v>
      </c>
      <c r="Q38" s="104">
        <f t="shared" si="12"/>
        <v>1131</v>
      </c>
      <c r="R38" s="104">
        <f t="shared" si="12"/>
        <v>296</v>
      </c>
      <c r="S38" s="104">
        <f t="shared" si="12"/>
        <v>1022</v>
      </c>
      <c r="T38" s="104">
        <f t="shared" si="12"/>
        <v>0</v>
      </c>
      <c r="U38" s="104">
        <f t="shared" si="12"/>
        <v>0</v>
      </c>
      <c r="V38" s="104">
        <f t="shared" si="12"/>
        <v>0</v>
      </c>
      <c r="W38" s="104">
        <f t="shared" si="12"/>
        <v>23</v>
      </c>
      <c r="X38" s="104">
        <f t="shared" si="12"/>
        <v>6</v>
      </c>
      <c r="Y38" s="104">
        <f t="shared" si="12"/>
        <v>0</v>
      </c>
      <c r="Z38" s="104">
        <f t="shared" si="12"/>
        <v>0</v>
      </c>
      <c r="AA38" s="104">
        <f t="shared" si="12"/>
        <v>0</v>
      </c>
      <c r="AB38" s="104">
        <f t="shared" si="12"/>
        <v>0</v>
      </c>
      <c r="AC38" s="104">
        <f t="shared" si="12"/>
        <v>0</v>
      </c>
      <c r="AD38" s="104">
        <f t="shared" si="12"/>
        <v>12</v>
      </c>
      <c r="AE38" s="93">
        <f t="shared" si="5"/>
        <v>4841</v>
      </c>
      <c r="AF38" s="27"/>
      <c r="AG38" s="27"/>
      <c r="AH38" s="73"/>
      <c r="AI38" s="28"/>
      <c r="AJ38" s="79" t="s">
        <v>36</v>
      </c>
      <c r="AK38" s="75">
        <f t="shared" si="7"/>
        <v>4841</v>
      </c>
    </row>
    <row r="39" spans="2:38" s="29" customFormat="1" ht="18" customHeight="1" x14ac:dyDescent="0.2">
      <c r="B39" s="104" t="s">
        <v>30</v>
      </c>
      <c r="C39" s="104">
        <f t="shared" si="12"/>
        <v>560</v>
      </c>
      <c r="D39" s="104">
        <f t="shared" si="12"/>
        <v>0</v>
      </c>
      <c r="E39" s="104">
        <f t="shared" si="12"/>
        <v>0</v>
      </c>
      <c r="F39" s="104">
        <f t="shared" si="12"/>
        <v>0</v>
      </c>
      <c r="G39" s="104">
        <f t="shared" si="12"/>
        <v>0</v>
      </c>
      <c r="H39" s="104">
        <f t="shared" si="12"/>
        <v>0</v>
      </c>
      <c r="I39" s="104">
        <f t="shared" si="12"/>
        <v>374</v>
      </c>
      <c r="J39" s="104">
        <f t="shared" si="12"/>
        <v>379</v>
      </c>
      <c r="K39" s="104">
        <f t="shared" si="12"/>
        <v>0</v>
      </c>
      <c r="L39" s="104">
        <f t="shared" si="12"/>
        <v>0</v>
      </c>
      <c r="M39" s="104">
        <f t="shared" si="12"/>
        <v>0</v>
      </c>
      <c r="N39" s="104">
        <f t="shared" si="12"/>
        <v>0</v>
      </c>
      <c r="O39" s="104">
        <f t="shared" si="12"/>
        <v>0</v>
      </c>
      <c r="P39" s="104">
        <f t="shared" si="12"/>
        <v>430</v>
      </c>
      <c r="Q39" s="104">
        <f t="shared" si="12"/>
        <v>993</v>
      </c>
      <c r="R39" s="104">
        <f t="shared" si="12"/>
        <v>241</v>
      </c>
      <c r="S39" s="104">
        <f t="shared" si="12"/>
        <v>828</v>
      </c>
      <c r="T39" s="104">
        <f t="shared" si="12"/>
        <v>0</v>
      </c>
      <c r="U39" s="104">
        <f t="shared" si="12"/>
        <v>0</v>
      </c>
      <c r="V39" s="104">
        <f t="shared" si="12"/>
        <v>0</v>
      </c>
      <c r="W39" s="104">
        <f t="shared" si="12"/>
        <v>26</v>
      </c>
      <c r="X39" s="104">
        <f t="shared" si="12"/>
        <v>10</v>
      </c>
      <c r="Y39" s="104">
        <f t="shared" si="12"/>
        <v>0</v>
      </c>
      <c r="Z39" s="104">
        <f t="shared" si="12"/>
        <v>0</v>
      </c>
      <c r="AA39" s="104">
        <f t="shared" si="12"/>
        <v>0</v>
      </c>
      <c r="AB39" s="104">
        <f t="shared" si="12"/>
        <v>0</v>
      </c>
      <c r="AC39" s="104">
        <f t="shared" si="12"/>
        <v>0</v>
      </c>
      <c r="AD39" s="104">
        <f t="shared" si="12"/>
        <v>18</v>
      </c>
      <c r="AE39" s="93">
        <f t="shared" si="5"/>
        <v>3859</v>
      </c>
      <c r="AF39" s="27"/>
      <c r="AG39" s="27"/>
      <c r="AH39" s="73"/>
      <c r="AI39" s="28"/>
      <c r="AJ39" s="79" t="s">
        <v>37</v>
      </c>
      <c r="AK39" s="75">
        <f t="shared" si="7"/>
        <v>3859</v>
      </c>
    </row>
    <row r="40" spans="2:38" s="29" customFormat="1" ht="18" customHeight="1" thickBot="1" x14ac:dyDescent="0.25">
      <c r="B40" s="104" t="s">
        <v>31</v>
      </c>
      <c r="C40" s="104">
        <f t="shared" ref="C40:AD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>
        <f t="shared" si="13"/>
        <v>0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>
        <f t="shared" si="13"/>
        <v>0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93">
        <f t="shared" si="5"/>
        <v>0</v>
      </c>
      <c r="AF40" s="27"/>
      <c r="AG40" s="27"/>
      <c r="AH40" s="73"/>
      <c r="AI40" s="28"/>
      <c r="AJ40" s="77" t="s">
        <v>15</v>
      </c>
      <c r="AK40" s="75">
        <f t="shared" si="7"/>
        <v>0</v>
      </c>
    </row>
    <row r="41" spans="2:38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93">
        <f t="shared" si="5"/>
        <v>0</v>
      </c>
      <c r="AF41" s="6"/>
      <c r="AG41" s="6"/>
      <c r="AH41" s="14"/>
      <c r="AI41" s="28"/>
      <c r="AJ41" s="70"/>
      <c r="AK41" s="80"/>
      <c r="AL41" s="30"/>
    </row>
    <row r="42" spans="2:38" s="25" customFormat="1" ht="18" customHeight="1" x14ac:dyDescent="0.2">
      <c r="B42" s="92" t="s">
        <v>6</v>
      </c>
      <c r="C42" s="92">
        <f t="shared" ref="C42:AD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3">
        <f t="shared" si="5"/>
        <v>0</v>
      </c>
      <c r="AF42" s="6"/>
      <c r="AG42" s="6"/>
      <c r="AH42" s="14"/>
      <c r="AI42" s="28"/>
      <c r="AJ42" s="70"/>
      <c r="AK42" s="29"/>
      <c r="AL42" s="30"/>
    </row>
    <row r="43" spans="2:38" s="17" customFormat="1" ht="18" customHeight="1" x14ac:dyDescent="0.2">
      <c r="B43" s="92" t="s">
        <v>7</v>
      </c>
      <c r="C43" s="92">
        <f t="shared" ref="C43:AD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3">
        <f t="shared" si="5"/>
        <v>0</v>
      </c>
      <c r="AF43" s="2"/>
      <c r="AG43" s="2"/>
      <c r="AH43" s="14"/>
      <c r="AI43" s="15"/>
      <c r="AJ43" s="16"/>
    </row>
    <row r="44" spans="2:38" s="17" customFormat="1" ht="18" customHeight="1" x14ac:dyDescent="0.2">
      <c r="B44" s="92" t="s">
        <v>8</v>
      </c>
      <c r="C44" s="92">
        <f t="shared" ref="C44:AD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3">
        <f t="shared" si="5"/>
        <v>0</v>
      </c>
      <c r="AF44" s="2"/>
      <c r="AG44" s="2"/>
      <c r="AH44" s="14"/>
      <c r="AI44" s="15"/>
      <c r="AJ44" s="16"/>
    </row>
    <row r="45" spans="2:38" s="17" customFormat="1" ht="18" customHeight="1" x14ac:dyDescent="0.2">
      <c r="B45" s="92" t="s">
        <v>9</v>
      </c>
      <c r="C45" s="92">
        <f t="shared" ref="C45:AD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3">
        <f t="shared" si="5"/>
        <v>0</v>
      </c>
      <c r="AF45" s="2"/>
      <c r="AG45" s="2"/>
      <c r="AH45" s="14"/>
      <c r="AI45" s="15"/>
      <c r="AJ45" s="16"/>
    </row>
    <row r="46" spans="2:38" s="17" customFormat="1" ht="18" customHeight="1" x14ac:dyDescent="0.2">
      <c r="B46" s="92" t="s">
        <v>10</v>
      </c>
      <c r="C46" s="92">
        <f t="shared" ref="C46:AD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3">
        <f t="shared" si="5"/>
        <v>0</v>
      </c>
      <c r="AF46" s="2"/>
      <c r="AG46" s="2"/>
      <c r="AH46" s="14"/>
      <c r="AI46" s="15"/>
      <c r="AJ46" s="16"/>
    </row>
    <row r="47" spans="2:38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2"/>
      <c r="AF47" s="2"/>
      <c r="AG47" s="2"/>
      <c r="AH47" s="14"/>
      <c r="AI47" s="15"/>
      <c r="AJ47" s="16"/>
    </row>
    <row r="48" spans="2:38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2"/>
      <c r="AF48" s="2"/>
      <c r="AG48" s="2"/>
      <c r="AH48" s="14"/>
      <c r="AI48" s="15"/>
      <c r="AJ48" s="16"/>
    </row>
    <row r="49" spans="2:37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2"/>
      <c r="AF49" s="2"/>
      <c r="AG49" s="2"/>
      <c r="AH49" s="14"/>
      <c r="AI49" s="15"/>
      <c r="AJ49" s="16"/>
    </row>
    <row r="50" spans="2:37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2"/>
      <c r="AF50" s="2"/>
      <c r="AG50" s="2"/>
      <c r="AH50" s="14"/>
      <c r="AI50" s="15"/>
      <c r="AJ50" s="81"/>
      <c r="AK50" s="17"/>
    </row>
    <row r="51" spans="2:37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2"/>
      <c r="AF51" s="2"/>
      <c r="AG51" s="2"/>
      <c r="AH51" s="14"/>
      <c r="AI51" s="15"/>
      <c r="AJ51" s="81"/>
      <c r="AK51" s="17"/>
    </row>
    <row r="52" spans="2:37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2"/>
      <c r="AF52" s="2"/>
      <c r="AG52" s="2"/>
      <c r="AH52" s="14"/>
      <c r="AI52" s="15"/>
      <c r="AJ52" s="81"/>
      <c r="AK52" s="17"/>
    </row>
    <row r="53" spans="2:37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2"/>
      <c r="AF53" s="2"/>
      <c r="AG53" s="2"/>
      <c r="AH53" s="14"/>
      <c r="AI53" s="15"/>
      <c r="AJ53" s="81"/>
      <c r="AK53" s="17"/>
    </row>
    <row r="54" spans="2:37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2"/>
      <c r="AF54" s="2"/>
      <c r="AG54" s="2"/>
      <c r="AH54" s="14"/>
      <c r="AI54" s="15"/>
      <c r="AJ54" s="81"/>
      <c r="AK54" s="17"/>
    </row>
    <row r="55" spans="2:37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2"/>
      <c r="AF55" s="2"/>
      <c r="AG55" s="2"/>
      <c r="AH55" s="14"/>
      <c r="AI55" s="15"/>
      <c r="AJ55" s="81"/>
      <c r="AK55" s="17"/>
    </row>
    <row r="56" spans="2:37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2"/>
      <c r="AF56" s="2"/>
      <c r="AG56" s="2"/>
      <c r="AH56" s="14"/>
      <c r="AI56" s="15"/>
      <c r="AJ56" s="81"/>
      <c r="AK56" s="17"/>
    </row>
    <row r="57" spans="2:37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2"/>
      <c r="AF57" s="2"/>
      <c r="AG57" s="2"/>
      <c r="AH57" s="14"/>
      <c r="AI57" s="15"/>
      <c r="AJ57" s="81"/>
      <c r="AK57" s="17"/>
    </row>
    <row r="58" spans="2:37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2"/>
      <c r="AF58" s="2"/>
      <c r="AG58" s="2"/>
      <c r="AH58" s="14"/>
      <c r="AI58" s="15"/>
      <c r="AJ58" s="81"/>
      <c r="AK58" s="17"/>
    </row>
    <row r="59" spans="2:37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2"/>
      <c r="AF59" s="2"/>
      <c r="AG59" s="2"/>
      <c r="AH59" s="14"/>
      <c r="AI59" s="15"/>
      <c r="AJ59" s="81"/>
      <c r="AK59" s="17"/>
    </row>
    <row r="60" spans="2:37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2"/>
      <c r="AF60" s="2"/>
      <c r="AG60" s="2"/>
      <c r="AH60" s="14"/>
      <c r="AI60" s="15"/>
      <c r="AJ60" s="81"/>
      <c r="AK60" s="17"/>
    </row>
    <row r="61" spans="2:37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2"/>
      <c r="AF61" s="2"/>
      <c r="AG61" s="2"/>
      <c r="AH61" s="14"/>
      <c r="AI61" s="15"/>
      <c r="AJ61" s="81"/>
      <c r="AK61" s="17"/>
    </row>
    <row r="62" spans="2:37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2"/>
      <c r="AF62" s="2"/>
      <c r="AG62" s="2"/>
      <c r="AH62" s="14"/>
      <c r="AI62" s="15"/>
      <c r="AJ62" s="81"/>
      <c r="AK62" s="17"/>
    </row>
    <row r="63" spans="2:37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2"/>
      <c r="AF63" s="2"/>
      <c r="AG63" s="2"/>
      <c r="AH63" s="14"/>
      <c r="AI63" s="15"/>
      <c r="AJ63" s="81"/>
      <c r="AK63" s="17"/>
    </row>
    <row r="64" spans="2:37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2"/>
      <c r="AF64" s="2"/>
      <c r="AG64" s="2"/>
      <c r="AH64" s="14"/>
      <c r="AI64" s="15"/>
      <c r="AJ64" s="81"/>
      <c r="AK64" s="17"/>
    </row>
    <row r="65" spans="2:37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2"/>
      <c r="AF65" s="2"/>
      <c r="AG65" s="2"/>
      <c r="AH65" s="14"/>
      <c r="AI65" s="15"/>
      <c r="AJ65" s="81"/>
      <c r="AK65" s="17"/>
    </row>
    <row r="66" spans="2:37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2"/>
      <c r="AF66" s="2"/>
      <c r="AG66" s="2"/>
      <c r="AH66" s="14"/>
      <c r="AI66" s="15"/>
      <c r="AJ66" s="81"/>
      <c r="AK66" s="17"/>
    </row>
    <row r="67" spans="2:37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2"/>
      <c r="AF67" s="2"/>
      <c r="AG67" s="2"/>
      <c r="AH67" s="14"/>
      <c r="AI67" s="15"/>
      <c r="AJ67" s="81"/>
      <c r="AK67" s="17"/>
    </row>
    <row r="68" spans="2:37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2"/>
      <c r="AF68" s="2"/>
      <c r="AG68" s="2"/>
      <c r="AH68" s="14"/>
      <c r="AI68" s="15"/>
      <c r="AJ68" s="81"/>
      <c r="AK68" s="17"/>
    </row>
    <row r="69" spans="2:37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2"/>
      <c r="AF69" s="2"/>
      <c r="AG69" s="2"/>
      <c r="AH69" s="14"/>
      <c r="AI69" s="15"/>
      <c r="AJ69" s="81"/>
      <c r="AK69" s="17"/>
    </row>
    <row r="70" spans="2:37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2"/>
      <c r="AF70" s="2"/>
      <c r="AG70" s="2"/>
      <c r="AH70" s="14"/>
      <c r="AI70" s="15"/>
      <c r="AJ70" s="81"/>
      <c r="AK70" s="17"/>
    </row>
    <row r="71" spans="2:37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2"/>
      <c r="AF71" s="2"/>
      <c r="AG71" s="2"/>
      <c r="AH71" s="14"/>
      <c r="AI71" s="15"/>
      <c r="AJ71" s="81"/>
      <c r="AK71" s="17"/>
    </row>
    <row r="72" spans="2:37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2"/>
      <c r="AF72" s="2"/>
      <c r="AG72" s="2"/>
      <c r="AH72" s="14"/>
      <c r="AI72" s="15"/>
      <c r="AJ72" s="81"/>
      <c r="AK72" s="17"/>
    </row>
    <row r="73" spans="2:37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2"/>
      <c r="AF73" s="2"/>
      <c r="AG73" s="2"/>
      <c r="AH73" s="14"/>
      <c r="AI73" s="15"/>
      <c r="AJ73" s="81"/>
      <c r="AK73" s="17"/>
    </row>
    <row r="74" spans="2:37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2"/>
      <c r="AF74" s="2"/>
      <c r="AG74" s="2"/>
      <c r="AH74" s="14"/>
      <c r="AI74" s="15"/>
      <c r="AJ74" s="81"/>
      <c r="AK74" s="17"/>
    </row>
    <row r="75" spans="2:37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2"/>
      <c r="AF75" s="2"/>
      <c r="AG75" s="2"/>
      <c r="AH75" s="14"/>
      <c r="AI75" s="15"/>
      <c r="AJ75" s="81"/>
      <c r="AK75" s="17"/>
    </row>
    <row r="76" spans="2:37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2"/>
      <c r="AF76" s="2"/>
      <c r="AG76" s="2"/>
      <c r="AH76" s="14"/>
      <c r="AI76" s="15"/>
      <c r="AJ76" s="81"/>
      <c r="AK76" s="17"/>
    </row>
    <row r="77" spans="2:37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2"/>
      <c r="AF77" s="2"/>
      <c r="AG77" s="2"/>
      <c r="AH77" s="14"/>
      <c r="AI77" s="15"/>
      <c r="AJ77" s="81"/>
      <c r="AK77" s="17"/>
    </row>
    <row r="78" spans="2:37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2"/>
      <c r="AF78" s="2"/>
      <c r="AG78" s="2"/>
      <c r="AH78" s="14"/>
      <c r="AI78" s="15"/>
      <c r="AJ78" s="81"/>
      <c r="AK78" s="17"/>
    </row>
    <row r="79" spans="2:37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2"/>
      <c r="AF79" s="2"/>
      <c r="AG79" s="2"/>
      <c r="AH79" s="14"/>
      <c r="AI79" s="15"/>
      <c r="AJ79" s="81"/>
      <c r="AK79" s="17"/>
    </row>
    <row r="80" spans="2:37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2"/>
      <c r="AF80" s="2"/>
      <c r="AG80" s="2"/>
      <c r="AH80" s="14"/>
      <c r="AI80" s="15"/>
      <c r="AJ80" s="81"/>
      <c r="AK80" s="17"/>
    </row>
    <row r="81" spans="2:38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2"/>
      <c r="AF81" s="2"/>
      <c r="AG81" s="2"/>
      <c r="AH81" s="14"/>
      <c r="AI81" s="15"/>
      <c r="AJ81" s="81"/>
      <c r="AK81" s="17"/>
    </row>
    <row r="82" spans="2:38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2"/>
      <c r="AF82" s="2"/>
      <c r="AG82" s="2"/>
      <c r="AH82" s="14"/>
      <c r="AI82" s="15"/>
      <c r="AJ82" s="81"/>
      <c r="AK82" s="17"/>
    </row>
    <row r="83" spans="2:38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2"/>
      <c r="AF83" s="2"/>
      <c r="AG83" s="2"/>
      <c r="AH83" s="14"/>
      <c r="AI83" s="15"/>
      <c r="AJ83" s="81"/>
      <c r="AK83" s="17"/>
    </row>
    <row r="84" spans="2:38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2"/>
      <c r="AF84" s="2"/>
      <c r="AG84" s="2"/>
      <c r="AH84" s="14"/>
      <c r="AI84" s="15"/>
      <c r="AJ84" s="81"/>
      <c r="AK84" s="17"/>
    </row>
    <row r="85" spans="2:38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2"/>
      <c r="AF85" s="2"/>
      <c r="AG85" s="2"/>
      <c r="AH85" s="14"/>
      <c r="AI85" s="15"/>
      <c r="AJ85" s="81"/>
      <c r="AK85" s="17"/>
    </row>
    <row r="86" spans="2:38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2"/>
      <c r="AF86" s="2"/>
      <c r="AG86" s="2"/>
      <c r="AH86" s="14"/>
      <c r="AI86" s="15"/>
      <c r="AJ86" s="81"/>
      <c r="AK86" s="17"/>
    </row>
    <row r="87" spans="2:38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2"/>
      <c r="AF87" s="2"/>
      <c r="AG87" s="2"/>
      <c r="AH87" s="14"/>
      <c r="AI87" s="15"/>
      <c r="AJ87" s="81"/>
      <c r="AK87" s="17"/>
    </row>
    <row r="88" spans="2:38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2"/>
      <c r="AF88" s="2"/>
      <c r="AG88" s="2"/>
      <c r="AH88" s="14"/>
      <c r="AI88" s="15"/>
      <c r="AJ88" s="81"/>
      <c r="AK88" s="17"/>
    </row>
    <row r="89" spans="2:38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2"/>
      <c r="AF89" s="2"/>
      <c r="AG89" s="2"/>
      <c r="AH89" s="14"/>
      <c r="AI89" s="15"/>
      <c r="AJ89" s="81"/>
      <c r="AK89" s="17"/>
    </row>
    <row r="90" spans="2:38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2"/>
      <c r="AF90" s="2"/>
      <c r="AG90" s="2"/>
      <c r="AH90" s="14"/>
      <c r="AI90" s="15"/>
      <c r="AJ90" s="81"/>
      <c r="AK90" s="17"/>
    </row>
    <row r="91" spans="2:38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2"/>
      <c r="AF91" s="2"/>
      <c r="AG91" s="2"/>
      <c r="AH91" s="14"/>
      <c r="AI91" s="15"/>
      <c r="AJ91" s="81"/>
      <c r="AK91" s="17"/>
    </row>
    <row r="92" spans="2:38" x14ac:dyDescent="0.2">
      <c r="AL92" s="19"/>
    </row>
  </sheetData>
  <mergeCells count="5">
    <mergeCell ref="A1:AE1"/>
    <mergeCell ref="A3:A4"/>
    <mergeCell ref="B3:B4"/>
    <mergeCell ref="C3:AD3"/>
    <mergeCell ref="AE3:AE4"/>
  </mergeCells>
  <pageMargins left="0.75" right="0.75" top="1" bottom="1" header="0.5" footer="0.5"/>
  <pageSetup paperSize="12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842B-FA15-4459-87B2-F5B51D4834EA}">
  <dimension ref="A1:AO92"/>
  <sheetViews>
    <sheetView zoomScaleNormal="100" workbookViewId="0">
      <pane xSplit="2" topLeftCell="AD1" activePane="topRight" state="frozen"/>
      <selection pane="topRight" activeCell="AL9" sqref="AL9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3" width="15.77734375" style="1" customWidth="1"/>
    <col min="34" max="34" width="15.77734375" style="2" customWidth="1"/>
    <col min="35" max="35" width="10.5546875" style="2" customWidth="1"/>
    <col min="36" max="36" width="14.21875" style="2" customWidth="1"/>
    <col min="37" max="37" width="12.88671875" style="14" customWidth="1"/>
    <col min="38" max="38" width="13.109375" style="15" bestFit="1" customWidth="1"/>
    <col min="39" max="39" width="27.21875" style="16" customWidth="1"/>
    <col min="40" max="40" width="14.44140625" style="17" bestFit="1" customWidth="1"/>
    <col min="41" max="41" width="11.77734375" style="18" bestFit="1" customWidth="1"/>
    <col min="42" max="44" width="8.88671875" style="19"/>
    <col min="45" max="45" width="13.44140625" style="19" bestFit="1" customWidth="1"/>
    <col min="46" max="256" width="8.88671875" style="19"/>
    <col min="257" max="257" width="5.109375" style="19" customWidth="1"/>
    <col min="258" max="258" width="49.33203125" style="19" customWidth="1"/>
    <col min="259" max="290" width="15.77734375" style="19" customWidth="1"/>
    <col min="291" max="292" width="10.5546875" style="19" customWidth="1"/>
    <col min="293" max="293" width="11" style="19" customWidth="1"/>
    <col min="294" max="294" width="13.109375" style="19" bestFit="1" customWidth="1"/>
    <col min="295" max="295" width="27.21875" style="19" customWidth="1"/>
    <col min="296" max="296" width="14.44140625" style="19" bestFit="1" customWidth="1"/>
    <col min="297" max="297" width="11.77734375" style="19" bestFit="1" customWidth="1"/>
    <col min="298" max="300" width="8.88671875" style="19"/>
    <col min="301" max="301" width="13.44140625" style="19" bestFit="1" customWidth="1"/>
    <col min="302" max="512" width="8.88671875" style="19"/>
    <col min="513" max="513" width="5.109375" style="19" customWidth="1"/>
    <col min="514" max="514" width="49.33203125" style="19" customWidth="1"/>
    <col min="515" max="546" width="15.77734375" style="19" customWidth="1"/>
    <col min="547" max="548" width="10.5546875" style="19" customWidth="1"/>
    <col min="549" max="549" width="11" style="19" customWidth="1"/>
    <col min="550" max="550" width="13.109375" style="19" bestFit="1" customWidth="1"/>
    <col min="551" max="551" width="27.21875" style="19" customWidth="1"/>
    <col min="552" max="552" width="14.44140625" style="19" bestFit="1" customWidth="1"/>
    <col min="553" max="553" width="11.77734375" style="19" bestFit="1" customWidth="1"/>
    <col min="554" max="556" width="8.88671875" style="19"/>
    <col min="557" max="557" width="13.44140625" style="19" bestFit="1" customWidth="1"/>
    <col min="558" max="768" width="8.88671875" style="19"/>
    <col min="769" max="769" width="5.109375" style="19" customWidth="1"/>
    <col min="770" max="770" width="49.33203125" style="19" customWidth="1"/>
    <col min="771" max="802" width="15.77734375" style="19" customWidth="1"/>
    <col min="803" max="804" width="10.5546875" style="19" customWidth="1"/>
    <col min="805" max="805" width="11" style="19" customWidth="1"/>
    <col min="806" max="806" width="13.109375" style="19" bestFit="1" customWidth="1"/>
    <col min="807" max="807" width="27.21875" style="19" customWidth="1"/>
    <col min="808" max="808" width="14.44140625" style="19" bestFit="1" customWidth="1"/>
    <col min="809" max="809" width="11.77734375" style="19" bestFit="1" customWidth="1"/>
    <col min="810" max="812" width="8.88671875" style="19"/>
    <col min="813" max="813" width="13.44140625" style="19" bestFit="1" customWidth="1"/>
    <col min="814" max="1024" width="8.88671875" style="19"/>
    <col min="1025" max="1025" width="5.109375" style="19" customWidth="1"/>
    <col min="1026" max="1026" width="49.33203125" style="19" customWidth="1"/>
    <col min="1027" max="1058" width="15.77734375" style="19" customWidth="1"/>
    <col min="1059" max="1060" width="10.5546875" style="19" customWidth="1"/>
    <col min="1061" max="1061" width="11" style="19" customWidth="1"/>
    <col min="1062" max="1062" width="13.109375" style="19" bestFit="1" customWidth="1"/>
    <col min="1063" max="1063" width="27.21875" style="19" customWidth="1"/>
    <col min="1064" max="1064" width="14.44140625" style="19" bestFit="1" customWidth="1"/>
    <col min="1065" max="1065" width="11.77734375" style="19" bestFit="1" customWidth="1"/>
    <col min="1066" max="1068" width="8.88671875" style="19"/>
    <col min="1069" max="1069" width="13.44140625" style="19" bestFit="1" customWidth="1"/>
    <col min="1070" max="1280" width="8.88671875" style="19"/>
    <col min="1281" max="1281" width="5.109375" style="19" customWidth="1"/>
    <col min="1282" max="1282" width="49.33203125" style="19" customWidth="1"/>
    <col min="1283" max="1314" width="15.77734375" style="19" customWidth="1"/>
    <col min="1315" max="1316" width="10.5546875" style="19" customWidth="1"/>
    <col min="1317" max="1317" width="11" style="19" customWidth="1"/>
    <col min="1318" max="1318" width="13.109375" style="19" bestFit="1" customWidth="1"/>
    <col min="1319" max="1319" width="27.21875" style="19" customWidth="1"/>
    <col min="1320" max="1320" width="14.44140625" style="19" bestFit="1" customWidth="1"/>
    <col min="1321" max="1321" width="11.77734375" style="19" bestFit="1" customWidth="1"/>
    <col min="1322" max="1324" width="8.88671875" style="19"/>
    <col min="1325" max="1325" width="13.44140625" style="19" bestFit="1" customWidth="1"/>
    <col min="1326" max="1536" width="8.88671875" style="19"/>
    <col min="1537" max="1537" width="5.109375" style="19" customWidth="1"/>
    <col min="1538" max="1538" width="49.33203125" style="19" customWidth="1"/>
    <col min="1539" max="1570" width="15.77734375" style="19" customWidth="1"/>
    <col min="1571" max="1572" width="10.5546875" style="19" customWidth="1"/>
    <col min="1573" max="1573" width="11" style="19" customWidth="1"/>
    <col min="1574" max="1574" width="13.109375" style="19" bestFit="1" customWidth="1"/>
    <col min="1575" max="1575" width="27.21875" style="19" customWidth="1"/>
    <col min="1576" max="1576" width="14.44140625" style="19" bestFit="1" customWidth="1"/>
    <col min="1577" max="1577" width="11.77734375" style="19" bestFit="1" customWidth="1"/>
    <col min="1578" max="1580" width="8.88671875" style="19"/>
    <col min="1581" max="1581" width="13.44140625" style="19" bestFit="1" customWidth="1"/>
    <col min="1582" max="1792" width="8.88671875" style="19"/>
    <col min="1793" max="1793" width="5.109375" style="19" customWidth="1"/>
    <col min="1794" max="1794" width="49.33203125" style="19" customWidth="1"/>
    <col min="1795" max="1826" width="15.77734375" style="19" customWidth="1"/>
    <col min="1827" max="1828" width="10.5546875" style="19" customWidth="1"/>
    <col min="1829" max="1829" width="11" style="19" customWidth="1"/>
    <col min="1830" max="1830" width="13.109375" style="19" bestFit="1" customWidth="1"/>
    <col min="1831" max="1831" width="27.21875" style="19" customWidth="1"/>
    <col min="1832" max="1832" width="14.44140625" style="19" bestFit="1" customWidth="1"/>
    <col min="1833" max="1833" width="11.77734375" style="19" bestFit="1" customWidth="1"/>
    <col min="1834" max="1836" width="8.88671875" style="19"/>
    <col min="1837" max="1837" width="13.44140625" style="19" bestFit="1" customWidth="1"/>
    <col min="1838" max="2048" width="8.88671875" style="19"/>
    <col min="2049" max="2049" width="5.109375" style="19" customWidth="1"/>
    <col min="2050" max="2050" width="49.33203125" style="19" customWidth="1"/>
    <col min="2051" max="2082" width="15.77734375" style="19" customWidth="1"/>
    <col min="2083" max="2084" width="10.5546875" style="19" customWidth="1"/>
    <col min="2085" max="2085" width="11" style="19" customWidth="1"/>
    <col min="2086" max="2086" width="13.109375" style="19" bestFit="1" customWidth="1"/>
    <col min="2087" max="2087" width="27.21875" style="19" customWidth="1"/>
    <col min="2088" max="2088" width="14.44140625" style="19" bestFit="1" customWidth="1"/>
    <col min="2089" max="2089" width="11.77734375" style="19" bestFit="1" customWidth="1"/>
    <col min="2090" max="2092" width="8.88671875" style="19"/>
    <col min="2093" max="2093" width="13.44140625" style="19" bestFit="1" customWidth="1"/>
    <col min="2094" max="2304" width="8.88671875" style="19"/>
    <col min="2305" max="2305" width="5.109375" style="19" customWidth="1"/>
    <col min="2306" max="2306" width="49.33203125" style="19" customWidth="1"/>
    <col min="2307" max="2338" width="15.77734375" style="19" customWidth="1"/>
    <col min="2339" max="2340" width="10.5546875" style="19" customWidth="1"/>
    <col min="2341" max="2341" width="11" style="19" customWidth="1"/>
    <col min="2342" max="2342" width="13.109375" style="19" bestFit="1" customWidth="1"/>
    <col min="2343" max="2343" width="27.21875" style="19" customWidth="1"/>
    <col min="2344" max="2344" width="14.44140625" style="19" bestFit="1" customWidth="1"/>
    <col min="2345" max="2345" width="11.77734375" style="19" bestFit="1" customWidth="1"/>
    <col min="2346" max="2348" width="8.88671875" style="19"/>
    <col min="2349" max="2349" width="13.44140625" style="19" bestFit="1" customWidth="1"/>
    <col min="2350" max="2560" width="8.88671875" style="19"/>
    <col min="2561" max="2561" width="5.109375" style="19" customWidth="1"/>
    <col min="2562" max="2562" width="49.33203125" style="19" customWidth="1"/>
    <col min="2563" max="2594" width="15.77734375" style="19" customWidth="1"/>
    <col min="2595" max="2596" width="10.5546875" style="19" customWidth="1"/>
    <col min="2597" max="2597" width="11" style="19" customWidth="1"/>
    <col min="2598" max="2598" width="13.109375" style="19" bestFit="1" customWidth="1"/>
    <col min="2599" max="2599" width="27.21875" style="19" customWidth="1"/>
    <col min="2600" max="2600" width="14.44140625" style="19" bestFit="1" customWidth="1"/>
    <col min="2601" max="2601" width="11.77734375" style="19" bestFit="1" customWidth="1"/>
    <col min="2602" max="2604" width="8.88671875" style="19"/>
    <col min="2605" max="2605" width="13.44140625" style="19" bestFit="1" customWidth="1"/>
    <col min="2606" max="2816" width="8.88671875" style="19"/>
    <col min="2817" max="2817" width="5.109375" style="19" customWidth="1"/>
    <col min="2818" max="2818" width="49.33203125" style="19" customWidth="1"/>
    <col min="2819" max="2850" width="15.77734375" style="19" customWidth="1"/>
    <col min="2851" max="2852" width="10.5546875" style="19" customWidth="1"/>
    <col min="2853" max="2853" width="11" style="19" customWidth="1"/>
    <col min="2854" max="2854" width="13.109375" style="19" bestFit="1" customWidth="1"/>
    <col min="2855" max="2855" width="27.21875" style="19" customWidth="1"/>
    <col min="2856" max="2856" width="14.44140625" style="19" bestFit="1" customWidth="1"/>
    <col min="2857" max="2857" width="11.77734375" style="19" bestFit="1" customWidth="1"/>
    <col min="2858" max="2860" width="8.88671875" style="19"/>
    <col min="2861" max="2861" width="13.44140625" style="19" bestFit="1" customWidth="1"/>
    <col min="2862" max="3072" width="8.88671875" style="19"/>
    <col min="3073" max="3073" width="5.109375" style="19" customWidth="1"/>
    <col min="3074" max="3074" width="49.33203125" style="19" customWidth="1"/>
    <col min="3075" max="3106" width="15.77734375" style="19" customWidth="1"/>
    <col min="3107" max="3108" width="10.5546875" style="19" customWidth="1"/>
    <col min="3109" max="3109" width="11" style="19" customWidth="1"/>
    <col min="3110" max="3110" width="13.109375" style="19" bestFit="1" customWidth="1"/>
    <col min="3111" max="3111" width="27.21875" style="19" customWidth="1"/>
    <col min="3112" max="3112" width="14.44140625" style="19" bestFit="1" customWidth="1"/>
    <col min="3113" max="3113" width="11.77734375" style="19" bestFit="1" customWidth="1"/>
    <col min="3114" max="3116" width="8.88671875" style="19"/>
    <col min="3117" max="3117" width="13.44140625" style="19" bestFit="1" customWidth="1"/>
    <col min="3118" max="3328" width="8.88671875" style="19"/>
    <col min="3329" max="3329" width="5.109375" style="19" customWidth="1"/>
    <col min="3330" max="3330" width="49.33203125" style="19" customWidth="1"/>
    <col min="3331" max="3362" width="15.77734375" style="19" customWidth="1"/>
    <col min="3363" max="3364" width="10.5546875" style="19" customWidth="1"/>
    <col min="3365" max="3365" width="11" style="19" customWidth="1"/>
    <col min="3366" max="3366" width="13.109375" style="19" bestFit="1" customWidth="1"/>
    <col min="3367" max="3367" width="27.21875" style="19" customWidth="1"/>
    <col min="3368" max="3368" width="14.44140625" style="19" bestFit="1" customWidth="1"/>
    <col min="3369" max="3369" width="11.77734375" style="19" bestFit="1" customWidth="1"/>
    <col min="3370" max="3372" width="8.88671875" style="19"/>
    <col min="3373" max="3373" width="13.44140625" style="19" bestFit="1" customWidth="1"/>
    <col min="3374" max="3584" width="8.88671875" style="19"/>
    <col min="3585" max="3585" width="5.109375" style="19" customWidth="1"/>
    <col min="3586" max="3586" width="49.33203125" style="19" customWidth="1"/>
    <col min="3587" max="3618" width="15.77734375" style="19" customWidth="1"/>
    <col min="3619" max="3620" width="10.5546875" style="19" customWidth="1"/>
    <col min="3621" max="3621" width="11" style="19" customWidth="1"/>
    <col min="3622" max="3622" width="13.109375" style="19" bestFit="1" customWidth="1"/>
    <col min="3623" max="3623" width="27.21875" style="19" customWidth="1"/>
    <col min="3624" max="3624" width="14.44140625" style="19" bestFit="1" customWidth="1"/>
    <col min="3625" max="3625" width="11.77734375" style="19" bestFit="1" customWidth="1"/>
    <col min="3626" max="3628" width="8.88671875" style="19"/>
    <col min="3629" max="3629" width="13.44140625" style="19" bestFit="1" customWidth="1"/>
    <col min="3630" max="3840" width="8.88671875" style="19"/>
    <col min="3841" max="3841" width="5.109375" style="19" customWidth="1"/>
    <col min="3842" max="3842" width="49.33203125" style="19" customWidth="1"/>
    <col min="3843" max="3874" width="15.77734375" style="19" customWidth="1"/>
    <col min="3875" max="3876" width="10.5546875" style="19" customWidth="1"/>
    <col min="3877" max="3877" width="11" style="19" customWidth="1"/>
    <col min="3878" max="3878" width="13.109375" style="19" bestFit="1" customWidth="1"/>
    <col min="3879" max="3879" width="27.21875" style="19" customWidth="1"/>
    <col min="3880" max="3880" width="14.44140625" style="19" bestFit="1" customWidth="1"/>
    <col min="3881" max="3881" width="11.77734375" style="19" bestFit="1" customWidth="1"/>
    <col min="3882" max="3884" width="8.88671875" style="19"/>
    <col min="3885" max="3885" width="13.44140625" style="19" bestFit="1" customWidth="1"/>
    <col min="3886" max="4096" width="8.88671875" style="19"/>
    <col min="4097" max="4097" width="5.109375" style="19" customWidth="1"/>
    <col min="4098" max="4098" width="49.33203125" style="19" customWidth="1"/>
    <col min="4099" max="4130" width="15.77734375" style="19" customWidth="1"/>
    <col min="4131" max="4132" width="10.5546875" style="19" customWidth="1"/>
    <col min="4133" max="4133" width="11" style="19" customWidth="1"/>
    <col min="4134" max="4134" width="13.109375" style="19" bestFit="1" customWidth="1"/>
    <col min="4135" max="4135" width="27.21875" style="19" customWidth="1"/>
    <col min="4136" max="4136" width="14.44140625" style="19" bestFit="1" customWidth="1"/>
    <col min="4137" max="4137" width="11.77734375" style="19" bestFit="1" customWidth="1"/>
    <col min="4138" max="4140" width="8.88671875" style="19"/>
    <col min="4141" max="4141" width="13.44140625" style="19" bestFit="1" customWidth="1"/>
    <col min="4142" max="4352" width="8.88671875" style="19"/>
    <col min="4353" max="4353" width="5.109375" style="19" customWidth="1"/>
    <col min="4354" max="4354" width="49.33203125" style="19" customWidth="1"/>
    <col min="4355" max="4386" width="15.77734375" style="19" customWidth="1"/>
    <col min="4387" max="4388" width="10.5546875" style="19" customWidth="1"/>
    <col min="4389" max="4389" width="11" style="19" customWidth="1"/>
    <col min="4390" max="4390" width="13.109375" style="19" bestFit="1" customWidth="1"/>
    <col min="4391" max="4391" width="27.21875" style="19" customWidth="1"/>
    <col min="4392" max="4392" width="14.44140625" style="19" bestFit="1" customWidth="1"/>
    <col min="4393" max="4393" width="11.77734375" style="19" bestFit="1" customWidth="1"/>
    <col min="4394" max="4396" width="8.88671875" style="19"/>
    <col min="4397" max="4397" width="13.44140625" style="19" bestFit="1" customWidth="1"/>
    <col min="4398" max="4608" width="8.88671875" style="19"/>
    <col min="4609" max="4609" width="5.109375" style="19" customWidth="1"/>
    <col min="4610" max="4610" width="49.33203125" style="19" customWidth="1"/>
    <col min="4611" max="4642" width="15.77734375" style="19" customWidth="1"/>
    <col min="4643" max="4644" width="10.5546875" style="19" customWidth="1"/>
    <col min="4645" max="4645" width="11" style="19" customWidth="1"/>
    <col min="4646" max="4646" width="13.109375" style="19" bestFit="1" customWidth="1"/>
    <col min="4647" max="4647" width="27.21875" style="19" customWidth="1"/>
    <col min="4648" max="4648" width="14.44140625" style="19" bestFit="1" customWidth="1"/>
    <col min="4649" max="4649" width="11.77734375" style="19" bestFit="1" customWidth="1"/>
    <col min="4650" max="4652" width="8.88671875" style="19"/>
    <col min="4653" max="4653" width="13.44140625" style="19" bestFit="1" customWidth="1"/>
    <col min="4654" max="4864" width="8.88671875" style="19"/>
    <col min="4865" max="4865" width="5.109375" style="19" customWidth="1"/>
    <col min="4866" max="4866" width="49.33203125" style="19" customWidth="1"/>
    <col min="4867" max="4898" width="15.77734375" style="19" customWidth="1"/>
    <col min="4899" max="4900" width="10.5546875" style="19" customWidth="1"/>
    <col min="4901" max="4901" width="11" style="19" customWidth="1"/>
    <col min="4902" max="4902" width="13.109375" style="19" bestFit="1" customWidth="1"/>
    <col min="4903" max="4903" width="27.21875" style="19" customWidth="1"/>
    <col min="4904" max="4904" width="14.44140625" style="19" bestFit="1" customWidth="1"/>
    <col min="4905" max="4905" width="11.77734375" style="19" bestFit="1" customWidth="1"/>
    <col min="4906" max="4908" width="8.88671875" style="19"/>
    <col min="4909" max="4909" width="13.44140625" style="19" bestFit="1" customWidth="1"/>
    <col min="4910" max="5120" width="8.88671875" style="19"/>
    <col min="5121" max="5121" width="5.109375" style="19" customWidth="1"/>
    <col min="5122" max="5122" width="49.33203125" style="19" customWidth="1"/>
    <col min="5123" max="5154" width="15.77734375" style="19" customWidth="1"/>
    <col min="5155" max="5156" width="10.5546875" style="19" customWidth="1"/>
    <col min="5157" max="5157" width="11" style="19" customWidth="1"/>
    <col min="5158" max="5158" width="13.109375" style="19" bestFit="1" customWidth="1"/>
    <col min="5159" max="5159" width="27.21875" style="19" customWidth="1"/>
    <col min="5160" max="5160" width="14.44140625" style="19" bestFit="1" customWidth="1"/>
    <col min="5161" max="5161" width="11.77734375" style="19" bestFit="1" customWidth="1"/>
    <col min="5162" max="5164" width="8.88671875" style="19"/>
    <col min="5165" max="5165" width="13.44140625" style="19" bestFit="1" customWidth="1"/>
    <col min="5166" max="5376" width="8.88671875" style="19"/>
    <col min="5377" max="5377" width="5.109375" style="19" customWidth="1"/>
    <col min="5378" max="5378" width="49.33203125" style="19" customWidth="1"/>
    <col min="5379" max="5410" width="15.77734375" style="19" customWidth="1"/>
    <col min="5411" max="5412" width="10.5546875" style="19" customWidth="1"/>
    <col min="5413" max="5413" width="11" style="19" customWidth="1"/>
    <col min="5414" max="5414" width="13.109375" style="19" bestFit="1" customWidth="1"/>
    <col min="5415" max="5415" width="27.21875" style="19" customWidth="1"/>
    <col min="5416" max="5416" width="14.44140625" style="19" bestFit="1" customWidth="1"/>
    <col min="5417" max="5417" width="11.77734375" style="19" bestFit="1" customWidth="1"/>
    <col min="5418" max="5420" width="8.88671875" style="19"/>
    <col min="5421" max="5421" width="13.44140625" style="19" bestFit="1" customWidth="1"/>
    <col min="5422" max="5632" width="8.88671875" style="19"/>
    <col min="5633" max="5633" width="5.109375" style="19" customWidth="1"/>
    <col min="5634" max="5634" width="49.33203125" style="19" customWidth="1"/>
    <col min="5635" max="5666" width="15.77734375" style="19" customWidth="1"/>
    <col min="5667" max="5668" width="10.5546875" style="19" customWidth="1"/>
    <col min="5669" max="5669" width="11" style="19" customWidth="1"/>
    <col min="5670" max="5670" width="13.109375" style="19" bestFit="1" customWidth="1"/>
    <col min="5671" max="5671" width="27.21875" style="19" customWidth="1"/>
    <col min="5672" max="5672" width="14.44140625" style="19" bestFit="1" customWidth="1"/>
    <col min="5673" max="5673" width="11.77734375" style="19" bestFit="1" customWidth="1"/>
    <col min="5674" max="5676" width="8.88671875" style="19"/>
    <col min="5677" max="5677" width="13.44140625" style="19" bestFit="1" customWidth="1"/>
    <col min="5678" max="5888" width="8.88671875" style="19"/>
    <col min="5889" max="5889" width="5.109375" style="19" customWidth="1"/>
    <col min="5890" max="5890" width="49.33203125" style="19" customWidth="1"/>
    <col min="5891" max="5922" width="15.77734375" style="19" customWidth="1"/>
    <col min="5923" max="5924" width="10.5546875" style="19" customWidth="1"/>
    <col min="5925" max="5925" width="11" style="19" customWidth="1"/>
    <col min="5926" max="5926" width="13.109375" style="19" bestFit="1" customWidth="1"/>
    <col min="5927" max="5927" width="27.21875" style="19" customWidth="1"/>
    <col min="5928" max="5928" width="14.44140625" style="19" bestFit="1" customWidth="1"/>
    <col min="5929" max="5929" width="11.77734375" style="19" bestFit="1" customWidth="1"/>
    <col min="5930" max="5932" width="8.88671875" style="19"/>
    <col min="5933" max="5933" width="13.44140625" style="19" bestFit="1" customWidth="1"/>
    <col min="5934" max="6144" width="8.88671875" style="19"/>
    <col min="6145" max="6145" width="5.109375" style="19" customWidth="1"/>
    <col min="6146" max="6146" width="49.33203125" style="19" customWidth="1"/>
    <col min="6147" max="6178" width="15.77734375" style="19" customWidth="1"/>
    <col min="6179" max="6180" width="10.5546875" style="19" customWidth="1"/>
    <col min="6181" max="6181" width="11" style="19" customWidth="1"/>
    <col min="6182" max="6182" width="13.109375" style="19" bestFit="1" customWidth="1"/>
    <col min="6183" max="6183" width="27.21875" style="19" customWidth="1"/>
    <col min="6184" max="6184" width="14.44140625" style="19" bestFit="1" customWidth="1"/>
    <col min="6185" max="6185" width="11.77734375" style="19" bestFit="1" customWidth="1"/>
    <col min="6186" max="6188" width="8.88671875" style="19"/>
    <col min="6189" max="6189" width="13.44140625" style="19" bestFit="1" customWidth="1"/>
    <col min="6190" max="6400" width="8.88671875" style="19"/>
    <col min="6401" max="6401" width="5.109375" style="19" customWidth="1"/>
    <col min="6402" max="6402" width="49.33203125" style="19" customWidth="1"/>
    <col min="6403" max="6434" width="15.77734375" style="19" customWidth="1"/>
    <col min="6435" max="6436" width="10.5546875" style="19" customWidth="1"/>
    <col min="6437" max="6437" width="11" style="19" customWidth="1"/>
    <col min="6438" max="6438" width="13.109375" style="19" bestFit="1" customWidth="1"/>
    <col min="6439" max="6439" width="27.21875" style="19" customWidth="1"/>
    <col min="6440" max="6440" width="14.44140625" style="19" bestFit="1" customWidth="1"/>
    <col min="6441" max="6441" width="11.77734375" style="19" bestFit="1" customWidth="1"/>
    <col min="6442" max="6444" width="8.88671875" style="19"/>
    <col min="6445" max="6445" width="13.44140625" style="19" bestFit="1" customWidth="1"/>
    <col min="6446" max="6656" width="8.88671875" style="19"/>
    <col min="6657" max="6657" width="5.109375" style="19" customWidth="1"/>
    <col min="6658" max="6658" width="49.33203125" style="19" customWidth="1"/>
    <col min="6659" max="6690" width="15.77734375" style="19" customWidth="1"/>
    <col min="6691" max="6692" width="10.5546875" style="19" customWidth="1"/>
    <col min="6693" max="6693" width="11" style="19" customWidth="1"/>
    <col min="6694" max="6694" width="13.109375" style="19" bestFit="1" customWidth="1"/>
    <col min="6695" max="6695" width="27.21875" style="19" customWidth="1"/>
    <col min="6696" max="6696" width="14.44140625" style="19" bestFit="1" customWidth="1"/>
    <col min="6697" max="6697" width="11.77734375" style="19" bestFit="1" customWidth="1"/>
    <col min="6698" max="6700" width="8.88671875" style="19"/>
    <col min="6701" max="6701" width="13.44140625" style="19" bestFit="1" customWidth="1"/>
    <col min="6702" max="6912" width="8.88671875" style="19"/>
    <col min="6913" max="6913" width="5.109375" style="19" customWidth="1"/>
    <col min="6914" max="6914" width="49.33203125" style="19" customWidth="1"/>
    <col min="6915" max="6946" width="15.77734375" style="19" customWidth="1"/>
    <col min="6947" max="6948" width="10.5546875" style="19" customWidth="1"/>
    <col min="6949" max="6949" width="11" style="19" customWidth="1"/>
    <col min="6950" max="6950" width="13.109375" style="19" bestFit="1" customWidth="1"/>
    <col min="6951" max="6951" width="27.21875" style="19" customWidth="1"/>
    <col min="6952" max="6952" width="14.44140625" style="19" bestFit="1" customWidth="1"/>
    <col min="6953" max="6953" width="11.77734375" style="19" bestFit="1" customWidth="1"/>
    <col min="6954" max="6956" width="8.88671875" style="19"/>
    <col min="6957" max="6957" width="13.44140625" style="19" bestFit="1" customWidth="1"/>
    <col min="6958" max="7168" width="8.88671875" style="19"/>
    <col min="7169" max="7169" width="5.109375" style="19" customWidth="1"/>
    <col min="7170" max="7170" width="49.33203125" style="19" customWidth="1"/>
    <col min="7171" max="7202" width="15.77734375" style="19" customWidth="1"/>
    <col min="7203" max="7204" width="10.5546875" style="19" customWidth="1"/>
    <col min="7205" max="7205" width="11" style="19" customWidth="1"/>
    <col min="7206" max="7206" width="13.109375" style="19" bestFit="1" customWidth="1"/>
    <col min="7207" max="7207" width="27.21875" style="19" customWidth="1"/>
    <col min="7208" max="7208" width="14.44140625" style="19" bestFit="1" customWidth="1"/>
    <col min="7209" max="7209" width="11.77734375" style="19" bestFit="1" customWidth="1"/>
    <col min="7210" max="7212" width="8.88671875" style="19"/>
    <col min="7213" max="7213" width="13.44140625" style="19" bestFit="1" customWidth="1"/>
    <col min="7214" max="7424" width="8.88671875" style="19"/>
    <col min="7425" max="7425" width="5.109375" style="19" customWidth="1"/>
    <col min="7426" max="7426" width="49.33203125" style="19" customWidth="1"/>
    <col min="7427" max="7458" width="15.77734375" style="19" customWidth="1"/>
    <col min="7459" max="7460" width="10.5546875" style="19" customWidth="1"/>
    <col min="7461" max="7461" width="11" style="19" customWidth="1"/>
    <col min="7462" max="7462" width="13.109375" style="19" bestFit="1" customWidth="1"/>
    <col min="7463" max="7463" width="27.21875" style="19" customWidth="1"/>
    <col min="7464" max="7464" width="14.44140625" style="19" bestFit="1" customWidth="1"/>
    <col min="7465" max="7465" width="11.77734375" style="19" bestFit="1" customWidth="1"/>
    <col min="7466" max="7468" width="8.88671875" style="19"/>
    <col min="7469" max="7469" width="13.44140625" style="19" bestFit="1" customWidth="1"/>
    <col min="7470" max="7680" width="8.88671875" style="19"/>
    <col min="7681" max="7681" width="5.109375" style="19" customWidth="1"/>
    <col min="7682" max="7682" width="49.33203125" style="19" customWidth="1"/>
    <col min="7683" max="7714" width="15.77734375" style="19" customWidth="1"/>
    <col min="7715" max="7716" width="10.5546875" style="19" customWidth="1"/>
    <col min="7717" max="7717" width="11" style="19" customWidth="1"/>
    <col min="7718" max="7718" width="13.109375" style="19" bestFit="1" customWidth="1"/>
    <col min="7719" max="7719" width="27.21875" style="19" customWidth="1"/>
    <col min="7720" max="7720" width="14.44140625" style="19" bestFit="1" customWidth="1"/>
    <col min="7721" max="7721" width="11.77734375" style="19" bestFit="1" customWidth="1"/>
    <col min="7722" max="7724" width="8.88671875" style="19"/>
    <col min="7725" max="7725" width="13.44140625" style="19" bestFit="1" customWidth="1"/>
    <col min="7726" max="7936" width="8.88671875" style="19"/>
    <col min="7937" max="7937" width="5.109375" style="19" customWidth="1"/>
    <col min="7938" max="7938" width="49.33203125" style="19" customWidth="1"/>
    <col min="7939" max="7970" width="15.77734375" style="19" customWidth="1"/>
    <col min="7971" max="7972" width="10.5546875" style="19" customWidth="1"/>
    <col min="7973" max="7973" width="11" style="19" customWidth="1"/>
    <col min="7974" max="7974" width="13.109375" style="19" bestFit="1" customWidth="1"/>
    <col min="7975" max="7975" width="27.21875" style="19" customWidth="1"/>
    <col min="7976" max="7976" width="14.44140625" style="19" bestFit="1" customWidth="1"/>
    <col min="7977" max="7977" width="11.77734375" style="19" bestFit="1" customWidth="1"/>
    <col min="7978" max="7980" width="8.88671875" style="19"/>
    <col min="7981" max="7981" width="13.44140625" style="19" bestFit="1" customWidth="1"/>
    <col min="7982" max="8192" width="8.88671875" style="19"/>
    <col min="8193" max="8193" width="5.109375" style="19" customWidth="1"/>
    <col min="8194" max="8194" width="49.33203125" style="19" customWidth="1"/>
    <col min="8195" max="8226" width="15.77734375" style="19" customWidth="1"/>
    <col min="8227" max="8228" width="10.5546875" style="19" customWidth="1"/>
    <col min="8229" max="8229" width="11" style="19" customWidth="1"/>
    <col min="8230" max="8230" width="13.109375" style="19" bestFit="1" customWidth="1"/>
    <col min="8231" max="8231" width="27.21875" style="19" customWidth="1"/>
    <col min="8232" max="8232" width="14.44140625" style="19" bestFit="1" customWidth="1"/>
    <col min="8233" max="8233" width="11.77734375" style="19" bestFit="1" customWidth="1"/>
    <col min="8234" max="8236" width="8.88671875" style="19"/>
    <col min="8237" max="8237" width="13.44140625" style="19" bestFit="1" customWidth="1"/>
    <col min="8238" max="8448" width="8.88671875" style="19"/>
    <col min="8449" max="8449" width="5.109375" style="19" customWidth="1"/>
    <col min="8450" max="8450" width="49.33203125" style="19" customWidth="1"/>
    <col min="8451" max="8482" width="15.77734375" style="19" customWidth="1"/>
    <col min="8483" max="8484" width="10.5546875" style="19" customWidth="1"/>
    <col min="8485" max="8485" width="11" style="19" customWidth="1"/>
    <col min="8486" max="8486" width="13.109375" style="19" bestFit="1" customWidth="1"/>
    <col min="8487" max="8487" width="27.21875" style="19" customWidth="1"/>
    <col min="8488" max="8488" width="14.44140625" style="19" bestFit="1" customWidth="1"/>
    <col min="8489" max="8489" width="11.77734375" style="19" bestFit="1" customWidth="1"/>
    <col min="8490" max="8492" width="8.88671875" style="19"/>
    <col min="8493" max="8493" width="13.44140625" style="19" bestFit="1" customWidth="1"/>
    <col min="8494" max="8704" width="8.88671875" style="19"/>
    <col min="8705" max="8705" width="5.109375" style="19" customWidth="1"/>
    <col min="8706" max="8706" width="49.33203125" style="19" customWidth="1"/>
    <col min="8707" max="8738" width="15.77734375" style="19" customWidth="1"/>
    <col min="8739" max="8740" width="10.5546875" style="19" customWidth="1"/>
    <col min="8741" max="8741" width="11" style="19" customWidth="1"/>
    <col min="8742" max="8742" width="13.109375" style="19" bestFit="1" customWidth="1"/>
    <col min="8743" max="8743" width="27.21875" style="19" customWidth="1"/>
    <col min="8744" max="8744" width="14.44140625" style="19" bestFit="1" customWidth="1"/>
    <col min="8745" max="8745" width="11.77734375" style="19" bestFit="1" customWidth="1"/>
    <col min="8746" max="8748" width="8.88671875" style="19"/>
    <col min="8749" max="8749" width="13.44140625" style="19" bestFit="1" customWidth="1"/>
    <col min="8750" max="8960" width="8.88671875" style="19"/>
    <col min="8961" max="8961" width="5.109375" style="19" customWidth="1"/>
    <col min="8962" max="8962" width="49.33203125" style="19" customWidth="1"/>
    <col min="8963" max="8994" width="15.77734375" style="19" customWidth="1"/>
    <col min="8995" max="8996" width="10.5546875" style="19" customWidth="1"/>
    <col min="8997" max="8997" width="11" style="19" customWidth="1"/>
    <col min="8998" max="8998" width="13.109375" style="19" bestFit="1" customWidth="1"/>
    <col min="8999" max="8999" width="27.21875" style="19" customWidth="1"/>
    <col min="9000" max="9000" width="14.44140625" style="19" bestFit="1" customWidth="1"/>
    <col min="9001" max="9001" width="11.77734375" style="19" bestFit="1" customWidth="1"/>
    <col min="9002" max="9004" width="8.88671875" style="19"/>
    <col min="9005" max="9005" width="13.44140625" style="19" bestFit="1" customWidth="1"/>
    <col min="9006" max="9216" width="8.88671875" style="19"/>
    <col min="9217" max="9217" width="5.109375" style="19" customWidth="1"/>
    <col min="9218" max="9218" width="49.33203125" style="19" customWidth="1"/>
    <col min="9219" max="9250" width="15.77734375" style="19" customWidth="1"/>
    <col min="9251" max="9252" width="10.5546875" style="19" customWidth="1"/>
    <col min="9253" max="9253" width="11" style="19" customWidth="1"/>
    <col min="9254" max="9254" width="13.109375" style="19" bestFit="1" customWidth="1"/>
    <col min="9255" max="9255" width="27.21875" style="19" customWidth="1"/>
    <col min="9256" max="9256" width="14.44140625" style="19" bestFit="1" customWidth="1"/>
    <col min="9257" max="9257" width="11.77734375" style="19" bestFit="1" customWidth="1"/>
    <col min="9258" max="9260" width="8.88671875" style="19"/>
    <col min="9261" max="9261" width="13.44140625" style="19" bestFit="1" customWidth="1"/>
    <col min="9262" max="9472" width="8.88671875" style="19"/>
    <col min="9473" max="9473" width="5.109375" style="19" customWidth="1"/>
    <col min="9474" max="9474" width="49.33203125" style="19" customWidth="1"/>
    <col min="9475" max="9506" width="15.77734375" style="19" customWidth="1"/>
    <col min="9507" max="9508" width="10.5546875" style="19" customWidth="1"/>
    <col min="9509" max="9509" width="11" style="19" customWidth="1"/>
    <col min="9510" max="9510" width="13.109375" style="19" bestFit="1" customWidth="1"/>
    <col min="9511" max="9511" width="27.21875" style="19" customWidth="1"/>
    <col min="9512" max="9512" width="14.44140625" style="19" bestFit="1" customWidth="1"/>
    <col min="9513" max="9513" width="11.77734375" style="19" bestFit="1" customWidth="1"/>
    <col min="9514" max="9516" width="8.88671875" style="19"/>
    <col min="9517" max="9517" width="13.44140625" style="19" bestFit="1" customWidth="1"/>
    <col min="9518" max="9728" width="8.88671875" style="19"/>
    <col min="9729" max="9729" width="5.109375" style="19" customWidth="1"/>
    <col min="9730" max="9730" width="49.33203125" style="19" customWidth="1"/>
    <col min="9731" max="9762" width="15.77734375" style="19" customWidth="1"/>
    <col min="9763" max="9764" width="10.5546875" style="19" customWidth="1"/>
    <col min="9765" max="9765" width="11" style="19" customWidth="1"/>
    <col min="9766" max="9766" width="13.109375" style="19" bestFit="1" customWidth="1"/>
    <col min="9767" max="9767" width="27.21875" style="19" customWidth="1"/>
    <col min="9768" max="9768" width="14.44140625" style="19" bestFit="1" customWidth="1"/>
    <col min="9769" max="9769" width="11.77734375" style="19" bestFit="1" customWidth="1"/>
    <col min="9770" max="9772" width="8.88671875" style="19"/>
    <col min="9773" max="9773" width="13.44140625" style="19" bestFit="1" customWidth="1"/>
    <col min="9774" max="9984" width="8.88671875" style="19"/>
    <col min="9985" max="9985" width="5.109375" style="19" customWidth="1"/>
    <col min="9986" max="9986" width="49.33203125" style="19" customWidth="1"/>
    <col min="9987" max="10018" width="15.77734375" style="19" customWidth="1"/>
    <col min="10019" max="10020" width="10.5546875" style="19" customWidth="1"/>
    <col min="10021" max="10021" width="11" style="19" customWidth="1"/>
    <col min="10022" max="10022" width="13.109375" style="19" bestFit="1" customWidth="1"/>
    <col min="10023" max="10023" width="27.21875" style="19" customWidth="1"/>
    <col min="10024" max="10024" width="14.44140625" style="19" bestFit="1" customWidth="1"/>
    <col min="10025" max="10025" width="11.77734375" style="19" bestFit="1" customWidth="1"/>
    <col min="10026" max="10028" width="8.88671875" style="19"/>
    <col min="10029" max="10029" width="13.44140625" style="19" bestFit="1" customWidth="1"/>
    <col min="10030" max="10240" width="8.88671875" style="19"/>
    <col min="10241" max="10241" width="5.109375" style="19" customWidth="1"/>
    <col min="10242" max="10242" width="49.33203125" style="19" customWidth="1"/>
    <col min="10243" max="10274" width="15.77734375" style="19" customWidth="1"/>
    <col min="10275" max="10276" width="10.5546875" style="19" customWidth="1"/>
    <col min="10277" max="10277" width="11" style="19" customWidth="1"/>
    <col min="10278" max="10278" width="13.109375" style="19" bestFit="1" customWidth="1"/>
    <col min="10279" max="10279" width="27.21875" style="19" customWidth="1"/>
    <col min="10280" max="10280" width="14.44140625" style="19" bestFit="1" customWidth="1"/>
    <col min="10281" max="10281" width="11.77734375" style="19" bestFit="1" customWidth="1"/>
    <col min="10282" max="10284" width="8.88671875" style="19"/>
    <col min="10285" max="10285" width="13.44140625" style="19" bestFit="1" customWidth="1"/>
    <col min="10286" max="10496" width="8.88671875" style="19"/>
    <col min="10497" max="10497" width="5.109375" style="19" customWidth="1"/>
    <col min="10498" max="10498" width="49.33203125" style="19" customWidth="1"/>
    <col min="10499" max="10530" width="15.77734375" style="19" customWidth="1"/>
    <col min="10531" max="10532" width="10.5546875" style="19" customWidth="1"/>
    <col min="10533" max="10533" width="11" style="19" customWidth="1"/>
    <col min="10534" max="10534" width="13.109375" style="19" bestFit="1" customWidth="1"/>
    <col min="10535" max="10535" width="27.21875" style="19" customWidth="1"/>
    <col min="10536" max="10536" width="14.44140625" style="19" bestFit="1" customWidth="1"/>
    <col min="10537" max="10537" width="11.77734375" style="19" bestFit="1" customWidth="1"/>
    <col min="10538" max="10540" width="8.88671875" style="19"/>
    <col min="10541" max="10541" width="13.44140625" style="19" bestFit="1" customWidth="1"/>
    <col min="10542" max="10752" width="8.88671875" style="19"/>
    <col min="10753" max="10753" width="5.109375" style="19" customWidth="1"/>
    <col min="10754" max="10754" width="49.33203125" style="19" customWidth="1"/>
    <col min="10755" max="10786" width="15.77734375" style="19" customWidth="1"/>
    <col min="10787" max="10788" width="10.5546875" style="19" customWidth="1"/>
    <col min="10789" max="10789" width="11" style="19" customWidth="1"/>
    <col min="10790" max="10790" width="13.109375" style="19" bestFit="1" customWidth="1"/>
    <col min="10791" max="10791" width="27.21875" style="19" customWidth="1"/>
    <col min="10792" max="10792" width="14.44140625" style="19" bestFit="1" customWidth="1"/>
    <col min="10793" max="10793" width="11.77734375" style="19" bestFit="1" customWidth="1"/>
    <col min="10794" max="10796" width="8.88671875" style="19"/>
    <col min="10797" max="10797" width="13.44140625" style="19" bestFit="1" customWidth="1"/>
    <col min="10798" max="11008" width="8.88671875" style="19"/>
    <col min="11009" max="11009" width="5.109375" style="19" customWidth="1"/>
    <col min="11010" max="11010" width="49.33203125" style="19" customWidth="1"/>
    <col min="11011" max="11042" width="15.77734375" style="19" customWidth="1"/>
    <col min="11043" max="11044" width="10.5546875" style="19" customWidth="1"/>
    <col min="11045" max="11045" width="11" style="19" customWidth="1"/>
    <col min="11046" max="11046" width="13.109375" style="19" bestFit="1" customWidth="1"/>
    <col min="11047" max="11047" width="27.21875" style="19" customWidth="1"/>
    <col min="11048" max="11048" width="14.44140625" style="19" bestFit="1" customWidth="1"/>
    <col min="11049" max="11049" width="11.77734375" style="19" bestFit="1" customWidth="1"/>
    <col min="11050" max="11052" width="8.88671875" style="19"/>
    <col min="11053" max="11053" width="13.44140625" style="19" bestFit="1" customWidth="1"/>
    <col min="11054" max="11264" width="8.88671875" style="19"/>
    <col min="11265" max="11265" width="5.109375" style="19" customWidth="1"/>
    <col min="11266" max="11266" width="49.33203125" style="19" customWidth="1"/>
    <col min="11267" max="11298" width="15.77734375" style="19" customWidth="1"/>
    <col min="11299" max="11300" width="10.5546875" style="19" customWidth="1"/>
    <col min="11301" max="11301" width="11" style="19" customWidth="1"/>
    <col min="11302" max="11302" width="13.109375" style="19" bestFit="1" customWidth="1"/>
    <col min="11303" max="11303" width="27.21875" style="19" customWidth="1"/>
    <col min="11304" max="11304" width="14.44140625" style="19" bestFit="1" customWidth="1"/>
    <col min="11305" max="11305" width="11.77734375" style="19" bestFit="1" customWidth="1"/>
    <col min="11306" max="11308" width="8.88671875" style="19"/>
    <col min="11309" max="11309" width="13.44140625" style="19" bestFit="1" customWidth="1"/>
    <col min="11310" max="11520" width="8.88671875" style="19"/>
    <col min="11521" max="11521" width="5.109375" style="19" customWidth="1"/>
    <col min="11522" max="11522" width="49.33203125" style="19" customWidth="1"/>
    <col min="11523" max="11554" width="15.77734375" style="19" customWidth="1"/>
    <col min="11555" max="11556" width="10.5546875" style="19" customWidth="1"/>
    <col min="11557" max="11557" width="11" style="19" customWidth="1"/>
    <col min="11558" max="11558" width="13.109375" style="19" bestFit="1" customWidth="1"/>
    <col min="11559" max="11559" width="27.21875" style="19" customWidth="1"/>
    <col min="11560" max="11560" width="14.44140625" style="19" bestFit="1" customWidth="1"/>
    <col min="11561" max="11561" width="11.77734375" style="19" bestFit="1" customWidth="1"/>
    <col min="11562" max="11564" width="8.88671875" style="19"/>
    <col min="11565" max="11565" width="13.44140625" style="19" bestFit="1" customWidth="1"/>
    <col min="11566" max="11776" width="8.88671875" style="19"/>
    <col min="11777" max="11777" width="5.109375" style="19" customWidth="1"/>
    <col min="11778" max="11778" width="49.33203125" style="19" customWidth="1"/>
    <col min="11779" max="11810" width="15.77734375" style="19" customWidth="1"/>
    <col min="11811" max="11812" width="10.5546875" style="19" customWidth="1"/>
    <col min="11813" max="11813" width="11" style="19" customWidth="1"/>
    <col min="11814" max="11814" width="13.109375" style="19" bestFit="1" customWidth="1"/>
    <col min="11815" max="11815" width="27.21875" style="19" customWidth="1"/>
    <col min="11816" max="11816" width="14.44140625" style="19" bestFit="1" customWidth="1"/>
    <col min="11817" max="11817" width="11.77734375" style="19" bestFit="1" customWidth="1"/>
    <col min="11818" max="11820" width="8.88671875" style="19"/>
    <col min="11821" max="11821" width="13.44140625" style="19" bestFit="1" customWidth="1"/>
    <col min="11822" max="12032" width="8.88671875" style="19"/>
    <col min="12033" max="12033" width="5.109375" style="19" customWidth="1"/>
    <col min="12034" max="12034" width="49.33203125" style="19" customWidth="1"/>
    <col min="12035" max="12066" width="15.77734375" style="19" customWidth="1"/>
    <col min="12067" max="12068" width="10.5546875" style="19" customWidth="1"/>
    <col min="12069" max="12069" width="11" style="19" customWidth="1"/>
    <col min="12070" max="12070" width="13.109375" style="19" bestFit="1" customWidth="1"/>
    <col min="12071" max="12071" width="27.21875" style="19" customWidth="1"/>
    <col min="12072" max="12072" width="14.44140625" style="19" bestFit="1" customWidth="1"/>
    <col min="12073" max="12073" width="11.77734375" style="19" bestFit="1" customWidth="1"/>
    <col min="12074" max="12076" width="8.88671875" style="19"/>
    <col min="12077" max="12077" width="13.44140625" style="19" bestFit="1" customWidth="1"/>
    <col min="12078" max="12288" width="8.88671875" style="19"/>
    <col min="12289" max="12289" width="5.109375" style="19" customWidth="1"/>
    <col min="12290" max="12290" width="49.33203125" style="19" customWidth="1"/>
    <col min="12291" max="12322" width="15.77734375" style="19" customWidth="1"/>
    <col min="12323" max="12324" width="10.5546875" style="19" customWidth="1"/>
    <col min="12325" max="12325" width="11" style="19" customWidth="1"/>
    <col min="12326" max="12326" width="13.109375" style="19" bestFit="1" customWidth="1"/>
    <col min="12327" max="12327" width="27.21875" style="19" customWidth="1"/>
    <col min="12328" max="12328" width="14.44140625" style="19" bestFit="1" customWidth="1"/>
    <col min="12329" max="12329" width="11.77734375" style="19" bestFit="1" customWidth="1"/>
    <col min="12330" max="12332" width="8.88671875" style="19"/>
    <col min="12333" max="12333" width="13.44140625" style="19" bestFit="1" customWidth="1"/>
    <col min="12334" max="12544" width="8.88671875" style="19"/>
    <col min="12545" max="12545" width="5.109375" style="19" customWidth="1"/>
    <col min="12546" max="12546" width="49.33203125" style="19" customWidth="1"/>
    <col min="12547" max="12578" width="15.77734375" style="19" customWidth="1"/>
    <col min="12579" max="12580" width="10.5546875" style="19" customWidth="1"/>
    <col min="12581" max="12581" width="11" style="19" customWidth="1"/>
    <col min="12582" max="12582" width="13.109375" style="19" bestFit="1" customWidth="1"/>
    <col min="12583" max="12583" width="27.21875" style="19" customWidth="1"/>
    <col min="12584" max="12584" width="14.44140625" style="19" bestFit="1" customWidth="1"/>
    <col min="12585" max="12585" width="11.77734375" style="19" bestFit="1" customWidth="1"/>
    <col min="12586" max="12588" width="8.88671875" style="19"/>
    <col min="12589" max="12589" width="13.44140625" style="19" bestFit="1" customWidth="1"/>
    <col min="12590" max="12800" width="8.88671875" style="19"/>
    <col min="12801" max="12801" width="5.109375" style="19" customWidth="1"/>
    <col min="12802" max="12802" width="49.33203125" style="19" customWidth="1"/>
    <col min="12803" max="12834" width="15.77734375" style="19" customWidth="1"/>
    <col min="12835" max="12836" width="10.5546875" style="19" customWidth="1"/>
    <col min="12837" max="12837" width="11" style="19" customWidth="1"/>
    <col min="12838" max="12838" width="13.109375" style="19" bestFit="1" customWidth="1"/>
    <col min="12839" max="12839" width="27.21875" style="19" customWidth="1"/>
    <col min="12840" max="12840" width="14.44140625" style="19" bestFit="1" customWidth="1"/>
    <col min="12841" max="12841" width="11.77734375" style="19" bestFit="1" customWidth="1"/>
    <col min="12842" max="12844" width="8.88671875" style="19"/>
    <col min="12845" max="12845" width="13.44140625" style="19" bestFit="1" customWidth="1"/>
    <col min="12846" max="13056" width="8.88671875" style="19"/>
    <col min="13057" max="13057" width="5.109375" style="19" customWidth="1"/>
    <col min="13058" max="13058" width="49.33203125" style="19" customWidth="1"/>
    <col min="13059" max="13090" width="15.77734375" style="19" customWidth="1"/>
    <col min="13091" max="13092" width="10.5546875" style="19" customWidth="1"/>
    <col min="13093" max="13093" width="11" style="19" customWidth="1"/>
    <col min="13094" max="13094" width="13.109375" style="19" bestFit="1" customWidth="1"/>
    <col min="13095" max="13095" width="27.21875" style="19" customWidth="1"/>
    <col min="13096" max="13096" width="14.44140625" style="19" bestFit="1" customWidth="1"/>
    <col min="13097" max="13097" width="11.77734375" style="19" bestFit="1" customWidth="1"/>
    <col min="13098" max="13100" width="8.88671875" style="19"/>
    <col min="13101" max="13101" width="13.44140625" style="19" bestFit="1" customWidth="1"/>
    <col min="13102" max="13312" width="8.88671875" style="19"/>
    <col min="13313" max="13313" width="5.109375" style="19" customWidth="1"/>
    <col min="13314" max="13314" width="49.33203125" style="19" customWidth="1"/>
    <col min="13315" max="13346" width="15.77734375" style="19" customWidth="1"/>
    <col min="13347" max="13348" width="10.5546875" style="19" customWidth="1"/>
    <col min="13349" max="13349" width="11" style="19" customWidth="1"/>
    <col min="13350" max="13350" width="13.109375" style="19" bestFit="1" customWidth="1"/>
    <col min="13351" max="13351" width="27.21875" style="19" customWidth="1"/>
    <col min="13352" max="13352" width="14.44140625" style="19" bestFit="1" customWidth="1"/>
    <col min="13353" max="13353" width="11.77734375" style="19" bestFit="1" customWidth="1"/>
    <col min="13354" max="13356" width="8.88671875" style="19"/>
    <col min="13357" max="13357" width="13.44140625" style="19" bestFit="1" customWidth="1"/>
    <col min="13358" max="13568" width="8.88671875" style="19"/>
    <col min="13569" max="13569" width="5.109375" style="19" customWidth="1"/>
    <col min="13570" max="13570" width="49.33203125" style="19" customWidth="1"/>
    <col min="13571" max="13602" width="15.77734375" style="19" customWidth="1"/>
    <col min="13603" max="13604" width="10.5546875" style="19" customWidth="1"/>
    <col min="13605" max="13605" width="11" style="19" customWidth="1"/>
    <col min="13606" max="13606" width="13.109375" style="19" bestFit="1" customWidth="1"/>
    <col min="13607" max="13607" width="27.21875" style="19" customWidth="1"/>
    <col min="13608" max="13608" width="14.44140625" style="19" bestFit="1" customWidth="1"/>
    <col min="13609" max="13609" width="11.77734375" style="19" bestFit="1" customWidth="1"/>
    <col min="13610" max="13612" width="8.88671875" style="19"/>
    <col min="13613" max="13613" width="13.44140625" style="19" bestFit="1" customWidth="1"/>
    <col min="13614" max="13824" width="8.88671875" style="19"/>
    <col min="13825" max="13825" width="5.109375" style="19" customWidth="1"/>
    <col min="13826" max="13826" width="49.33203125" style="19" customWidth="1"/>
    <col min="13827" max="13858" width="15.77734375" style="19" customWidth="1"/>
    <col min="13859" max="13860" width="10.5546875" style="19" customWidth="1"/>
    <col min="13861" max="13861" width="11" style="19" customWidth="1"/>
    <col min="13862" max="13862" width="13.109375" style="19" bestFit="1" customWidth="1"/>
    <col min="13863" max="13863" width="27.21875" style="19" customWidth="1"/>
    <col min="13864" max="13864" width="14.44140625" style="19" bestFit="1" customWidth="1"/>
    <col min="13865" max="13865" width="11.77734375" style="19" bestFit="1" customWidth="1"/>
    <col min="13866" max="13868" width="8.88671875" style="19"/>
    <col min="13869" max="13869" width="13.44140625" style="19" bestFit="1" customWidth="1"/>
    <col min="13870" max="14080" width="8.88671875" style="19"/>
    <col min="14081" max="14081" width="5.109375" style="19" customWidth="1"/>
    <col min="14082" max="14082" width="49.33203125" style="19" customWidth="1"/>
    <col min="14083" max="14114" width="15.77734375" style="19" customWidth="1"/>
    <col min="14115" max="14116" width="10.5546875" style="19" customWidth="1"/>
    <col min="14117" max="14117" width="11" style="19" customWidth="1"/>
    <col min="14118" max="14118" width="13.109375" style="19" bestFit="1" customWidth="1"/>
    <col min="14119" max="14119" width="27.21875" style="19" customWidth="1"/>
    <col min="14120" max="14120" width="14.44140625" style="19" bestFit="1" customWidth="1"/>
    <col min="14121" max="14121" width="11.77734375" style="19" bestFit="1" customWidth="1"/>
    <col min="14122" max="14124" width="8.88671875" style="19"/>
    <col min="14125" max="14125" width="13.44140625" style="19" bestFit="1" customWidth="1"/>
    <col min="14126" max="14336" width="8.88671875" style="19"/>
    <col min="14337" max="14337" width="5.109375" style="19" customWidth="1"/>
    <col min="14338" max="14338" width="49.33203125" style="19" customWidth="1"/>
    <col min="14339" max="14370" width="15.77734375" style="19" customWidth="1"/>
    <col min="14371" max="14372" width="10.5546875" style="19" customWidth="1"/>
    <col min="14373" max="14373" width="11" style="19" customWidth="1"/>
    <col min="14374" max="14374" width="13.109375" style="19" bestFit="1" customWidth="1"/>
    <col min="14375" max="14375" width="27.21875" style="19" customWidth="1"/>
    <col min="14376" max="14376" width="14.44140625" style="19" bestFit="1" customWidth="1"/>
    <col min="14377" max="14377" width="11.77734375" style="19" bestFit="1" customWidth="1"/>
    <col min="14378" max="14380" width="8.88671875" style="19"/>
    <col min="14381" max="14381" width="13.44140625" style="19" bestFit="1" customWidth="1"/>
    <col min="14382" max="14592" width="8.88671875" style="19"/>
    <col min="14593" max="14593" width="5.109375" style="19" customWidth="1"/>
    <col min="14594" max="14594" width="49.33203125" style="19" customWidth="1"/>
    <col min="14595" max="14626" width="15.77734375" style="19" customWidth="1"/>
    <col min="14627" max="14628" width="10.5546875" style="19" customWidth="1"/>
    <col min="14629" max="14629" width="11" style="19" customWidth="1"/>
    <col min="14630" max="14630" width="13.109375" style="19" bestFit="1" customWidth="1"/>
    <col min="14631" max="14631" width="27.21875" style="19" customWidth="1"/>
    <col min="14632" max="14632" width="14.44140625" style="19" bestFit="1" customWidth="1"/>
    <col min="14633" max="14633" width="11.77734375" style="19" bestFit="1" customWidth="1"/>
    <col min="14634" max="14636" width="8.88671875" style="19"/>
    <col min="14637" max="14637" width="13.44140625" style="19" bestFit="1" customWidth="1"/>
    <col min="14638" max="14848" width="8.88671875" style="19"/>
    <col min="14849" max="14849" width="5.109375" style="19" customWidth="1"/>
    <col min="14850" max="14850" width="49.33203125" style="19" customWidth="1"/>
    <col min="14851" max="14882" width="15.77734375" style="19" customWidth="1"/>
    <col min="14883" max="14884" width="10.5546875" style="19" customWidth="1"/>
    <col min="14885" max="14885" width="11" style="19" customWidth="1"/>
    <col min="14886" max="14886" width="13.109375" style="19" bestFit="1" customWidth="1"/>
    <col min="14887" max="14887" width="27.21875" style="19" customWidth="1"/>
    <col min="14888" max="14888" width="14.44140625" style="19" bestFit="1" customWidth="1"/>
    <col min="14889" max="14889" width="11.77734375" style="19" bestFit="1" customWidth="1"/>
    <col min="14890" max="14892" width="8.88671875" style="19"/>
    <col min="14893" max="14893" width="13.44140625" style="19" bestFit="1" customWidth="1"/>
    <col min="14894" max="15104" width="8.88671875" style="19"/>
    <col min="15105" max="15105" width="5.109375" style="19" customWidth="1"/>
    <col min="15106" max="15106" width="49.33203125" style="19" customWidth="1"/>
    <col min="15107" max="15138" width="15.77734375" style="19" customWidth="1"/>
    <col min="15139" max="15140" width="10.5546875" style="19" customWidth="1"/>
    <col min="15141" max="15141" width="11" style="19" customWidth="1"/>
    <col min="15142" max="15142" width="13.109375" style="19" bestFit="1" customWidth="1"/>
    <col min="15143" max="15143" width="27.21875" style="19" customWidth="1"/>
    <col min="15144" max="15144" width="14.44140625" style="19" bestFit="1" customWidth="1"/>
    <col min="15145" max="15145" width="11.77734375" style="19" bestFit="1" customWidth="1"/>
    <col min="15146" max="15148" width="8.88671875" style="19"/>
    <col min="15149" max="15149" width="13.44140625" style="19" bestFit="1" customWidth="1"/>
    <col min="15150" max="15360" width="8.88671875" style="19"/>
    <col min="15361" max="15361" width="5.109375" style="19" customWidth="1"/>
    <col min="15362" max="15362" width="49.33203125" style="19" customWidth="1"/>
    <col min="15363" max="15394" width="15.77734375" style="19" customWidth="1"/>
    <col min="15395" max="15396" width="10.5546875" style="19" customWidth="1"/>
    <col min="15397" max="15397" width="11" style="19" customWidth="1"/>
    <col min="15398" max="15398" width="13.109375" style="19" bestFit="1" customWidth="1"/>
    <col min="15399" max="15399" width="27.21875" style="19" customWidth="1"/>
    <col min="15400" max="15400" width="14.44140625" style="19" bestFit="1" customWidth="1"/>
    <col min="15401" max="15401" width="11.77734375" style="19" bestFit="1" customWidth="1"/>
    <col min="15402" max="15404" width="8.88671875" style="19"/>
    <col min="15405" max="15405" width="13.44140625" style="19" bestFit="1" customWidth="1"/>
    <col min="15406" max="15616" width="8.88671875" style="19"/>
    <col min="15617" max="15617" width="5.109375" style="19" customWidth="1"/>
    <col min="15618" max="15618" width="49.33203125" style="19" customWidth="1"/>
    <col min="15619" max="15650" width="15.77734375" style="19" customWidth="1"/>
    <col min="15651" max="15652" width="10.5546875" style="19" customWidth="1"/>
    <col min="15653" max="15653" width="11" style="19" customWidth="1"/>
    <col min="15654" max="15654" width="13.109375" style="19" bestFit="1" customWidth="1"/>
    <col min="15655" max="15655" width="27.21875" style="19" customWidth="1"/>
    <col min="15656" max="15656" width="14.44140625" style="19" bestFit="1" customWidth="1"/>
    <col min="15657" max="15657" width="11.77734375" style="19" bestFit="1" customWidth="1"/>
    <col min="15658" max="15660" width="8.88671875" style="19"/>
    <col min="15661" max="15661" width="13.44140625" style="19" bestFit="1" customWidth="1"/>
    <col min="15662" max="15872" width="8.88671875" style="19"/>
    <col min="15873" max="15873" width="5.109375" style="19" customWidth="1"/>
    <col min="15874" max="15874" width="49.33203125" style="19" customWidth="1"/>
    <col min="15875" max="15906" width="15.77734375" style="19" customWidth="1"/>
    <col min="15907" max="15908" width="10.5546875" style="19" customWidth="1"/>
    <col min="15909" max="15909" width="11" style="19" customWidth="1"/>
    <col min="15910" max="15910" width="13.109375" style="19" bestFit="1" customWidth="1"/>
    <col min="15911" max="15911" width="27.21875" style="19" customWidth="1"/>
    <col min="15912" max="15912" width="14.44140625" style="19" bestFit="1" customWidth="1"/>
    <col min="15913" max="15913" width="11.77734375" style="19" bestFit="1" customWidth="1"/>
    <col min="15914" max="15916" width="8.88671875" style="19"/>
    <col min="15917" max="15917" width="13.44140625" style="19" bestFit="1" customWidth="1"/>
    <col min="15918" max="16128" width="8.88671875" style="19"/>
    <col min="16129" max="16129" width="5.109375" style="19" customWidth="1"/>
    <col min="16130" max="16130" width="49.33203125" style="19" customWidth="1"/>
    <col min="16131" max="16162" width="15.77734375" style="19" customWidth="1"/>
    <col min="16163" max="16164" width="10.5546875" style="19" customWidth="1"/>
    <col min="16165" max="16165" width="11" style="19" customWidth="1"/>
    <col min="16166" max="16166" width="13.109375" style="19" bestFit="1" customWidth="1"/>
    <col min="16167" max="16167" width="27.21875" style="19" customWidth="1"/>
    <col min="16168" max="16168" width="14.44140625" style="19" bestFit="1" customWidth="1"/>
    <col min="16169" max="16169" width="11.77734375" style="19" bestFit="1" customWidth="1"/>
    <col min="16170" max="16172" width="8.88671875" style="19"/>
    <col min="16173" max="16173" width="13.44140625" style="19" bestFit="1" customWidth="1"/>
    <col min="16174" max="16384" width="8.88671875" style="19"/>
  </cols>
  <sheetData>
    <row r="1" spans="1:41" ht="15.75" customHeight="1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41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41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1"/>
      <c r="AH3" s="122" t="s">
        <v>18</v>
      </c>
      <c r="AI3" s="20"/>
      <c r="AJ3" s="20"/>
      <c r="AK3" s="21"/>
      <c r="AL3" s="22"/>
      <c r="AM3" s="23" t="s">
        <v>0</v>
      </c>
      <c r="AN3" s="24"/>
      <c r="AO3" s="24"/>
    </row>
    <row r="4" spans="1:41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26">
        <v>31</v>
      </c>
      <c r="AH4" s="122"/>
      <c r="AI4" s="27"/>
      <c r="AJ4" s="27"/>
      <c r="AK4" s="14"/>
      <c r="AL4" s="28"/>
      <c r="AM4" s="23" t="s">
        <v>19</v>
      </c>
      <c r="AN4" s="29"/>
      <c r="AO4" s="30"/>
    </row>
    <row r="5" spans="1:41" s="25" customFormat="1" ht="18" customHeight="1" x14ac:dyDescent="0.2">
      <c r="A5" s="31">
        <v>1</v>
      </c>
      <c r="B5" s="32" t="s">
        <v>2</v>
      </c>
      <c r="C5" s="32">
        <v>4360000</v>
      </c>
      <c r="D5" s="33"/>
      <c r="E5" s="32">
        <v>488000</v>
      </c>
      <c r="F5" s="34">
        <v>828000</v>
      </c>
      <c r="G5" s="34">
        <v>324000</v>
      </c>
      <c r="H5" s="32">
        <v>240000</v>
      </c>
      <c r="I5" s="32">
        <v>2492000</v>
      </c>
      <c r="J5" s="32">
        <v>1780000</v>
      </c>
      <c r="K5" s="33"/>
      <c r="L5" s="32">
        <v>796000</v>
      </c>
      <c r="M5" s="32">
        <v>992000</v>
      </c>
      <c r="N5" s="32">
        <v>944000</v>
      </c>
      <c r="O5" s="32">
        <v>836000</v>
      </c>
      <c r="P5" s="32">
        <v>3128000</v>
      </c>
      <c r="Q5" s="32">
        <v>3780000</v>
      </c>
      <c r="R5" s="33"/>
      <c r="S5" s="32">
        <v>2292000</v>
      </c>
      <c r="T5" s="32">
        <v>3296000</v>
      </c>
      <c r="U5" s="32">
        <v>7552000</v>
      </c>
      <c r="V5" s="32">
        <v>6112000</v>
      </c>
      <c r="W5" s="112"/>
      <c r="X5" s="32">
        <v>65300000</v>
      </c>
      <c r="Y5" s="32">
        <v>56216000</v>
      </c>
      <c r="Z5" s="32">
        <v>48240000</v>
      </c>
      <c r="AA5" s="32">
        <v>38252000</v>
      </c>
      <c r="AB5" s="32">
        <v>26124000</v>
      </c>
      <c r="AC5" s="32">
        <v>19300000</v>
      </c>
      <c r="AD5" s="32">
        <v>35668000</v>
      </c>
      <c r="AE5" s="32">
        <v>40856000</v>
      </c>
      <c r="AF5" s="33"/>
      <c r="AG5" s="32">
        <v>10976000</v>
      </c>
      <c r="AH5" s="35">
        <f>SUM(C5:AG5)</f>
        <v>381172000</v>
      </c>
      <c r="AI5" s="107">
        <f>AH5/4000</f>
        <v>95293</v>
      </c>
      <c r="AJ5" s="109">
        <v>177844000</v>
      </c>
      <c r="AK5" s="111">
        <f>AH5+AJ5</f>
        <v>559016000</v>
      </c>
      <c r="AL5" s="38"/>
      <c r="AM5" s="3" t="s">
        <v>2</v>
      </c>
      <c r="AN5" s="39">
        <f t="shared" ref="AN5:AN23" si="0">AH5</f>
        <v>381172000</v>
      </c>
      <c r="AO5" s="30"/>
    </row>
    <row r="6" spans="1:41" s="25" customFormat="1" ht="18" customHeight="1" x14ac:dyDescent="0.2">
      <c r="A6" s="40">
        <v>2</v>
      </c>
      <c r="B6" s="41" t="s">
        <v>3</v>
      </c>
      <c r="C6" s="41">
        <v>774000</v>
      </c>
      <c r="D6" s="42"/>
      <c r="E6" s="41">
        <v>39000</v>
      </c>
      <c r="F6" s="41">
        <v>111000</v>
      </c>
      <c r="G6" s="41">
        <v>27000</v>
      </c>
      <c r="H6" s="41">
        <v>15000</v>
      </c>
      <c r="I6" s="41">
        <v>384000</v>
      </c>
      <c r="J6" s="41">
        <v>321000</v>
      </c>
      <c r="K6" s="42"/>
      <c r="L6" s="41">
        <v>81000</v>
      </c>
      <c r="M6" s="41">
        <v>120000</v>
      </c>
      <c r="N6" s="41">
        <v>99000</v>
      </c>
      <c r="O6" s="41">
        <v>96000</v>
      </c>
      <c r="P6" s="41">
        <f>1104000+537000</f>
        <v>1641000</v>
      </c>
      <c r="Q6" s="41">
        <v>690000</v>
      </c>
      <c r="R6" s="42"/>
      <c r="S6" s="41">
        <v>552000</v>
      </c>
      <c r="T6" s="41">
        <v>777000</v>
      </c>
      <c r="U6" s="41">
        <v>1728000</v>
      </c>
      <c r="V6" s="41">
        <v>1368000</v>
      </c>
      <c r="W6" s="113"/>
      <c r="X6" s="41">
        <v>17430000</v>
      </c>
      <c r="Y6" s="41">
        <v>16911000</v>
      </c>
      <c r="Z6" s="41">
        <v>15021000</v>
      </c>
      <c r="AA6" s="41">
        <v>11619000</v>
      </c>
      <c r="AB6" s="41">
        <v>8235000</v>
      </c>
      <c r="AC6" s="41">
        <v>6114000</v>
      </c>
      <c r="AD6" s="41">
        <v>10782000</v>
      </c>
      <c r="AE6" s="41">
        <v>11331000</v>
      </c>
      <c r="AF6" s="42"/>
      <c r="AG6" s="41">
        <v>2568000</v>
      </c>
      <c r="AH6" s="84">
        <f t="shared" ref="AH6:AH22" si="1">SUM(C6:AG6)</f>
        <v>108834000</v>
      </c>
      <c r="AI6" s="107">
        <f>AH6/3000</f>
        <v>36278</v>
      </c>
      <c r="AJ6" s="109">
        <v>38136000</v>
      </c>
      <c r="AK6" s="111">
        <f t="shared" ref="AK6:AK22" si="2">AH6+AJ6</f>
        <v>146970000</v>
      </c>
      <c r="AL6" s="38"/>
      <c r="AM6" s="3" t="s">
        <v>3</v>
      </c>
      <c r="AN6" s="39">
        <f t="shared" si="0"/>
        <v>108834000</v>
      </c>
      <c r="AO6" s="30"/>
    </row>
    <row r="7" spans="1:41" s="25" customFormat="1" ht="18" customHeight="1" x14ac:dyDescent="0.2">
      <c r="A7" s="40">
        <v>3</v>
      </c>
      <c r="B7" s="41" t="s">
        <v>4</v>
      </c>
      <c r="C7" s="41"/>
      <c r="D7" s="42"/>
      <c r="E7" s="41"/>
      <c r="F7" s="41"/>
      <c r="G7" s="41"/>
      <c r="H7" s="41"/>
      <c r="I7" s="41"/>
      <c r="J7" s="41"/>
      <c r="K7" s="42"/>
      <c r="L7" s="41"/>
      <c r="M7" s="41"/>
      <c r="N7" s="41"/>
      <c r="O7" s="41"/>
      <c r="P7" s="41"/>
      <c r="Q7" s="41"/>
      <c r="R7" s="42"/>
      <c r="S7" s="41"/>
      <c r="T7" s="41"/>
      <c r="U7" s="41"/>
      <c r="V7" s="41"/>
      <c r="W7" s="113"/>
      <c r="X7" s="41"/>
      <c r="Y7" s="41"/>
      <c r="Z7" s="41"/>
      <c r="AA7" s="41"/>
      <c r="AB7" s="41"/>
      <c r="AC7" s="41"/>
      <c r="AD7" s="41"/>
      <c r="AE7" s="41"/>
      <c r="AF7" s="42"/>
      <c r="AG7" s="41"/>
      <c r="AH7" s="84">
        <f t="shared" si="1"/>
        <v>0</v>
      </c>
      <c r="AI7" s="107">
        <f>AH7/3000</f>
        <v>0</v>
      </c>
      <c r="AJ7" s="109"/>
      <c r="AK7" s="111">
        <f t="shared" si="2"/>
        <v>0</v>
      </c>
      <c r="AL7" s="38"/>
      <c r="AM7" s="3" t="s">
        <v>4</v>
      </c>
      <c r="AN7" s="39">
        <f t="shared" si="0"/>
        <v>0</v>
      </c>
      <c r="AO7" s="30"/>
    </row>
    <row r="8" spans="1:41" s="25" customFormat="1" ht="18" customHeight="1" x14ac:dyDescent="0.2">
      <c r="A8" s="40">
        <v>4</v>
      </c>
      <c r="B8" s="41" t="s">
        <v>5</v>
      </c>
      <c r="C8" s="41"/>
      <c r="D8" s="42"/>
      <c r="E8" s="41"/>
      <c r="F8" s="41"/>
      <c r="G8" s="41"/>
      <c r="H8" s="41"/>
      <c r="I8" s="41"/>
      <c r="J8" s="41"/>
      <c r="K8" s="42"/>
      <c r="L8" s="41"/>
      <c r="M8" s="41"/>
      <c r="N8" s="41"/>
      <c r="O8" s="41"/>
      <c r="P8" s="41"/>
      <c r="Q8" s="41"/>
      <c r="R8" s="42"/>
      <c r="S8" s="41"/>
      <c r="T8" s="41"/>
      <c r="U8" s="41"/>
      <c r="V8" s="41"/>
      <c r="W8" s="113"/>
      <c r="X8" s="41"/>
      <c r="Y8" s="41"/>
      <c r="Z8" s="41"/>
      <c r="AA8" s="41"/>
      <c r="AB8" s="41"/>
      <c r="AC8" s="41"/>
      <c r="AD8" s="41"/>
      <c r="AE8" s="41"/>
      <c r="AF8" s="42"/>
      <c r="AG8" s="41"/>
      <c r="AH8" s="84">
        <f t="shared" si="1"/>
        <v>0</v>
      </c>
      <c r="AI8" s="107">
        <f>AH8/2250</f>
        <v>0</v>
      </c>
      <c r="AJ8" s="109"/>
      <c r="AK8" s="111">
        <f t="shared" si="2"/>
        <v>0</v>
      </c>
      <c r="AL8" s="38"/>
      <c r="AM8" s="3" t="s">
        <v>5</v>
      </c>
      <c r="AN8" s="39">
        <f t="shared" si="0"/>
        <v>0</v>
      </c>
      <c r="AO8" s="30"/>
    </row>
    <row r="9" spans="1:41" s="25" customFormat="1" ht="18" customHeight="1" x14ac:dyDescent="0.2">
      <c r="A9" s="40">
        <v>5</v>
      </c>
      <c r="B9" s="43" t="s">
        <v>20</v>
      </c>
      <c r="C9" s="41">
        <v>47500</v>
      </c>
      <c r="D9" s="42"/>
      <c r="E9" s="41">
        <v>7500</v>
      </c>
      <c r="F9" s="41"/>
      <c r="G9" s="41"/>
      <c r="H9" s="41">
        <v>5000</v>
      </c>
      <c r="I9" s="41">
        <v>22500</v>
      </c>
      <c r="J9" s="41">
        <v>25000</v>
      </c>
      <c r="K9" s="42"/>
      <c r="L9" s="41">
        <v>2500</v>
      </c>
      <c r="M9" s="41">
        <v>5000</v>
      </c>
      <c r="N9" s="41">
        <v>10000</v>
      </c>
      <c r="O9" s="41">
        <v>2500</v>
      </c>
      <c r="P9" s="41">
        <v>50000</v>
      </c>
      <c r="Q9" s="41">
        <v>42500</v>
      </c>
      <c r="R9" s="42"/>
      <c r="S9" s="41"/>
      <c r="T9" s="41">
        <v>70000</v>
      </c>
      <c r="U9" s="41">
        <v>70000</v>
      </c>
      <c r="V9" s="41">
        <v>30000</v>
      </c>
      <c r="W9" s="113"/>
      <c r="X9" s="41">
        <v>1777500</v>
      </c>
      <c r="Y9" s="41">
        <v>1617500</v>
      </c>
      <c r="Z9" s="41">
        <v>1387500</v>
      </c>
      <c r="AA9" s="41">
        <v>625000</v>
      </c>
      <c r="AB9" s="41">
        <v>465000</v>
      </c>
      <c r="AC9" s="41">
        <v>375000</v>
      </c>
      <c r="AD9" s="41">
        <v>867500</v>
      </c>
      <c r="AE9" s="41">
        <v>1075000</v>
      </c>
      <c r="AF9" s="42"/>
      <c r="AG9" s="41">
        <v>75000</v>
      </c>
      <c r="AH9" s="84">
        <f t="shared" si="1"/>
        <v>8655000</v>
      </c>
      <c r="AI9" s="107">
        <f>AH9/2500</f>
        <v>3462</v>
      </c>
      <c r="AJ9" s="109">
        <v>21555000</v>
      </c>
      <c r="AK9" s="111">
        <f t="shared" si="2"/>
        <v>30210000</v>
      </c>
      <c r="AL9" s="38"/>
      <c r="AM9" s="3"/>
      <c r="AN9" s="39"/>
      <c r="AO9" s="30"/>
    </row>
    <row r="10" spans="1:41" s="25" customFormat="1" ht="18" customHeight="1" x14ac:dyDescent="0.2">
      <c r="A10" s="40">
        <v>6</v>
      </c>
      <c r="B10" s="44" t="s">
        <v>21</v>
      </c>
      <c r="C10" s="44"/>
      <c r="D10" s="42"/>
      <c r="E10" s="44">
        <v>12000</v>
      </c>
      <c r="F10" s="44">
        <v>42000</v>
      </c>
      <c r="G10" s="44">
        <v>18000</v>
      </c>
      <c r="H10" s="44">
        <v>12000</v>
      </c>
      <c r="I10" s="44"/>
      <c r="J10" s="44"/>
      <c r="K10" s="42"/>
      <c r="L10" s="44">
        <v>42000</v>
      </c>
      <c r="M10" s="44">
        <v>36000</v>
      </c>
      <c r="N10" s="44">
        <v>84000</v>
      </c>
      <c r="O10" s="45">
        <v>54000</v>
      </c>
      <c r="P10" s="44"/>
      <c r="Q10" s="44"/>
      <c r="R10" s="42"/>
      <c r="S10" s="44">
        <v>138000</v>
      </c>
      <c r="T10" s="44"/>
      <c r="U10" s="44"/>
      <c r="V10" s="44"/>
      <c r="W10" s="113"/>
      <c r="X10" s="44"/>
      <c r="Y10" s="44"/>
      <c r="Z10" s="44"/>
      <c r="AA10" s="44">
        <v>9210000</v>
      </c>
      <c r="AB10" s="44">
        <v>6972000</v>
      </c>
      <c r="AC10" s="44">
        <v>4242000</v>
      </c>
      <c r="AD10" s="44"/>
      <c r="AE10" s="44"/>
      <c r="AF10" s="42"/>
      <c r="AG10" s="44">
        <v>390000</v>
      </c>
      <c r="AH10" s="84">
        <f t="shared" si="1"/>
        <v>21252000</v>
      </c>
      <c r="AI10" s="107">
        <f>AH10/6000</f>
        <v>3542</v>
      </c>
      <c r="AJ10" s="109">
        <v>19644000</v>
      </c>
      <c r="AK10" s="111">
        <f t="shared" si="2"/>
        <v>40896000</v>
      </c>
      <c r="AL10" s="38"/>
      <c r="AM10" s="3" t="s">
        <v>10</v>
      </c>
      <c r="AN10" s="39">
        <f t="shared" si="0"/>
        <v>21252000</v>
      </c>
      <c r="AO10" s="30"/>
    </row>
    <row r="11" spans="1:41" s="50" customFormat="1" ht="18" customHeight="1" x14ac:dyDescent="0.2">
      <c r="A11" s="40">
        <v>7</v>
      </c>
      <c r="B11" s="44" t="s">
        <v>22</v>
      </c>
      <c r="C11" s="44"/>
      <c r="D11" s="42"/>
      <c r="E11" s="44">
        <v>18000</v>
      </c>
      <c r="F11" s="46">
        <v>30000</v>
      </c>
      <c r="G11" s="46"/>
      <c r="H11" s="44">
        <v>12000</v>
      </c>
      <c r="I11" s="44"/>
      <c r="J11" s="44"/>
      <c r="K11" s="42"/>
      <c r="L11" s="44">
        <v>24000</v>
      </c>
      <c r="M11" s="44"/>
      <c r="N11" s="44">
        <v>60000</v>
      </c>
      <c r="O11" s="45">
        <v>24000</v>
      </c>
      <c r="P11" s="44"/>
      <c r="Q11" s="44"/>
      <c r="R11" s="42"/>
      <c r="S11" s="44">
        <v>54000</v>
      </c>
      <c r="T11" s="44"/>
      <c r="U11" s="44"/>
      <c r="V11" s="44"/>
      <c r="W11" s="113"/>
      <c r="X11" s="44"/>
      <c r="Y11" s="44"/>
      <c r="Z11" s="44"/>
      <c r="AA11" s="44">
        <v>6972000</v>
      </c>
      <c r="AB11" s="44">
        <v>5298000</v>
      </c>
      <c r="AC11" s="44">
        <v>3210000</v>
      </c>
      <c r="AD11" s="44"/>
      <c r="AE11" s="44"/>
      <c r="AF11" s="42"/>
      <c r="AG11" s="44">
        <v>168000</v>
      </c>
      <c r="AH11" s="84">
        <f t="shared" si="1"/>
        <v>15870000</v>
      </c>
      <c r="AI11" s="107">
        <f>AH11/6000</f>
        <v>2645</v>
      </c>
      <c r="AJ11" s="109">
        <v>5784000</v>
      </c>
      <c r="AK11" s="111">
        <f t="shared" si="2"/>
        <v>21654000</v>
      </c>
      <c r="AL11" s="47"/>
      <c r="AM11" s="48" t="s">
        <v>23</v>
      </c>
      <c r="AN11" s="39">
        <f t="shared" si="0"/>
        <v>15870000</v>
      </c>
      <c r="AO11" s="49"/>
    </row>
    <row r="12" spans="1:41" s="50" customFormat="1" ht="18" customHeight="1" x14ac:dyDescent="0.2">
      <c r="A12" s="40">
        <v>8</v>
      </c>
      <c r="B12" s="44" t="s">
        <v>24</v>
      </c>
      <c r="C12" s="44"/>
      <c r="D12" s="42"/>
      <c r="E12" s="51"/>
      <c r="F12" s="44"/>
      <c r="G12" s="44"/>
      <c r="H12" s="44"/>
      <c r="I12" s="44"/>
      <c r="J12" s="44"/>
      <c r="K12" s="42"/>
      <c r="L12" s="44"/>
      <c r="M12" s="44"/>
      <c r="N12" s="44"/>
      <c r="O12" s="45"/>
      <c r="P12" s="44"/>
      <c r="Q12" s="44"/>
      <c r="R12" s="42"/>
      <c r="S12" s="44"/>
      <c r="T12" s="44"/>
      <c r="U12" s="44"/>
      <c r="V12" s="44"/>
      <c r="W12" s="113"/>
      <c r="X12" s="44"/>
      <c r="Y12" s="44"/>
      <c r="Z12" s="44"/>
      <c r="AA12" s="44"/>
      <c r="AB12" s="44"/>
      <c r="AC12" s="44"/>
      <c r="AD12" s="44"/>
      <c r="AE12" s="44"/>
      <c r="AF12" s="42"/>
      <c r="AG12" s="44"/>
      <c r="AH12" s="84">
        <f t="shared" si="1"/>
        <v>0</v>
      </c>
      <c r="AI12" s="107">
        <f>AH12/4500</f>
        <v>0</v>
      </c>
      <c r="AJ12" s="109"/>
      <c r="AK12" s="111">
        <f t="shared" si="2"/>
        <v>0</v>
      </c>
      <c r="AL12" s="47"/>
      <c r="AM12" s="48" t="s">
        <v>25</v>
      </c>
      <c r="AN12" s="39">
        <f t="shared" si="0"/>
        <v>0</v>
      </c>
      <c r="AO12" s="49"/>
    </row>
    <row r="13" spans="1:41" s="50" customFormat="1" ht="18" customHeight="1" x14ac:dyDescent="0.2">
      <c r="A13" s="40">
        <v>9</v>
      </c>
      <c r="B13" s="44" t="s">
        <v>26</v>
      </c>
      <c r="C13" s="44"/>
      <c r="D13" s="42"/>
      <c r="E13" s="44"/>
      <c r="F13" s="44"/>
      <c r="G13" s="44"/>
      <c r="H13" s="44"/>
      <c r="I13" s="44"/>
      <c r="J13" s="44"/>
      <c r="K13" s="42"/>
      <c r="L13" s="44"/>
      <c r="M13" s="44"/>
      <c r="N13" s="44"/>
      <c r="O13" s="45"/>
      <c r="P13" s="44"/>
      <c r="Q13" s="44"/>
      <c r="R13" s="42"/>
      <c r="S13" s="44"/>
      <c r="T13" s="44"/>
      <c r="U13" s="44"/>
      <c r="V13" s="44"/>
      <c r="W13" s="113"/>
      <c r="X13" s="44"/>
      <c r="Y13" s="44"/>
      <c r="Z13" s="44"/>
      <c r="AA13" s="44"/>
      <c r="AB13" s="44"/>
      <c r="AC13" s="44"/>
      <c r="AD13" s="44"/>
      <c r="AE13" s="44"/>
      <c r="AF13" s="42"/>
      <c r="AG13" s="44"/>
      <c r="AH13" s="84">
        <f t="shared" si="1"/>
        <v>0</v>
      </c>
      <c r="AI13" s="107">
        <f>AH13/4500</f>
        <v>0</v>
      </c>
      <c r="AJ13" s="109"/>
      <c r="AK13" s="111">
        <f t="shared" si="2"/>
        <v>0</v>
      </c>
      <c r="AL13" s="47"/>
      <c r="AM13" s="48" t="s">
        <v>27</v>
      </c>
      <c r="AN13" s="39">
        <f t="shared" si="0"/>
        <v>0</v>
      </c>
      <c r="AO13" s="49"/>
    </row>
    <row r="14" spans="1:41" s="50" customFormat="1" ht="18" customHeight="1" x14ac:dyDescent="0.2">
      <c r="A14" s="40">
        <v>10</v>
      </c>
      <c r="B14" s="52" t="s">
        <v>28</v>
      </c>
      <c r="C14" s="52">
        <v>210000</v>
      </c>
      <c r="D14" s="42"/>
      <c r="E14" s="52"/>
      <c r="F14" s="52"/>
      <c r="G14" s="52"/>
      <c r="H14" s="52"/>
      <c r="I14" s="52">
        <v>150000</v>
      </c>
      <c r="J14" s="52">
        <v>60000</v>
      </c>
      <c r="K14" s="42"/>
      <c r="L14" s="52"/>
      <c r="M14" s="52"/>
      <c r="N14" s="52"/>
      <c r="O14" s="53"/>
      <c r="P14" s="52">
        <v>202500</v>
      </c>
      <c r="Q14" s="52">
        <v>232500</v>
      </c>
      <c r="R14" s="42"/>
      <c r="S14" s="52"/>
      <c r="T14" s="52">
        <v>352500</v>
      </c>
      <c r="U14" s="52">
        <v>510000</v>
      </c>
      <c r="V14" s="52">
        <v>307500</v>
      </c>
      <c r="W14" s="113"/>
      <c r="X14" s="52">
        <v>24862500</v>
      </c>
      <c r="Y14" s="52">
        <v>20827500</v>
      </c>
      <c r="Z14" s="52">
        <v>16342500</v>
      </c>
      <c r="AA14" s="52">
        <v>127500</v>
      </c>
      <c r="AB14" s="52"/>
      <c r="AC14" s="52"/>
      <c r="AD14" s="52">
        <v>12382500</v>
      </c>
      <c r="AE14" s="52">
        <v>14017500</v>
      </c>
      <c r="AF14" s="42"/>
      <c r="AG14" s="52"/>
      <c r="AH14" s="84">
        <f t="shared" si="1"/>
        <v>90585000</v>
      </c>
      <c r="AI14" s="107">
        <f>AH14/7500</f>
        <v>12078</v>
      </c>
      <c r="AJ14" s="109">
        <v>73042500</v>
      </c>
      <c r="AK14" s="111">
        <f t="shared" si="2"/>
        <v>163627500</v>
      </c>
      <c r="AL14" s="47"/>
      <c r="AM14" s="48" t="s">
        <v>29</v>
      </c>
      <c r="AN14" s="39">
        <f t="shared" si="0"/>
        <v>90585000</v>
      </c>
      <c r="AO14" s="49"/>
    </row>
    <row r="15" spans="1:41" s="11" customFormat="1" ht="18" customHeight="1" x14ac:dyDescent="0.2">
      <c r="A15" s="40">
        <v>11</v>
      </c>
      <c r="B15" s="52" t="s">
        <v>30</v>
      </c>
      <c r="C15" s="52">
        <v>225000</v>
      </c>
      <c r="D15" s="42"/>
      <c r="E15" s="52"/>
      <c r="F15" s="52"/>
      <c r="G15" s="52"/>
      <c r="H15" s="52"/>
      <c r="I15" s="52">
        <v>37500</v>
      </c>
      <c r="J15" s="52">
        <v>7500</v>
      </c>
      <c r="K15" s="42"/>
      <c r="L15" s="52"/>
      <c r="M15" s="52"/>
      <c r="N15" s="52"/>
      <c r="O15" s="53"/>
      <c r="P15" s="52">
        <v>210000</v>
      </c>
      <c r="Q15" s="52">
        <v>82500</v>
      </c>
      <c r="R15" s="42"/>
      <c r="S15" s="52"/>
      <c r="T15" s="52">
        <v>202500</v>
      </c>
      <c r="U15" s="52">
        <v>427500</v>
      </c>
      <c r="V15" s="52">
        <v>187500</v>
      </c>
      <c r="W15" s="113"/>
      <c r="X15" s="52">
        <v>18675000</v>
      </c>
      <c r="Y15" s="52">
        <v>16432500</v>
      </c>
      <c r="Z15" s="52">
        <v>12577500</v>
      </c>
      <c r="AA15" s="52">
        <v>82500</v>
      </c>
      <c r="AB15" s="52"/>
      <c r="AC15" s="52"/>
      <c r="AD15" s="52">
        <v>8760000</v>
      </c>
      <c r="AE15" s="52">
        <v>9592500</v>
      </c>
      <c r="AF15" s="42"/>
      <c r="AG15" s="52"/>
      <c r="AH15" s="84">
        <f t="shared" si="1"/>
        <v>67500000</v>
      </c>
      <c r="AI15" s="107">
        <f>AH15/7500</f>
        <v>9000</v>
      </c>
      <c r="AJ15" s="109">
        <v>20887500</v>
      </c>
      <c r="AK15" s="111">
        <f t="shared" si="2"/>
        <v>88387500</v>
      </c>
      <c r="AL15" s="38"/>
      <c r="AM15" s="54" t="s">
        <v>21</v>
      </c>
      <c r="AN15" s="39">
        <f t="shared" si="0"/>
        <v>67500000</v>
      </c>
      <c r="AO15" s="29"/>
    </row>
    <row r="16" spans="1:41" s="11" customFormat="1" ht="18" customHeight="1" x14ac:dyDescent="0.2">
      <c r="A16" s="40">
        <v>12</v>
      </c>
      <c r="B16" s="55" t="s">
        <v>31</v>
      </c>
      <c r="C16" s="52"/>
      <c r="D16" s="42"/>
      <c r="E16" s="52"/>
      <c r="F16" s="52"/>
      <c r="G16" s="52"/>
      <c r="H16" s="52"/>
      <c r="I16" s="52"/>
      <c r="J16" s="52"/>
      <c r="K16" s="42"/>
      <c r="L16" s="52"/>
      <c r="M16" s="52"/>
      <c r="N16" s="52"/>
      <c r="O16" s="56"/>
      <c r="P16" s="52"/>
      <c r="Q16" s="52"/>
      <c r="R16" s="42"/>
      <c r="S16" s="52"/>
      <c r="T16" s="52"/>
      <c r="U16" s="52"/>
      <c r="V16" s="52"/>
      <c r="W16" s="113"/>
      <c r="X16" s="52"/>
      <c r="Y16" s="52"/>
      <c r="Z16" s="52"/>
      <c r="AA16" s="52" t="s">
        <v>54</v>
      </c>
      <c r="AB16" s="52"/>
      <c r="AC16" s="52"/>
      <c r="AD16" s="52"/>
      <c r="AE16" s="52"/>
      <c r="AF16" s="42"/>
      <c r="AG16" s="52"/>
      <c r="AH16" s="84">
        <f t="shared" si="1"/>
        <v>0</v>
      </c>
      <c r="AI16" s="107">
        <f>AH16/5625</f>
        <v>0</v>
      </c>
      <c r="AJ16" s="109"/>
      <c r="AK16" s="111">
        <f t="shared" si="2"/>
        <v>0</v>
      </c>
      <c r="AL16" s="38"/>
      <c r="AM16" s="54" t="s">
        <v>22</v>
      </c>
      <c r="AN16" s="39">
        <f t="shared" si="0"/>
        <v>0</v>
      </c>
      <c r="AO16" s="29"/>
    </row>
    <row r="17" spans="1:41" s="11" customFormat="1" ht="18" customHeight="1" x14ac:dyDescent="0.2">
      <c r="A17" s="40">
        <v>13</v>
      </c>
      <c r="B17" s="52" t="s">
        <v>32</v>
      </c>
      <c r="C17" s="52"/>
      <c r="D17" s="42"/>
      <c r="E17" s="52"/>
      <c r="F17" s="52"/>
      <c r="G17" s="52"/>
      <c r="H17" s="52"/>
      <c r="I17" s="52"/>
      <c r="J17" s="52"/>
      <c r="K17" s="42"/>
      <c r="L17" s="52"/>
      <c r="M17" s="52"/>
      <c r="N17" s="52"/>
      <c r="O17" s="56"/>
      <c r="P17" s="52"/>
      <c r="Q17" s="52"/>
      <c r="R17" s="42"/>
      <c r="S17" s="52"/>
      <c r="T17" s="52"/>
      <c r="U17" s="52"/>
      <c r="V17" s="52"/>
      <c r="W17" s="113"/>
      <c r="X17" s="52"/>
      <c r="Y17" s="52"/>
      <c r="Z17" s="52"/>
      <c r="AA17" s="52"/>
      <c r="AB17" s="52"/>
      <c r="AC17" s="52"/>
      <c r="AD17" s="52"/>
      <c r="AE17" s="52"/>
      <c r="AF17" s="42"/>
      <c r="AG17" s="52"/>
      <c r="AH17" s="84">
        <f t="shared" si="1"/>
        <v>0</v>
      </c>
      <c r="AI17" s="107">
        <f>AH17/5625</f>
        <v>0</v>
      </c>
      <c r="AJ17" s="109"/>
      <c r="AK17" s="111">
        <f t="shared" si="2"/>
        <v>0</v>
      </c>
      <c r="AL17" s="38"/>
      <c r="AM17" s="54" t="s">
        <v>24</v>
      </c>
      <c r="AN17" s="39">
        <f t="shared" si="0"/>
        <v>0</v>
      </c>
      <c r="AO17" s="29"/>
    </row>
    <row r="18" spans="1:41" s="11" customFormat="1" ht="18" customHeight="1" x14ac:dyDescent="0.2">
      <c r="A18" s="40">
        <v>14</v>
      </c>
      <c r="B18" s="41" t="s">
        <v>6</v>
      </c>
      <c r="C18" s="41"/>
      <c r="D18" s="42"/>
      <c r="E18" s="41"/>
      <c r="F18" s="41"/>
      <c r="G18" s="41"/>
      <c r="H18" s="41"/>
      <c r="I18" s="41"/>
      <c r="J18" s="41"/>
      <c r="K18" s="42"/>
      <c r="L18" s="41"/>
      <c r="M18" s="41"/>
      <c r="N18" s="41"/>
      <c r="O18" s="57"/>
      <c r="P18" s="41"/>
      <c r="Q18" s="41"/>
      <c r="R18" s="42"/>
      <c r="S18" s="41"/>
      <c r="T18" s="41"/>
      <c r="U18" s="41"/>
      <c r="V18" s="41"/>
      <c r="W18" s="113"/>
      <c r="X18" s="41"/>
      <c r="Y18" s="41"/>
      <c r="Z18" s="41"/>
      <c r="AA18" s="41"/>
      <c r="AB18" s="41"/>
      <c r="AC18" s="41"/>
      <c r="AD18" s="41"/>
      <c r="AE18" s="41"/>
      <c r="AF18" s="42"/>
      <c r="AG18" s="41"/>
      <c r="AH18" s="84">
        <f t="shared" si="1"/>
        <v>0</v>
      </c>
      <c r="AI18" s="107">
        <f>AH18/15000</f>
        <v>0</v>
      </c>
      <c r="AJ18" s="110">
        <v>1065000</v>
      </c>
      <c r="AK18" s="111">
        <f t="shared" si="2"/>
        <v>1065000</v>
      </c>
      <c r="AL18" s="38"/>
      <c r="AM18" s="54" t="s">
        <v>26</v>
      </c>
      <c r="AN18" s="39">
        <f t="shared" si="0"/>
        <v>0</v>
      </c>
      <c r="AO18" s="29"/>
    </row>
    <row r="19" spans="1:41" s="11" customFormat="1" ht="18" customHeight="1" x14ac:dyDescent="0.2">
      <c r="A19" s="40">
        <v>15</v>
      </c>
      <c r="B19" s="41" t="s">
        <v>7</v>
      </c>
      <c r="C19" s="41"/>
      <c r="D19" s="42"/>
      <c r="E19" s="41"/>
      <c r="F19" s="41"/>
      <c r="G19" s="41"/>
      <c r="H19" s="41"/>
      <c r="I19" s="41"/>
      <c r="J19" s="41"/>
      <c r="K19" s="42"/>
      <c r="L19" s="41"/>
      <c r="M19" s="41"/>
      <c r="N19" s="41"/>
      <c r="O19" s="57"/>
      <c r="P19" s="41"/>
      <c r="Q19" s="41"/>
      <c r="R19" s="42"/>
      <c r="S19" s="41"/>
      <c r="T19" s="41"/>
      <c r="U19" s="41"/>
      <c r="V19" s="41"/>
      <c r="W19" s="113"/>
      <c r="X19" s="41"/>
      <c r="Y19" s="41"/>
      <c r="Z19" s="41"/>
      <c r="AA19" s="41"/>
      <c r="AB19" s="41"/>
      <c r="AC19" s="41"/>
      <c r="AD19" s="41"/>
      <c r="AE19" s="41"/>
      <c r="AF19" s="42"/>
      <c r="AG19" s="41"/>
      <c r="AH19" s="84">
        <f t="shared" si="1"/>
        <v>0</v>
      </c>
      <c r="AI19" s="107">
        <f>AH19/12500</f>
        <v>0</v>
      </c>
      <c r="AJ19" s="110">
        <v>725000</v>
      </c>
      <c r="AK19" s="111">
        <f t="shared" si="2"/>
        <v>725000</v>
      </c>
      <c r="AL19" s="38"/>
      <c r="AM19" s="58" t="s">
        <v>28</v>
      </c>
      <c r="AN19" s="39">
        <f t="shared" si="0"/>
        <v>0</v>
      </c>
      <c r="AO19" s="29"/>
    </row>
    <row r="20" spans="1:41" s="11" customFormat="1" ht="18" customHeight="1" x14ac:dyDescent="0.2">
      <c r="A20" s="40">
        <v>16</v>
      </c>
      <c r="B20" s="41" t="s">
        <v>8</v>
      </c>
      <c r="C20" s="41"/>
      <c r="D20" s="42"/>
      <c r="E20" s="41"/>
      <c r="F20" s="41"/>
      <c r="G20" s="41"/>
      <c r="H20" s="41"/>
      <c r="I20" s="41"/>
      <c r="J20" s="41"/>
      <c r="K20" s="42"/>
      <c r="L20" s="41"/>
      <c r="M20" s="41"/>
      <c r="N20" s="41"/>
      <c r="O20" s="57"/>
      <c r="P20" s="41"/>
      <c r="Q20" s="41"/>
      <c r="R20" s="42"/>
      <c r="S20" s="41"/>
      <c r="T20" s="41"/>
      <c r="U20" s="41"/>
      <c r="V20" s="41"/>
      <c r="W20" s="113"/>
      <c r="X20" s="41"/>
      <c r="Y20" s="41"/>
      <c r="Z20" s="41"/>
      <c r="AA20" s="41"/>
      <c r="AB20" s="41"/>
      <c r="AC20" s="41"/>
      <c r="AD20" s="41"/>
      <c r="AE20" s="41"/>
      <c r="AF20" s="42"/>
      <c r="AG20" s="41"/>
      <c r="AH20" s="84">
        <f t="shared" si="1"/>
        <v>0</v>
      </c>
      <c r="AI20" s="107">
        <f>AH20/6000</f>
        <v>0</v>
      </c>
      <c r="AJ20" s="110">
        <v>16956000</v>
      </c>
      <c r="AK20" s="111">
        <f t="shared" si="2"/>
        <v>16956000</v>
      </c>
      <c r="AL20" s="38"/>
      <c r="AM20" s="58" t="s">
        <v>30</v>
      </c>
      <c r="AN20" s="39">
        <f t="shared" si="0"/>
        <v>0</v>
      </c>
      <c r="AO20" s="29"/>
    </row>
    <row r="21" spans="1:41" s="11" customFormat="1" ht="18" customHeight="1" x14ac:dyDescent="0.2">
      <c r="A21" s="40">
        <v>17</v>
      </c>
      <c r="B21" s="41" t="s">
        <v>9</v>
      </c>
      <c r="C21" s="41"/>
      <c r="D21" s="42"/>
      <c r="E21" s="41"/>
      <c r="F21" s="41"/>
      <c r="G21" s="41"/>
      <c r="H21" s="41"/>
      <c r="I21" s="41"/>
      <c r="J21" s="41"/>
      <c r="K21" s="42"/>
      <c r="L21" s="41"/>
      <c r="M21" s="41"/>
      <c r="N21" s="41"/>
      <c r="O21" s="57"/>
      <c r="P21" s="41"/>
      <c r="Q21" s="41"/>
      <c r="R21" s="42"/>
      <c r="S21" s="41"/>
      <c r="T21" s="41"/>
      <c r="U21" s="41"/>
      <c r="V21" s="41"/>
      <c r="W21" s="113"/>
      <c r="X21" s="41"/>
      <c r="Y21" s="41"/>
      <c r="Z21" s="41"/>
      <c r="AA21" s="41"/>
      <c r="AB21" s="41"/>
      <c r="AC21" s="41"/>
      <c r="AD21" s="41"/>
      <c r="AE21" s="41"/>
      <c r="AF21" s="42"/>
      <c r="AG21" s="41"/>
      <c r="AH21" s="84">
        <f t="shared" si="1"/>
        <v>0</v>
      </c>
      <c r="AI21" s="107">
        <f>AH21/3000</f>
        <v>0</v>
      </c>
      <c r="AJ21" s="110">
        <v>13752000</v>
      </c>
      <c r="AK21" s="111">
        <f t="shared" si="2"/>
        <v>13752000</v>
      </c>
      <c r="AL21" s="38"/>
      <c r="AM21" s="58" t="s">
        <v>31</v>
      </c>
      <c r="AN21" s="39">
        <f t="shared" si="0"/>
        <v>0</v>
      </c>
      <c r="AO21" s="29"/>
    </row>
    <row r="22" spans="1:41" s="11" customFormat="1" ht="18" customHeight="1" thickBot="1" x14ac:dyDescent="0.25">
      <c r="A22" s="40">
        <v>18</v>
      </c>
      <c r="B22" s="59" t="s">
        <v>10</v>
      </c>
      <c r="C22" s="59"/>
      <c r="D22" s="60"/>
      <c r="E22" s="59"/>
      <c r="F22" s="61"/>
      <c r="G22" s="61"/>
      <c r="H22" s="59"/>
      <c r="I22" s="59"/>
      <c r="J22" s="59"/>
      <c r="K22" s="60"/>
      <c r="L22" s="59"/>
      <c r="M22" s="59"/>
      <c r="N22" s="59"/>
      <c r="O22" s="62"/>
      <c r="P22" s="59"/>
      <c r="Q22" s="59"/>
      <c r="R22" s="60"/>
      <c r="S22" s="59"/>
      <c r="T22" s="59"/>
      <c r="U22" s="59"/>
      <c r="V22" s="59"/>
      <c r="W22" s="114"/>
      <c r="X22" s="59"/>
      <c r="Y22" s="59"/>
      <c r="Z22" s="59"/>
      <c r="AA22" s="59"/>
      <c r="AB22" s="59"/>
      <c r="AC22" s="59"/>
      <c r="AD22" s="59"/>
      <c r="AE22" s="59"/>
      <c r="AF22" s="60"/>
      <c r="AG22" s="59"/>
      <c r="AH22" s="83">
        <f t="shared" si="1"/>
        <v>0</v>
      </c>
      <c r="AI22" s="107">
        <f>AH22/1000</f>
        <v>0</v>
      </c>
      <c r="AJ22" s="110">
        <v>343000</v>
      </c>
      <c r="AK22" s="111">
        <f t="shared" si="2"/>
        <v>343000</v>
      </c>
      <c r="AL22" s="38"/>
      <c r="AM22" s="58" t="s">
        <v>32</v>
      </c>
      <c r="AN22" s="39">
        <f t="shared" si="0"/>
        <v>0</v>
      </c>
      <c r="AO22" s="29"/>
    </row>
    <row r="23" spans="1:41" s="67" customFormat="1" ht="18" customHeight="1" x14ac:dyDescent="0.25">
      <c r="A23" s="63"/>
      <c r="B23" s="64" t="s">
        <v>11</v>
      </c>
      <c r="C23" s="65">
        <f t="shared" ref="C23:AJ23" si="3">SUM(C5:C22)</f>
        <v>5616500</v>
      </c>
      <c r="D23" s="65">
        <f t="shared" si="3"/>
        <v>0</v>
      </c>
      <c r="E23" s="65">
        <f t="shared" si="3"/>
        <v>564500</v>
      </c>
      <c r="F23" s="65">
        <f t="shared" si="3"/>
        <v>1011000</v>
      </c>
      <c r="G23" s="65">
        <f t="shared" si="3"/>
        <v>369000</v>
      </c>
      <c r="H23" s="65">
        <f t="shared" si="3"/>
        <v>284000</v>
      </c>
      <c r="I23" s="65">
        <f t="shared" si="3"/>
        <v>3086000</v>
      </c>
      <c r="J23" s="65">
        <f t="shared" si="3"/>
        <v>2193500</v>
      </c>
      <c r="K23" s="65">
        <f t="shared" si="3"/>
        <v>0</v>
      </c>
      <c r="L23" s="65">
        <f t="shared" si="3"/>
        <v>945500</v>
      </c>
      <c r="M23" s="65">
        <f t="shared" si="3"/>
        <v>1153000</v>
      </c>
      <c r="N23" s="65">
        <f t="shared" si="3"/>
        <v>1197000</v>
      </c>
      <c r="O23" s="65">
        <f t="shared" si="3"/>
        <v>1012500</v>
      </c>
      <c r="P23" s="65">
        <f t="shared" si="3"/>
        <v>5231500</v>
      </c>
      <c r="Q23" s="65">
        <f t="shared" si="3"/>
        <v>4827500</v>
      </c>
      <c r="R23" s="65">
        <f t="shared" si="3"/>
        <v>0</v>
      </c>
      <c r="S23" s="65">
        <f t="shared" si="3"/>
        <v>3036000</v>
      </c>
      <c r="T23" s="65">
        <f t="shared" si="3"/>
        <v>4698000</v>
      </c>
      <c r="U23" s="65">
        <f t="shared" si="3"/>
        <v>10287500</v>
      </c>
      <c r="V23" s="65">
        <f t="shared" si="3"/>
        <v>8005000</v>
      </c>
      <c r="W23" s="65">
        <f t="shared" si="3"/>
        <v>0</v>
      </c>
      <c r="X23" s="65">
        <f t="shared" si="3"/>
        <v>128045000</v>
      </c>
      <c r="Y23" s="65">
        <f t="shared" si="3"/>
        <v>112004500</v>
      </c>
      <c r="Z23" s="65">
        <f t="shared" si="3"/>
        <v>93568500</v>
      </c>
      <c r="AA23" s="65">
        <f t="shared" si="3"/>
        <v>66888000</v>
      </c>
      <c r="AB23" s="65">
        <f t="shared" si="3"/>
        <v>47094000</v>
      </c>
      <c r="AC23" s="65">
        <f t="shared" si="3"/>
        <v>33241000</v>
      </c>
      <c r="AD23" s="65">
        <f t="shared" si="3"/>
        <v>68460000</v>
      </c>
      <c r="AE23" s="65">
        <f t="shared" si="3"/>
        <v>76872000</v>
      </c>
      <c r="AF23" s="65">
        <f t="shared" si="3"/>
        <v>0</v>
      </c>
      <c r="AG23" s="65">
        <f t="shared" si="3"/>
        <v>14177000</v>
      </c>
      <c r="AH23" s="65">
        <f t="shared" si="3"/>
        <v>693868000</v>
      </c>
      <c r="AI23" s="65"/>
      <c r="AJ23" s="65">
        <f t="shared" si="3"/>
        <v>389734000</v>
      </c>
      <c r="AK23" s="108"/>
      <c r="AL23" s="38"/>
      <c r="AM23" s="66" t="s">
        <v>11</v>
      </c>
      <c r="AN23" s="39">
        <f t="shared" si="0"/>
        <v>693868000</v>
      </c>
    </row>
    <row r="24" spans="1:41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6"/>
      <c r="AI24" s="6"/>
      <c r="AJ24" s="6"/>
      <c r="AK24" s="7"/>
      <c r="AL24" s="28"/>
      <c r="AM24" s="69"/>
      <c r="AN24" s="29"/>
      <c r="AO24" s="39"/>
    </row>
    <row r="25" spans="1:41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6"/>
      <c r="AI25" s="6"/>
      <c r="AJ25" s="6"/>
      <c r="AK25" s="7"/>
      <c r="AL25" s="28"/>
      <c r="AM25" s="69"/>
      <c r="AN25" s="29"/>
      <c r="AO25" s="39"/>
    </row>
    <row r="26" spans="1:41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6"/>
      <c r="AI26" s="6"/>
      <c r="AJ26" s="6"/>
      <c r="AK26" s="37"/>
      <c r="AL26" s="28"/>
      <c r="AM26" s="69"/>
      <c r="AN26" s="29"/>
      <c r="AO26" s="30"/>
    </row>
    <row r="27" spans="1:41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6"/>
      <c r="AI27" s="6"/>
      <c r="AJ27" s="6"/>
      <c r="AK27" s="14"/>
      <c r="AL27" s="28"/>
      <c r="AM27" s="70" t="s">
        <v>13</v>
      </c>
      <c r="AN27" s="29"/>
      <c r="AO27" s="30"/>
    </row>
    <row r="28" spans="1:41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6">
        <v>31</v>
      </c>
      <c r="AH28" s="87" t="s">
        <v>1</v>
      </c>
      <c r="AI28" s="20"/>
      <c r="AJ28" s="20"/>
      <c r="AK28" s="21"/>
      <c r="AL28" s="28"/>
      <c r="AM28" s="71" t="s">
        <v>14</v>
      </c>
      <c r="AN28" s="72"/>
      <c r="AO28" s="30"/>
    </row>
    <row r="29" spans="1:41" s="25" customFormat="1" ht="18" customHeight="1" x14ac:dyDescent="0.2">
      <c r="B29" s="92" t="s">
        <v>2</v>
      </c>
      <c r="C29" s="92">
        <f t="shared" ref="C29:AG29" si="4">C5/4000</f>
        <v>1090</v>
      </c>
      <c r="D29" s="92">
        <f t="shared" si="4"/>
        <v>0</v>
      </c>
      <c r="E29" s="92">
        <f t="shared" si="4"/>
        <v>122</v>
      </c>
      <c r="F29" s="92">
        <f t="shared" si="4"/>
        <v>207</v>
      </c>
      <c r="G29" s="92">
        <f t="shared" si="4"/>
        <v>81</v>
      </c>
      <c r="H29" s="92">
        <f t="shared" si="4"/>
        <v>60</v>
      </c>
      <c r="I29" s="92">
        <f t="shared" si="4"/>
        <v>623</v>
      </c>
      <c r="J29" s="92">
        <f t="shared" si="4"/>
        <v>445</v>
      </c>
      <c r="K29" s="92">
        <f t="shared" si="4"/>
        <v>0</v>
      </c>
      <c r="L29" s="92">
        <f t="shared" si="4"/>
        <v>199</v>
      </c>
      <c r="M29" s="92">
        <f t="shared" si="4"/>
        <v>248</v>
      </c>
      <c r="N29" s="92">
        <f t="shared" si="4"/>
        <v>236</v>
      </c>
      <c r="O29" s="92">
        <f t="shared" si="4"/>
        <v>209</v>
      </c>
      <c r="P29" s="92">
        <f t="shared" si="4"/>
        <v>782</v>
      </c>
      <c r="Q29" s="92">
        <f t="shared" si="4"/>
        <v>945</v>
      </c>
      <c r="R29" s="92">
        <f t="shared" si="4"/>
        <v>0</v>
      </c>
      <c r="S29" s="92">
        <f t="shared" si="4"/>
        <v>573</v>
      </c>
      <c r="T29" s="92">
        <f t="shared" si="4"/>
        <v>824</v>
      </c>
      <c r="U29" s="92">
        <f t="shared" si="4"/>
        <v>1888</v>
      </c>
      <c r="V29" s="92">
        <f t="shared" si="4"/>
        <v>1528</v>
      </c>
      <c r="W29" s="92">
        <f t="shared" si="4"/>
        <v>0</v>
      </c>
      <c r="X29" s="92">
        <f t="shared" si="4"/>
        <v>16325</v>
      </c>
      <c r="Y29" s="92">
        <f t="shared" si="4"/>
        <v>14054</v>
      </c>
      <c r="Z29" s="92">
        <f t="shared" si="4"/>
        <v>12060</v>
      </c>
      <c r="AA29" s="92">
        <f t="shared" si="4"/>
        <v>9563</v>
      </c>
      <c r="AB29" s="92">
        <f t="shared" si="4"/>
        <v>6531</v>
      </c>
      <c r="AC29" s="92">
        <f t="shared" si="4"/>
        <v>4825</v>
      </c>
      <c r="AD29" s="92">
        <f t="shared" si="4"/>
        <v>8917</v>
      </c>
      <c r="AE29" s="92">
        <f t="shared" si="4"/>
        <v>10214</v>
      </c>
      <c r="AF29" s="92">
        <f t="shared" si="4"/>
        <v>0</v>
      </c>
      <c r="AG29" s="92">
        <f t="shared" si="4"/>
        <v>2744</v>
      </c>
      <c r="AH29" s="93">
        <f>SUM(C29:AG29)</f>
        <v>95293</v>
      </c>
      <c r="AI29" s="27"/>
      <c r="AJ29" s="27"/>
      <c r="AK29" s="73"/>
      <c r="AL29" s="28"/>
      <c r="AM29" s="74" t="s">
        <v>2</v>
      </c>
      <c r="AN29" s="75">
        <f>AH29</f>
        <v>95293</v>
      </c>
      <c r="AO29" s="30"/>
    </row>
    <row r="30" spans="1:41" s="25" customFormat="1" ht="18" customHeight="1" x14ac:dyDescent="0.2">
      <c r="B30" s="92" t="s">
        <v>3</v>
      </c>
      <c r="C30" s="92">
        <f t="shared" ref="C30:AG31" si="5">C6/3000</f>
        <v>258</v>
      </c>
      <c r="D30" s="92">
        <f t="shared" si="5"/>
        <v>0</v>
      </c>
      <c r="E30" s="92">
        <f t="shared" si="5"/>
        <v>13</v>
      </c>
      <c r="F30" s="92">
        <f t="shared" si="5"/>
        <v>37</v>
      </c>
      <c r="G30" s="92">
        <f t="shared" si="5"/>
        <v>9</v>
      </c>
      <c r="H30" s="92">
        <f t="shared" si="5"/>
        <v>5</v>
      </c>
      <c r="I30" s="92">
        <f t="shared" si="5"/>
        <v>128</v>
      </c>
      <c r="J30" s="92">
        <f t="shared" si="5"/>
        <v>107</v>
      </c>
      <c r="K30" s="92">
        <f t="shared" si="5"/>
        <v>0</v>
      </c>
      <c r="L30" s="92">
        <f t="shared" si="5"/>
        <v>27</v>
      </c>
      <c r="M30" s="92">
        <f t="shared" si="5"/>
        <v>40</v>
      </c>
      <c r="N30" s="92">
        <f t="shared" si="5"/>
        <v>33</v>
      </c>
      <c r="O30" s="92">
        <f t="shared" si="5"/>
        <v>32</v>
      </c>
      <c r="P30" s="92">
        <f t="shared" si="5"/>
        <v>547</v>
      </c>
      <c r="Q30" s="92">
        <f t="shared" si="5"/>
        <v>230</v>
      </c>
      <c r="R30" s="92">
        <f t="shared" si="5"/>
        <v>0</v>
      </c>
      <c r="S30" s="92">
        <f t="shared" si="5"/>
        <v>184</v>
      </c>
      <c r="T30" s="92">
        <f t="shared" si="5"/>
        <v>259</v>
      </c>
      <c r="U30" s="92">
        <f t="shared" si="5"/>
        <v>576</v>
      </c>
      <c r="V30" s="92">
        <f t="shared" si="5"/>
        <v>456</v>
      </c>
      <c r="W30" s="92">
        <f t="shared" si="5"/>
        <v>0</v>
      </c>
      <c r="X30" s="92">
        <f t="shared" si="5"/>
        <v>5810</v>
      </c>
      <c r="Y30" s="92">
        <f t="shared" si="5"/>
        <v>5637</v>
      </c>
      <c r="Z30" s="92">
        <f t="shared" si="5"/>
        <v>5007</v>
      </c>
      <c r="AA30" s="92">
        <f t="shared" si="5"/>
        <v>3873</v>
      </c>
      <c r="AB30" s="92">
        <f t="shared" si="5"/>
        <v>2745</v>
      </c>
      <c r="AC30" s="92">
        <f t="shared" si="5"/>
        <v>2038</v>
      </c>
      <c r="AD30" s="92">
        <f t="shared" si="5"/>
        <v>3594</v>
      </c>
      <c r="AE30" s="92">
        <f t="shared" si="5"/>
        <v>3777</v>
      </c>
      <c r="AF30" s="92">
        <f t="shared" si="5"/>
        <v>0</v>
      </c>
      <c r="AG30" s="92">
        <f t="shared" si="5"/>
        <v>856</v>
      </c>
      <c r="AH30" s="93">
        <f t="shared" ref="AH30:AH46" si="6">SUM(C30:AG30)</f>
        <v>36278</v>
      </c>
      <c r="AI30" s="27"/>
      <c r="AJ30" s="27"/>
      <c r="AK30" s="73"/>
      <c r="AL30" s="28"/>
      <c r="AM30" s="74" t="s">
        <v>3</v>
      </c>
      <c r="AN30" s="75">
        <f t="shared" ref="AN30:AN40" si="7">AH30</f>
        <v>36278</v>
      </c>
      <c r="AO30" s="76"/>
    </row>
    <row r="31" spans="1:41" s="25" customFormat="1" ht="18" customHeight="1" x14ac:dyDescent="0.2">
      <c r="B31" s="92" t="s">
        <v>4</v>
      </c>
      <c r="C31" s="92">
        <f t="shared" si="5"/>
        <v>0</v>
      </c>
      <c r="D31" s="92">
        <f t="shared" si="5"/>
        <v>0</v>
      </c>
      <c r="E31" s="92">
        <f t="shared" si="5"/>
        <v>0</v>
      </c>
      <c r="F31" s="92">
        <f t="shared" si="5"/>
        <v>0</v>
      </c>
      <c r="G31" s="92">
        <f t="shared" si="5"/>
        <v>0</v>
      </c>
      <c r="H31" s="92">
        <f t="shared" si="5"/>
        <v>0</v>
      </c>
      <c r="I31" s="92">
        <f t="shared" si="5"/>
        <v>0</v>
      </c>
      <c r="J31" s="92">
        <f t="shared" si="5"/>
        <v>0</v>
      </c>
      <c r="K31" s="92">
        <f t="shared" si="5"/>
        <v>0</v>
      </c>
      <c r="L31" s="92">
        <f t="shared" si="5"/>
        <v>0</v>
      </c>
      <c r="M31" s="92">
        <f t="shared" si="5"/>
        <v>0</v>
      </c>
      <c r="N31" s="92">
        <f t="shared" si="5"/>
        <v>0</v>
      </c>
      <c r="O31" s="92">
        <f t="shared" si="5"/>
        <v>0</v>
      </c>
      <c r="P31" s="92">
        <f t="shared" si="5"/>
        <v>0</v>
      </c>
      <c r="Q31" s="92">
        <f t="shared" si="5"/>
        <v>0</v>
      </c>
      <c r="R31" s="92">
        <f t="shared" si="5"/>
        <v>0</v>
      </c>
      <c r="S31" s="92">
        <f t="shared" si="5"/>
        <v>0</v>
      </c>
      <c r="T31" s="92">
        <f t="shared" si="5"/>
        <v>0</v>
      </c>
      <c r="U31" s="92">
        <f t="shared" si="5"/>
        <v>0</v>
      </c>
      <c r="V31" s="92">
        <f t="shared" si="5"/>
        <v>0</v>
      </c>
      <c r="W31" s="92">
        <f t="shared" si="5"/>
        <v>0</v>
      </c>
      <c r="X31" s="92">
        <f t="shared" si="5"/>
        <v>0</v>
      </c>
      <c r="Y31" s="92">
        <f t="shared" si="5"/>
        <v>0</v>
      </c>
      <c r="Z31" s="92">
        <f t="shared" si="5"/>
        <v>0</v>
      </c>
      <c r="AA31" s="92">
        <f t="shared" si="5"/>
        <v>0</v>
      </c>
      <c r="AB31" s="92">
        <f t="shared" si="5"/>
        <v>0</v>
      </c>
      <c r="AC31" s="92">
        <f t="shared" si="5"/>
        <v>0</v>
      </c>
      <c r="AD31" s="92">
        <f t="shared" si="5"/>
        <v>0</v>
      </c>
      <c r="AE31" s="92">
        <f t="shared" si="5"/>
        <v>0</v>
      </c>
      <c r="AF31" s="92">
        <f t="shared" si="5"/>
        <v>0</v>
      </c>
      <c r="AG31" s="92">
        <f t="shared" si="5"/>
        <v>0</v>
      </c>
      <c r="AH31" s="93">
        <f t="shared" si="6"/>
        <v>0</v>
      </c>
      <c r="AI31" s="27"/>
      <c r="AJ31" s="27"/>
      <c r="AK31" s="73"/>
      <c r="AL31" s="28"/>
      <c r="AM31" s="3" t="s">
        <v>4</v>
      </c>
      <c r="AN31" s="75">
        <f t="shared" si="7"/>
        <v>0</v>
      </c>
      <c r="AO31" s="30"/>
    </row>
    <row r="32" spans="1:41" s="25" customFormat="1" ht="18" customHeight="1" x14ac:dyDescent="0.2">
      <c r="B32" s="92" t="s">
        <v>5</v>
      </c>
      <c r="C32" s="92">
        <f t="shared" ref="C32:AG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2">
        <f t="shared" si="8"/>
        <v>0</v>
      </c>
      <c r="AF32" s="92">
        <f t="shared" si="8"/>
        <v>0</v>
      </c>
      <c r="AG32" s="92">
        <f t="shared" si="8"/>
        <v>0</v>
      </c>
      <c r="AH32" s="93">
        <f t="shared" si="6"/>
        <v>0</v>
      </c>
      <c r="AI32" s="27"/>
      <c r="AJ32" s="27"/>
      <c r="AK32" s="73"/>
      <c r="AL32" s="28"/>
      <c r="AM32" s="3" t="s">
        <v>5</v>
      </c>
      <c r="AN32" s="75">
        <f t="shared" si="7"/>
        <v>0</v>
      </c>
      <c r="AO32" s="30"/>
    </row>
    <row r="33" spans="2:41" s="25" customFormat="1" ht="18" customHeight="1" x14ac:dyDescent="0.2">
      <c r="B33" s="92" t="s">
        <v>33</v>
      </c>
      <c r="C33" s="92">
        <f>C9/2500</f>
        <v>19</v>
      </c>
      <c r="D33" s="92">
        <f t="shared" ref="D33:AG33" si="9">D9/2500</f>
        <v>0</v>
      </c>
      <c r="E33" s="92">
        <f t="shared" si="9"/>
        <v>3</v>
      </c>
      <c r="F33" s="92">
        <f t="shared" si="9"/>
        <v>0</v>
      </c>
      <c r="G33" s="92">
        <f t="shared" si="9"/>
        <v>0</v>
      </c>
      <c r="H33" s="92">
        <f t="shared" si="9"/>
        <v>2</v>
      </c>
      <c r="I33" s="92">
        <f t="shared" si="9"/>
        <v>9</v>
      </c>
      <c r="J33" s="92">
        <f t="shared" si="9"/>
        <v>10</v>
      </c>
      <c r="K33" s="92">
        <f t="shared" si="9"/>
        <v>0</v>
      </c>
      <c r="L33" s="92">
        <f t="shared" si="9"/>
        <v>1</v>
      </c>
      <c r="M33" s="92">
        <f t="shared" si="9"/>
        <v>2</v>
      </c>
      <c r="N33" s="92">
        <f t="shared" si="9"/>
        <v>4</v>
      </c>
      <c r="O33" s="92">
        <f t="shared" si="9"/>
        <v>1</v>
      </c>
      <c r="P33" s="92">
        <f t="shared" si="9"/>
        <v>20</v>
      </c>
      <c r="Q33" s="92">
        <f t="shared" si="9"/>
        <v>17</v>
      </c>
      <c r="R33" s="92">
        <f t="shared" si="9"/>
        <v>0</v>
      </c>
      <c r="S33" s="92">
        <f t="shared" si="9"/>
        <v>0</v>
      </c>
      <c r="T33" s="92">
        <f t="shared" si="9"/>
        <v>28</v>
      </c>
      <c r="U33" s="92">
        <f t="shared" si="9"/>
        <v>28</v>
      </c>
      <c r="V33" s="92">
        <f t="shared" si="9"/>
        <v>12</v>
      </c>
      <c r="W33" s="92">
        <f t="shared" si="9"/>
        <v>0</v>
      </c>
      <c r="X33" s="92">
        <f t="shared" si="9"/>
        <v>711</v>
      </c>
      <c r="Y33" s="92">
        <f t="shared" si="9"/>
        <v>647</v>
      </c>
      <c r="Z33" s="92">
        <f t="shared" si="9"/>
        <v>555</v>
      </c>
      <c r="AA33" s="92">
        <f t="shared" si="9"/>
        <v>250</v>
      </c>
      <c r="AB33" s="92">
        <f t="shared" si="9"/>
        <v>186</v>
      </c>
      <c r="AC33" s="92">
        <f t="shared" si="9"/>
        <v>150</v>
      </c>
      <c r="AD33" s="92">
        <f t="shared" si="9"/>
        <v>347</v>
      </c>
      <c r="AE33" s="92">
        <f t="shared" si="9"/>
        <v>430</v>
      </c>
      <c r="AF33" s="92">
        <f t="shared" si="9"/>
        <v>0</v>
      </c>
      <c r="AG33" s="92">
        <f t="shared" si="9"/>
        <v>30</v>
      </c>
      <c r="AH33" s="93">
        <f t="shared" si="6"/>
        <v>3462</v>
      </c>
      <c r="AI33" s="27"/>
      <c r="AJ33" s="27"/>
      <c r="AK33" s="73"/>
      <c r="AL33" s="28"/>
      <c r="AM33" s="3"/>
      <c r="AN33" s="75"/>
      <c r="AO33" s="30"/>
    </row>
    <row r="34" spans="2:41" s="25" customFormat="1" ht="18" customHeight="1" x14ac:dyDescent="0.2">
      <c r="B34" s="100" t="s">
        <v>21</v>
      </c>
      <c r="C34" s="100">
        <f t="shared" ref="C34:AG35" si="10">C10/6000</f>
        <v>0</v>
      </c>
      <c r="D34" s="100">
        <f t="shared" si="10"/>
        <v>0</v>
      </c>
      <c r="E34" s="100">
        <f t="shared" si="10"/>
        <v>2</v>
      </c>
      <c r="F34" s="100">
        <f t="shared" si="10"/>
        <v>7</v>
      </c>
      <c r="G34" s="100">
        <f t="shared" si="10"/>
        <v>3</v>
      </c>
      <c r="H34" s="100">
        <f t="shared" si="10"/>
        <v>2</v>
      </c>
      <c r="I34" s="100">
        <f t="shared" si="10"/>
        <v>0</v>
      </c>
      <c r="J34" s="100">
        <f t="shared" si="10"/>
        <v>0</v>
      </c>
      <c r="K34" s="100">
        <f t="shared" si="10"/>
        <v>0</v>
      </c>
      <c r="L34" s="100">
        <f t="shared" si="10"/>
        <v>7</v>
      </c>
      <c r="M34" s="100">
        <f t="shared" si="10"/>
        <v>6</v>
      </c>
      <c r="N34" s="100">
        <f t="shared" si="10"/>
        <v>14</v>
      </c>
      <c r="O34" s="100">
        <f t="shared" si="10"/>
        <v>9</v>
      </c>
      <c r="P34" s="100">
        <f t="shared" si="10"/>
        <v>0</v>
      </c>
      <c r="Q34" s="100">
        <f t="shared" si="10"/>
        <v>0</v>
      </c>
      <c r="R34" s="100">
        <f t="shared" si="10"/>
        <v>0</v>
      </c>
      <c r="S34" s="100">
        <f t="shared" si="10"/>
        <v>23</v>
      </c>
      <c r="T34" s="100">
        <f t="shared" si="10"/>
        <v>0</v>
      </c>
      <c r="U34" s="100">
        <f t="shared" si="10"/>
        <v>0</v>
      </c>
      <c r="V34" s="100">
        <f t="shared" si="10"/>
        <v>0</v>
      </c>
      <c r="W34" s="100">
        <f t="shared" si="10"/>
        <v>0</v>
      </c>
      <c r="X34" s="100">
        <f t="shared" si="10"/>
        <v>0</v>
      </c>
      <c r="Y34" s="100">
        <f t="shared" si="10"/>
        <v>0</v>
      </c>
      <c r="Z34" s="100">
        <f t="shared" si="10"/>
        <v>0</v>
      </c>
      <c r="AA34" s="100">
        <f t="shared" si="10"/>
        <v>1535</v>
      </c>
      <c r="AB34" s="100">
        <f t="shared" si="10"/>
        <v>1162</v>
      </c>
      <c r="AC34" s="100">
        <f t="shared" si="10"/>
        <v>707</v>
      </c>
      <c r="AD34" s="100">
        <f t="shared" si="10"/>
        <v>0</v>
      </c>
      <c r="AE34" s="100">
        <f t="shared" si="10"/>
        <v>0</v>
      </c>
      <c r="AF34" s="100">
        <f t="shared" si="10"/>
        <v>0</v>
      </c>
      <c r="AG34" s="100">
        <f t="shared" si="10"/>
        <v>65</v>
      </c>
      <c r="AH34" s="93">
        <f t="shared" si="6"/>
        <v>3542</v>
      </c>
      <c r="AI34" s="27"/>
      <c r="AJ34" s="27"/>
      <c r="AK34" s="73"/>
      <c r="AL34" s="28"/>
      <c r="AM34" s="3" t="s">
        <v>10</v>
      </c>
      <c r="AN34" s="75">
        <f t="shared" si="7"/>
        <v>3542</v>
      </c>
      <c r="AO34" s="30"/>
    </row>
    <row r="35" spans="2:41" s="25" customFormat="1" ht="18" customHeight="1" thickBot="1" x14ac:dyDescent="0.25">
      <c r="B35" s="100" t="s">
        <v>22</v>
      </c>
      <c r="C35" s="100">
        <f t="shared" si="10"/>
        <v>0</v>
      </c>
      <c r="D35" s="100">
        <f t="shared" si="10"/>
        <v>0</v>
      </c>
      <c r="E35" s="100">
        <f t="shared" si="10"/>
        <v>3</v>
      </c>
      <c r="F35" s="100">
        <f t="shared" si="10"/>
        <v>5</v>
      </c>
      <c r="G35" s="100">
        <f t="shared" si="10"/>
        <v>0</v>
      </c>
      <c r="H35" s="100">
        <f t="shared" si="10"/>
        <v>2</v>
      </c>
      <c r="I35" s="100">
        <f t="shared" si="10"/>
        <v>0</v>
      </c>
      <c r="J35" s="100">
        <f t="shared" si="10"/>
        <v>0</v>
      </c>
      <c r="K35" s="100">
        <f t="shared" si="10"/>
        <v>0</v>
      </c>
      <c r="L35" s="100">
        <f t="shared" si="10"/>
        <v>4</v>
      </c>
      <c r="M35" s="100">
        <f t="shared" si="10"/>
        <v>0</v>
      </c>
      <c r="N35" s="100">
        <f t="shared" si="10"/>
        <v>10</v>
      </c>
      <c r="O35" s="100">
        <f t="shared" si="10"/>
        <v>4</v>
      </c>
      <c r="P35" s="100">
        <f t="shared" si="10"/>
        <v>0</v>
      </c>
      <c r="Q35" s="100">
        <f t="shared" si="10"/>
        <v>0</v>
      </c>
      <c r="R35" s="100">
        <f t="shared" si="10"/>
        <v>0</v>
      </c>
      <c r="S35" s="100">
        <f t="shared" si="10"/>
        <v>9</v>
      </c>
      <c r="T35" s="100">
        <f t="shared" si="10"/>
        <v>0</v>
      </c>
      <c r="U35" s="100">
        <f t="shared" si="10"/>
        <v>0</v>
      </c>
      <c r="V35" s="100">
        <f t="shared" si="10"/>
        <v>0</v>
      </c>
      <c r="W35" s="100">
        <f t="shared" si="10"/>
        <v>0</v>
      </c>
      <c r="X35" s="100">
        <f t="shared" si="10"/>
        <v>0</v>
      </c>
      <c r="Y35" s="100">
        <f t="shared" si="10"/>
        <v>0</v>
      </c>
      <c r="Z35" s="100">
        <f t="shared" si="10"/>
        <v>0</v>
      </c>
      <c r="AA35" s="100">
        <f t="shared" si="10"/>
        <v>1162</v>
      </c>
      <c r="AB35" s="100">
        <f t="shared" si="10"/>
        <v>883</v>
      </c>
      <c r="AC35" s="100">
        <f t="shared" si="10"/>
        <v>535</v>
      </c>
      <c r="AD35" s="100">
        <f t="shared" si="10"/>
        <v>0</v>
      </c>
      <c r="AE35" s="100">
        <f t="shared" si="10"/>
        <v>0</v>
      </c>
      <c r="AF35" s="100">
        <f t="shared" si="10"/>
        <v>0</v>
      </c>
      <c r="AG35" s="100">
        <f t="shared" si="10"/>
        <v>28</v>
      </c>
      <c r="AH35" s="93">
        <f t="shared" si="6"/>
        <v>2645</v>
      </c>
      <c r="AI35" s="27"/>
      <c r="AJ35" s="27"/>
      <c r="AK35" s="73"/>
      <c r="AL35" s="28"/>
      <c r="AM35" s="77" t="s">
        <v>15</v>
      </c>
      <c r="AN35" s="75">
        <f t="shared" si="7"/>
        <v>2645</v>
      </c>
      <c r="AO35" s="30"/>
    </row>
    <row r="36" spans="2:41" s="29" customFormat="1" ht="18" customHeight="1" x14ac:dyDescent="0.2">
      <c r="B36" s="100" t="s">
        <v>24</v>
      </c>
      <c r="C36" s="100">
        <f t="shared" ref="C36:AG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100">
        <f t="shared" si="11"/>
        <v>0</v>
      </c>
      <c r="AF36" s="100">
        <f t="shared" si="11"/>
        <v>0</v>
      </c>
      <c r="AG36" s="100">
        <f t="shared" si="11"/>
        <v>0</v>
      </c>
      <c r="AH36" s="93">
        <f t="shared" si="6"/>
        <v>0</v>
      </c>
      <c r="AI36" s="27"/>
      <c r="AJ36" s="27"/>
      <c r="AK36" s="73"/>
      <c r="AL36" s="28"/>
      <c r="AM36" s="78" t="s">
        <v>34</v>
      </c>
      <c r="AN36" s="75">
        <f t="shared" si="7"/>
        <v>0</v>
      </c>
    </row>
    <row r="37" spans="2:41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100">
        <f t="shared" si="11"/>
        <v>0</v>
      </c>
      <c r="AF37" s="100">
        <f t="shared" si="11"/>
        <v>0</v>
      </c>
      <c r="AG37" s="100">
        <f t="shared" si="11"/>
        <v>0</v>
      </c>
      <c r="AH37" s="93">
        <f t="shared" si="6"/>
        <v>0</v>
      </c>
      <c r="AI37" s="27"/>
      <c r="AJ37" s="27"/>
      <c r="AK37" s="73"/>
      <c r="AL37" s="28"/>
      <c r="AM37" s="79" t="s">
        <v>35</v>
      </c>
      <c r="AN37" s="75">
        <f t="shared" si="7"/>
        <v>0</v>
      </c>
    </row>
    <row r="38" spans="2:41" s="29" customFormat="1" ht="18" customHeight="1" x14ac:dyDescent="0.2">
      <c r="B38" s="104" t="s">
        <v>28</v>
      </c>
      <c r="C38" s="104">
        <f t="shared" ref="C38:AG39" si="12">C14/7500</f>
        <v>28</v>
      </c>
      <c r="D38" s="104">
        <f t="shared" si="12"/>
        <v>0</v>
      </c>
      <c r="E38" s="104">
        <f t="shared" si="12"/>
        <v>0</v>
      </c>
      <c r="F38" s="104">
        <f t="shared" si="12"/>
        <v>0</v>
      </c>
      <c r="G38" s="104">
        <f t="shared" si="12"/>
        <v>0</v>
      </c>
      <c r="H38" s="104">
        <f t="shared" si="12"/>
        <v>0</v>
      </c>
      <c r="I38" s="104">
        <f t="shared" si="12"/>
        <v>20</v>
      </c>
      <c r="J38" s="104">
        <f t="shared" si="12"/>
        <v>8</v>
      </c>
      <c r="K38" s="104">
        <f t="shared" si="12"/>
        <v>0</v>
      </c>
      <c r="L38" s="104">
        <f t="shared" si="12"/>
        <v>0</v>
      </c>
      <c r="M38" s="104">
        <f t="shared" si="12"/>
        <v>0</v>
      </c>
      <c r="N38" s="104">
        <f t="shared" si="12"/>
        <v>0</v>
      </c>
      <c r="O38" s="104">
        <f t="shared" si="12"/>
        <v>0</v>
      </c>
      <c r="P38" s="104">
        <f t="shared" si="12"/>
        <v>27</v>
      </c>
      <c r="Q38" s="104">
        <f t="shared" si="12"/>
        <v>31</v>
      </c>
      <c r="R38" s="104">
        <f t="shared" si="12"/>
        <v>0</v>
      </c>
      <c r="S38" s="104">
        <f t="shared" si="12"/>
        <v>0</v>
      </c>
      <c r="T38" s="104">
        <f t="shared" si="12"/>
        <v>47</v>
      </c>
      <c r="U38" s="104">
        <f t="shared" si="12"/>
        <v>68</v>
      </c>
      <c r="V38" s="104">
        <f t="shared" si="12"/>
        <v>41</v>
      </c>
      <c r="W38" s="104">
        <f t="shared" si="12"/>
        <v>0</v>
      </c>
      <c r="X38" s="104">
        <f t="shared" si="12"/>
        <v>3315</v>
      </c>
      <c r="Y38" s="104">
        <f t="shared" si="12"/>
        <v>2777</v>
      </c>
      <c r="Z38" s="104">
        <f t="shared" si="12"/>
        <v>2179</v>
      </c>
      <c r="AA38" s="104">
        <f t="shared" si="12"/>
        <v>17</v>
      </c>
      <c r="AB38" s="104">
        <f t="shared" si="12"/>
        <v>0</v>
      </c>
      <c r="AC38" s="104">
        <f t="shared" si="12"/>
        <v>0</v>
      </c>
      <c r="AD38" s="104">
        <f t="shared" si="12"/>
        <v>1651</v>
      </c>
      <c r="AE38" s="104">
        <f t="shared" si="12"/>
        <v>1869</v>
      </c>
      <c r="AF38" s="104">
        <f t="shared" si="12"/>
        <v>0</v>
      </c>
      <c r="AG38" s="104">
        <f t="shared" si="12"/>
        <v>0</v>
      </c>
      <c r="AH38" s="93">
        <f t="shared" si="6"/>
        <v>12078</v>
      </c>
      <c r="AI38" s="27"/>
      <c r="AJ38" s="27"/>
      <c r="AK38" s="73"/>
      <c r="AL38" s="28"/>
      <c r="AM38" s="79" t="s">
        <v>36</v>
      </c>
      <c r="AN38" s="75">
        <f t="shared" si="7"/>
        <v>12078</v>
      </c>
    </row>
    <row r="39" spans="2:41" s="29" customFormat="1" ht="18" customHeight="1" x14ac:dyDescent="0.2">
      <c r="B39" s="104" t="s">
        <v>30</v>
      </c>
      <c r="C39" s="104">
        <f t="shared" si="12"/>
        <v>30</v>
      </c>
      <c r="D39" s="104">
        <f t="shared" si="12"/>
        <v>0</v>
      </c>
      <c r="E39" s="104">
        <f t="shared" si="12"/>
        <v>0</v>
      </c>
      <c r="F39" s="104">
        <f t="shared" si="12"/>
        <v>0</v>
      </c>
      <c r="G39" s="104">
        <f t="shared" si="12"/>
        <v>0</v>
      </c>
      <c r="H39" s="104">
        <f t="shared" si="12"/>
        <v>0</v>
      </c>
      <c r="I39" s="104">
        <f t="shared" si="12"/>
        <v>5</v>
      </c>
      <c r="J39" s="104">
        <f t="shared" si="12"/>
        <v>1</v>
      </c>
      <c r="K39" s="104">
        <f t="shared" si="12"/>
        <v>0</v>
      </c>
      <c r="L39" s="104">
        <f t="shared" si="12"/>
        <v>0</v>
      </c>
      <c r="M39" s="104">
        <f t="shared" si="12"/>
        <v>0</v>
      </c>
      <c r="N39" s="104">
        <f t="shared" si="12"/>
        <v>0</v>
      </c>
      <c r="O39" s="104">
        <f t="shared" si="12"/>
        <v>0</v>
      </c>
      <c r="P39" s="104">
        <f t="shared" si="12"/>
        <v>28</v>
      </c>
      <c r="Q39" s="104">
        <f t="shared" si="12"/>
        <v>11</v>
      </c>
      <c r="R39" s="104">
        <f t="shared" si="12"/>
        <v>0</v>
      </c>
      <c r="S39" s="104">
        <f t="shared" si="12"/>
        <v>0</v>
      </c>
      <c r="T39" s="104">
        <f t="shared" si="12"/>
        <v>27</v>
      </c>
      <c r="U39" s="104">
        <f t="shared" si="12"/>
        <v>57</v>
      </c>
      <c r="V39" s="104">
        <f t="shared" si="12"/>
        <v>25</v>
      </c>
      <c r="W39" s="104">
        <f t="shared" si="12"/>
        <v>0</v>
      </c>
      <c r="X39" s="104">
        <f t="shared" si="12"/>
        <v>2490</v>
      </c>
      <c r="Y39" s="104">
        <f t="shared" si="12"/>
        <v>2191</v>
      </c>
      <c r="Z39" s="104">
        <f t="shared" si="12"/>
        <v>1677</v>
      </c>
      <c r="AA39" s="104">
        <f t="shared" si="12"/>
        <v>11</v>
      </c>
      <c r="AB39" s="104">
        <f t="shared" si="12"/>
        <v>0</v>
      </c>
      <c r="AC39" s="104">
        <f t="shared" si="12"/>
        <v>0</v>
      </c>
      <c r="AD39" s="104">
        <f t="shared" si="12"/>
        <v>1168</v>
      </c>
      <c r="AE39" s="104">
        <f t="shared" si="12"/>
        <v>1279</v>
      </c>
      <c r="AF39" s="104">
        <f t="shared" si="12"/>
        <v>0</v>
      </c>
      <c r="AG39" s="104">
        <f t="shared" si="12"/>
        <v>0</v>
      </c>
      <c r="AH39" s="93">
        <f t="shared" si="6"/>
        <v>9000</v>
      </c>
      <c r="AI39" s="27"/>
      <c r="AJ39" s="27"/>
      <c r="AK39" s="73"/>
      <c r="AL39" s="28"/>
      <c r="AM39" s="79" t="s">
        <v>37</v>
      </c>
      <c r="AN39" s="75">
        <f t="shared" si="7"/>
        <v>9000</v>
      </c>
    </row>
    <row r="40" spans="2:41" s="29" customFormat="1" ht="18" customHeight="1" thickBot="1" x14ac:dyDescent="0.25">
      <c r="B40" s="104" t="s">
        <v>31</v>
      </c>
      <c r="C40" s="104">
        <f t="shared" ref="C40:AG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>
        <f t="shared" si="13"/>
        <v>0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 t="e">
        <f t="shared" si="13"/>
        <v>#VALUE!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104">
        <f t="shared" si="13"/>
        <v>0</v>
      </c>
      <c r="AF40" s="104">
        <f t="shared" si="13"/>
        <v>0</v>
      </c>
      <c r="AG40" s="104">
        <f t="shared" si="13"/>
        <v>0</v>
      </c>
      <c r="AH40" s="93" t="e">
        <f t="shared" si="6"/>
        <v>#VALUE!</v>
      </c>
      <c r="AI40" s="27"/>
      <c r="AJ40" s="27"/>
      <c r="AK40" s="73"/>
      <c r="AL40" s="28"/>
      <c r="AM40" s="77" t="s">
        <v>15</v>
      </c>
      <c r="AN40" s="75" t="e">
        <f t="shared" si="7"/>
        <v>#VALUE!</v>
      </c>
    </row>
    <row r="41" spans="2:41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104">
        <f t="shared" si="13"/>
        <v>0</v>
      </c>
      <c r="AF41" s="104">
        <f t="shared" si="13"/>
        <v>0</v>
      </c>
      <c r="AG41" s="104">
        <f t="shared" si="13"/>
        <v>0</v>
      </c>
      <c r="AH41" s="93">
        <f t="shared" si="6"/>
        <v>0</v>
      </c>
      <c r="AI41" s="6"/>
      <c r="AJ41" s="6"/>
      <c r="AK41" s="14"/>
      <c r="AL41" s="28"/>
      <c r="AM41" s="70"/>
      <c r="AN41" s="80"/>
      <c r="AO41" s="30"/>
    </row>
    <row r="42" spans="2:41" s="25" customFormat="1" ht="18" customHeight="1" x14ac:dyDescent="0.2">
      <c r="B42" s="92" t="s">
        <v>6</v>
      </c>
      <c r="C42" s="92">
        <f t="shared" ref="C42:AG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2">
        <f t="shared" si="14"/>
        <v>0</v>
      </c>
      <c r="AF42" s="92">
        <f t="shared" si="14"/>
        <v>0</v>
      </c>
      <c r="AG42" s="92">
        <f t="shared" si="14"/>
        <v>0</v>
      </c>
      <c r="AH42" s="93">
        <f t="shared" si="6"/>
        <v>0</v>
      </c>
      <c r="AI42" s="6"/>
      <c r="AJ42" s="6"/>
      <c r="AK42" s="14"/>
      <c r="AL42" s="28"/>
      <c r="AM42" s="70"/>
      <c r="AN42" s="29"/>
      <c r="AO42" s="30"/>
    </row>
    <row r="43" spans="2:41" s="17" customFormat="1" ht="18" customHeight="1" x14ac:dyDescent="0.2">
      <c r="B43" s="92" t="s">
        <v>7</v>
      </c>
      <c r="C43" s="92">
        <f t="shared" ref="C43:AG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2">
        <f t="shared" si="15"/>
        <v>0</v>
      </c>
      <c r="AF43" s="92">
        <f t="shared" si="15"/>
        <v>0</v>
      </c>
      <c r="AG43" s="92">
        <f t="shared" si="15"/>
        <v>0</v>
      </c>
      <c r="AH43" s="93">
        <f t="shared" si="6"/>
        <v>0</v>
      </c>
      <c r="AI43" s="2"/>
      <c r="AJ43" s="2"/>
      <c r="AK43" s="14"/>
      <c r="AL43" s="15"/>
      <c r="AM43" s="16"/>
    </row>
    <row r="44" spans="2:41" s="17" customFormat="1" ht="18" customHeight="1" x14ac:dyDescent="0.2">
      <c r="B44" s="92" t="s">
        <v>8</v>
      </c>
      <c r="C44" s="92">
        <f t="shared" ref="C44:AG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2">
        <f t="shared" si="16"/>
        <v>0</v>
      </c>
      <c r="AF44" s="92">
        <f t="shared" si="16"/>
        <v>0</v>
      </c>
      <c r="AG44" s="92">
        <f t="shared" si="16"/>
        <v>0</v>
      </c>
      <c r="AH44" s="93">
        <f t="shared" si="6"/>
        <v>0</v>
      </c>
      <c r="AI44" s="2"/>
      <c r="AJ44" s="2"/>
      <c r="AK44" s="14"/>
      <c r="AL44" s="15"/>
      <c r="AM44" s="16"/>
    </row>
    <row r="45" spans="2:41" s="17" customFormat="1" ht="18" customHeight="1" x14ac:dyDescent="0.2">
      <c r="B45" s="92" t="s">
        <v>9</v>
      </c>
      <c r="C45" s="92">
        <f t="shared" ref="C45:AG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2">
        <f t="shared" si="17"/>
        <v>0</v>
      </c>
      <c r="AF45" s="92">
        <f t="shared" si="17"/>
        <v>0</v>
      </c>
      <c r="AG45" s="92">
        <f t="shared" si="17"/>
        <v>0</v>
      </c>
      <c r="AH45" s="93">
        <f t="shared" si="6"/>
        <v>0</v>
      </c>
      <c r="AI45" s="2"/>
      <c r="AJ45" s="2"/>
      <c r="AK45" s="14"/>
      <c r="AL45" s="15"/>
      <c r="AM45" s="16"/>
    </row>
    <row r="46" spans="2:41" s="17" customFormat="1" ht="18" customHeight="1" x14ac:dyDescent="0.2">
      <c r="B46" s="92" t="s">
        <v>10</v>
      </c>
      <c r="C46" s="92">
        <f t="shared" ref="C46:AG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2">
        <f t="shared" si="18"/>
        <v>0</v>
      </c>
      <c r="AF46" s="92">
        <f t="shared" si="18"/>
        <v>0</v>
      </c>
      <c r="AG46" s="92">
        <f t="shared" si="18"/>
        <v>0</v>
      </c>
      <c r="AH46" s="93">
        <f t="shared" si="6"/>
        <v>0</v>
      </c>
      <c r="AI46" s="2"/>
      <c r="AJ46" s="2"/>
      <c r="AK46" s="14"/>
      <c r="AL46" s="15"/>
      <c r="AM46" s="16"/>
    </row>
    <row r="47" spans="2:41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2"/>
      <c r="AI47" s="2"/>
      <c r="AJ47" s="2"/>
      <c r="AK47" s="14"/>
      <c r="AL47" s="15"/>
      <c r="AM47" s="16"/>
    </row>
    <row r="48" spans="2:41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2"/>
      <c r="AI48" s="2"/>
      <c r="AJ48" s="2"/>
      <c r="AK48" s="14"/>
      <c r="AL48" s="15"/>
      <c r="AM48" s="16"/>
    </row>
    <row r="49" spans="2:40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2"/>
      <c r="AI49" s="2"/>
      <c r="AJ49" s="2"/>
      <c r="AK49" s="14"/>
      <c r="AL49" s="15"/>
      <c r="AM49" s="16"/>
    </row>
    <row r="50" spans="2:40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2"/>
      <c r="AI50" s="2"/>
      <c r="AJ50" s="2"/>
      <c r="AK50" s="14"/>
      <c r="AL50" s="15"/>
      <c r="AM50" s="81"/>
      <c r="AN50" s="17"/>
    </row>
    <row r="51" spans="2:40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"/>
      <c r="AI51" s="2"/>
      <c r="AJ51" s="2"/>
      <c r="AK51" s="14"/>
      <c r="AL51" s="15"/>
      <c r="AM51" s="81"/>
      <c r="AN51" s="17"/>
    </row>
    <row r="52" spans="2:40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2"/>
      <c r="AI52" s="2"/>
      <c r="AJ52" s="2"/>
      <c r="AK52" s="14"/>
      <c r="AL52" s="15"/>
      <c r="AM52" s="81"/>
      <c r="AN52" s="17"/>
    </row>
    <row r="53" spans="2:40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2"/>
      <c r="AJ53" s="2"/>
      <c r="AK53" s="14"/>
      <c r="AL53" s="15"/>
      <c r="AM53" s="81"/>
      <c r="AN53" s="17"/>
    </row>
    <row r="54" spans="2:40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2"/>
      <c r="AI54" s="2"/>
      <c r="AJ54" s="2"/>
      <c r="AK54" s="14"/>
      <c r="AL54" s="15"/>
      <c r="AM54" s="81"/>
      <c r="AN54" s="17"/>
    </row>
    <row r="55" spans="2:40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2"/>
      <c r="AI55" s="2"/>
      <c r="AJ55" s="2"/>
      <c r="AK55" s="14"/>
      <c r="AL55" s="15"/>
      <c r="AM55" s="81"/>
      <c r="AN55" s="17"/>
    </row>
    <row r="56" spans="2:40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2"/>
      <c r="AI56" s="2"/>
      <c r="AJ56" s="2"/>
      <c r="AK56" s="14"/>
      <c r="AL56" s="15"/>
      <c r="AM56" s="81"/>
      <c r="AN56" s="17"/>
    </row>
    <row r="57" spans="2:40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"/>
      <c r="AI57" s="2"/>
      <c r="AJ57" s="2"/>
      <c r="AK57" s="14"/>
      <c r="AL57" s="15"/>
      <c r="AM57" s="81"/>
      <c r="AN57" s="17"/>
    </row>
    <row r="58" spans="2:40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2"/>
      <c r="AI58" s="2"/>
      <c r="AJ58" s="2"/>
      <c r="AK58" s="14"/>
      <c r="AL58" s="15"/>
      <c r="AM58" s="81"/>
      <c r="AN58" s="17"/>
    </row>
    <row r="59" spans="2:40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2"/>
      <c r="AI59" s="2"/>
      <c r="AJ59" s="2"/>
      <c r="AK59" s="14"/>
      <c r="AL59" s="15"/>
      <c r="AM59" s="81"/>
      <c r="AN59" s="17"/>
    </row>
    <row r="60" spans="2:40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2"/>
      <c r="AI60" s="2"/>
      <c r="AJ60" s="2"/>
      <c r="AK60" s="14"/>
      <c r="AL60" s="15"/>
      <c r="AM60" s="81"/>
      <c r="AN60" s="17"/>
    </row>
    <row r="61" spans="2:40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2"/>
      <c r="AI61" s="2"/>
      <c r="AJ61" s="2"/>
      <c r="AK61" s="14"/>
      <c r="AL61" s="15"/>
      <c r="AM61" s="81"/>
      <c r="AN61" s="17"/>
    </row>
    <row r="62" spans="2:40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2"/>
      <c r="AI62" s="2"/>
      <c r="AJ62" s="2"/>
      <c r="AK62" s="14"/>
      <c r="AL62" s="15"/>
      <c r="AM62" s="81"/>
      <c r="AN62" s="17"/>
    </row>
    <row r="63" spans="2:40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2"/>
      <c r="AI63" s="2"/>
      <c r="AJ63" s="2"/>
      <c r="AK63" s="14"/>
      <c r="AL63" s="15"/>
      <c r="AM63" s="81"/>
      <c r="AN63" s="17"/>
    </row>
    <row r="64" spans="2:40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2"/>
      <c r="AI64" s="2"/>
      <c r="AJ64" s="2"/>
      <c r="AK64" s="14"/>
      <c r="AL64" s="15"/>
      <c r="AM64" s="81"/>
      <c r="AN64" s="17"/>
    </row>
    <row r="65" spans="2:40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2"/>
      <c r="AI65" s="2"/>
      <c r="AJ65" s="2"/>
      <c r="AK65" s="14"/>
      <c r="AL65" s="15"/>
      <c r="AM65" s="81"/>
      <c r="AN65" s="17"/>
    </row>
    <row r="66" spans="2:40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2"/>
      <c r="AI66" s="2"/>
      <c r="AJ66" s="2"/>
      <c r="AK66" s="14"/>
      <c r="AL66" s="15"/>
      <c r="AM66" s="81"/>
      <c r="AN66" s="17"/>
    </row>
    <row r="67" spans="2:40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2"/>
      <c r="AI67" s="2"/>
      <c r="AJ67" s="2"/>
      <c r="AK67" s="14"/>
      <c r="AL67" s="15"/>
      <c r="AM67" s="81"/>
      <c r="AN67" s="17"/>
    </row>
    <row r="68" spans="2:40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2"/>
      <c r="AI68" s="2"/>
      <c r="AJ68" s="2"/>
      <c r="AK68" s="14"/>
      <c r="AL68" s="15"/>
      <c r="AM68" s="81"/>
      <c r="AN68" s="17"/>
    </row>
    <row r="69" spans="2:40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2"/>
      <c r="AI69" s="2"/>
      <c r="AJ69" s="2"/>
      <c r="AK69" s="14"/>
      <c r="AL69" s="15"/>
      <c r="AM69" s="81"/>
      <c r="AN69" s="17"/>
    </row>
    <row r="70" spans="2:40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2"/>
      <c r="AI70" s="2"/>
      <c r="AJ70" s="2"/>
      <c r="AK70" s="14"/>
      <c r="AL70" s="15"/>
      <c r="AM70" s="81"/>
      <c r="AN70" s="17"/>
    </row>
    <row r="71" spans="2:40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2"/>
      <c r="AI71" s="2"/>
      <c r="AJ71" s="2"/>
      <c r="AK71" s="14"/>
      <c r="AL71" s="15"/>
      <c r="AM71" s="81"/>
      <c r="AN71" s="17"/>
    </row>
    <row r="72" spans="2:40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2"/>
      <c r="AI72" s="2"/>
      <c r="AJ72" s="2"/>
      <c r="AK72" s="14"/>
      <c r="AL72" s="15"/>
      <c r="AM72" s="81"/>
      <c r="AN72" s="17"/>
    </row>
    <row r="73" spans="2:40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2"/>
      <c r="AI73" s="2"/>
      <c r="AJ73" s="2"/>
      <c r="AK73" s="14"/>
      <c r="AL73" s="15"/>
      <c r="AM73" s="81"/>
      <c r="AN73" s="17"/>
    </row>
    <row r="74" spans="2:40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2"/>
      <c r="AI74" s="2"/>
      <c r="AJ74" s="2"/>
      <c r="AK74" s="14"/>
      <c r="AL74" s="15"/>
      <c r="AM74" s="81"/>
      <c r="AN74" s="17"/>
    </row>
    <row r="75" spans="2:40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2"/>
      <c r="AI75" s="2"/>
      <c r="AJ75" s="2"/>
      <c r="AK75" s="14"/>
      <c r="AL75" s="15"/>
      <c r="AM75" s="81"/>
      <c r="AN75" s="17"/>
    </row>
    <row r="76" spans="2:40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2"/>
      <c r="AI76" s="2"/>
      <c r="AJ76" s="2"/>
      <c r="AK76" s="14"/>
      <c r="AL76" s="15"/>
      <c r="AM76" s="81"/>
      <c r="AN76" s="17"/>
    </row>
    <row r="77" spans="2:40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2"/>
      <c r="AI77" s="2"/>
      <c r="AJ77" s="2"/>
      <c r="AK77" s="14"/>
      <c r="AL77" s="15"/>
      <c r="AM77" s="81"/>
      <c r="AN77" s="17"/>
    </row>
    <row r="78" spans="2:40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2"/>
      <c r="AI78" s="2"/>
      <c r="AJ78" s="2"/>
      <c r="AK78" s="14"/>
      <c r="AL78" s="15"/>
      <c r="AM78" s="81"/>
      <c r="AN78" s="17"/>
    </row>
    <row r="79" spans="2:40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2"/>
      <c r="AI79" s="2"/>
      <c r="AJ79" s="2"/>
      <c r="AK79" s="14"/>
      <c r="AL79" s="15"/>
      <c r="AM79" s="81"/>
      <c r="AN79" s="17"/>
    </row>
    <row r="80" spans="2:40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2"/>
      <c r="AI80" s="2"/>
      <c r="AJ80" s="2"/>
      <c r="AK80" s="14"/>
      <c r="AL80" s="15"/>
      <c r="AM80" s="81"/>
      <c r="AN80" s="17"/>
    </row>
    <row r="81" spans="2:41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2"/>
      <c r="AI81" s="2"/>
      <c r="AJ81" s="2"/>
      <c r="AK81" s="14"/>
      <c r="AL81" s="15"/>
      <c r="AM81" s="81"/>
      <c r="AN81" s="17"/>
    </row>
    <row r="82" spans="2:41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2"/>
      <c r="AI82" s="2"/>
      <c r="AJ82" s="2"/>
      <c r="AK82" s="14"/>
      <c r="AL82" s="15"/>
      <c r="AM82" s="81"/>
      <c r="AN82" s="17"/>
    </row>
    <row r="83" spans="2:41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2"/>
      <c r="AI83" s="2"/>
      <c r="AJ83" s="2"/>
      <c r="AK83" s="14"/>
      <c r="AL83" s="15"/>
      <c r="AM83" s="81"/>
      <c r="AN83" s="17"/>
    </row>
    <row r="84" spans="2:41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2"/>
      <c r="AI84" s="2"/>
      <c r="AJ84" s="2"/>
      <c r="AK84" s="14"/>
      <c r="AL84" s="15"/>
      <c r="AM84" s="81"/>
      <c r="AN84" s="17"/>
    </row>
    <row r="85" spans="2:41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2"/>
      <c r="AI85" s="2"/>
      <c r="AJ85" s="2"/>
      <c r="AK85" s="14"/>
      <c r="AL85" s="15"/>
      <c r="AM85" s="81"/>
      <c r="AN85" s="17"/>
    </row>
    <row r="86" spans="2:41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2"/>
      <c r="AI86" s="2"/>
      <c r="AJ86" s="2"/>
      <c r="AK86" s="14"/>
      <c r="AL86" s="15"/>
      <c r="AM86" s="81"/>
      <c r="AN86" s="17"/>
    </row>
    <row r="87" spans="2:41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2"/>
      <c r="AI87" s="2"/>
      <c r="AJ87" s="2"/>
      <c r="AK87" s="14"/>
      <c r="AL87" s="15"/>
      <c r="AM87" s="81"/>
      <c r="AN87" s="17"/>
    </row>
    <row r="88" spans="2:41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2"/>
      <c r="AI88" s="2"/>
      <c r="AJ88" s="2"/>
      <c r="AK88" s="14"/>
      <c r="AL88" s="15"/>
      <c r="AM88" s="81"/>
      <c r="AN88" s="17"/>
    </row>
    <row r="89" spans="2:41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2"/>
      <c r="AI89" s="2"/>
      <c r="AJ89" s="2"/>
      <c r="AK89" s="14"/>
      <c r="AL89" s="15"/>
      <c r="AM89" s="81"/>
      <c r="AN89" s="17"/>
    </row>
    <row r="90" spans="2:41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2"/>
      <c r="AI90" s="2"/>
      <c r="AJ90" s="2"/>
      <c r="AK90" s="14"/>
      <c r="AL90" s="15"/>
      <c r="AM90" s="81"/>
      <c r="AN90" s="17"/>
    </row>
    <row r="91" spans="2:41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2"/>
      <c r="AI91" s="2"/>
      <c r="AJ91" s="2"/>
      <c r="AK91" s="14"/>
      <c r="AL91" s="15"/>
      <c r="AM91" s="81"/>
      <c r="AN91" s="17"/>
    </row>
    <row r="92" spans="2:41" x14ac:dyDescent="0.2">
      <c r="AO92" s="19"/>
    </row>
  </sheetData>
  <mergeCells count="5">
    <mergeCell ref="A1:AH1"/>
    <mergeCell ref="A3:A4"/>
    <mergeCell ref="B3:B4"/>
    <mergeCell ref="C3:AG3"/>
    <mergeCell ref="AH3:AH4"/>
  </mergeCells>
  <pageMargins left="0.75" right="0.75" top="1" bottom="1" header="0.5" footer="0.5"/>
  <pageSetup paperSize="12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470F-CF3C-4BA0-AC12-BECC1441FD6D}">
  <dimension ref="A1:AN92"/>
  <sheetViews>
    <sheetView zoomScaleNormal="100" workbookViewId="0">
      <pane xSplit="2" topLeftCell="AF1" activePane="topRight" state="frozen"/>
      <selection pane="topRight" activeCell="AN8" sqref="AN8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2" width="15.77734375" style="1" customWidth="1"/>
    <col min="33" max="33" width="15.77734375" style="2" customWidth="1"/>
    <col min="34" max="34" width="10.5546875" style="2" customWidth="1"/>
    <col min="35" max="35" width="14.21875" style="2" customWidth="1"/>
    <col min="36" max="36" width="12.88671875" style="14" customWidth="1"/>
    <col min="37" max="37" width="13.109375" style="15" bestFit="1" customWidth="1"/>
    <col min="38" max="38" width="27.21875" style="16" customWidth="1"/>
    <col min="39" max="39" width="14.44140625" style="17" bestFit="1" customWidth="1"/>
    <col min="40" max="40" width="11.77734375" style="18" bestFit="1" customWidth="1"/>
    <col min="41" max="43" width="8.88671875" style="19"/>
    <col min="44" max="44" width="13.44140625" style="19" bestFit="1" customWidth="1"/>
    <col min="45" max="255" width="8.88671875" style="19"/>
    <col min="256" max="256" width="5.109375" style="19" customWidth="1"/>
    <col min="257" max="257" width="49.33203125" style="19" customWidth="1"/>
    <col min="258" max="289" width="15.77734375" style="19" customWidth="1"/>
    <col min="290" max="291" width="10.5546875" style="19" customWidth="1"/>
    <col min="292" max="292" width="11" style="19" customWidth="1"/>
    <col min="293" max="293" width="13.109375" style="19" bestFit="1" customWidth="1"/>
    <col min="294" max="294" width="27.21875" style="19" customWidth="1"/>
    <col min="295" max="295" width="14.44140625" style="19" bestFit="1" customWidth="1"/>
    <col min="296" max="296" width="11.77734375" style="19" bestFit="1" customWidth="1"/>
    <col min="297" max="299" width="8.88671875" style="19"/>
    <col min="300" max="300" width="13.44140625" style="19" bestFit="1" customWidth="1"/>
    <col min="301" max="511" width="8.88671875" style="19"/>
    <col min="512" max="512" width="5.109375" style="19" customWidth="1"/>
    <col min="513" max="513" width="49.33203125" style="19" customWidth="1"/>
    <col min="514" max="545" width="15.77734375" style="19" customWidth="1"/>
    <col min="546" max="547" width="10.5546875" style="19" customWidth="1"/>
    <col min="548" max="548" width="11" style="19" customWidth="1"/>
    <col min="549" max="549" width="13.109375" style="19" bestFit="1" customWidth="1"/>
    <col min="550" max="550" width="27.21875" style="19" customWidth="1"/>
    <col min="551" max="551" width="14.44140625" style="19" bestFit="1" customWidth="1"/>
    <col min="552" max="552" width="11.77734375" style="19" bestFit="1" customWidth="1"/>
    <col min="553" max="555" width="8.88671875" style="19"/>
    <col min="556" max="556" width="13.44140625" style="19" bestFit="1" customWidth="1"/>
    <col min="557" max="767" width="8.88671875" style="19"/>
    <col min="768" max="768" width="5.109375" style="19" customWidth="1"/>
    <col min="769" max="769" width="49.33203125" style="19" customWidth="1"/>
    <col min="770" max="801" width="15.77734375" style="19" customWidth="1"/>
    <col min="802" max="803" width="10.5546875" style="19" customWidth="1"/>
    <col min="804" max="804" width="11" style="19" customWidth="1"/>
    <col min="805" max="805" width="13.109375" style="19" bestFit="1" customWidth="1"/>
    <col min="806" max="806" width="27.21875" style="19" customWidth="1"/>
    <col min="807" max="807" width="14.44140625" style="19" bestFit="1" customWidth="1"/>
    <col min="808" max="808" width="11.77734375" style="19" bestFit="1" customWidth="1"/>
    <col min="809" max="811" width="8.88671875" style="19"/>
    <col min="812" max="812" width="13.44140625" style="19" bestFit="1" customWidth="1"/>
    <col min="813" max="1023" width="8.88671875" style="19"/>
    <col min="1024" max="1024" width="5.109375" style="19" customWidth="1"/>
    <col min="1025" max="1025" width="49.33203125" style="19" customWidth="1"/>
    <col min="1026" max="1057" width="15.77734375" style="19" customWidth="1"/>
    <col min="1058" max="1059" width="10.5546875" style="19" customWidth="1"/>
    <col min="1060" max="1060" width="11" style="19" customWidth="1"/>
    <col min="1061" max="1061" width="13.109375" style="19" bestFit="1" customWidth="1"/>
    <col min="1062" max="1062" width="27.21875" style="19" customWidth="1"/>
    <col min="1063" max="1063" width="14.44140625" style="19" bestFit="1" customWidth="1"/>
    <col min="1064" max="1064" width="11.77734375" style="19" bestFit="1" customWidth="1"/>
    <col min="1065" max="1067" width="8.88671875" style="19"/>
    <col min="1068" max="1068" width="13.44140625" style="19" bestFit="1" customWidth="1"/>
    <col min="1069" max="1279" width="8.88671875" style="19"/>
    <col min="1280" max="1280" width="5.109375" style="19" customWidth="1"/>
    <col min="1281" max="1281" width="49.33203125" style="19" customWidth="1"/>
    <col min="1282" max="1313" width="15.77734375" style="19" customWidth="1"/>
    <col min="1314" max="1315" width="10.5546875" style="19" customWidth="1"/>
    <col min="1316" max="1316" width="11" style="19" customWidth="1"/>
    <col min="1317" max="1317" width="13.109375" style="19" bestFit="1" customWidth="1"/>
    <col min="1318" max="1318" width="27.21875" style="19" customWidth="1"/>
    <col min="1319" max="1319" width="14.44140625" style="19" bestFit="1" customWidth="1"/>
    <col min="1320" max="1320" width="11.77734375" style="19" bestFit="1" customWidth="1"/>
    <col min="1321" max="1323" width="8.88671875" style="19"/>
    <col min="1324" max="1324" width="13.44140625" style="19" bestFit="1" customWidth="1"/>
    <col min="1325" max="1535" width="8.88671875" style="19"/>
    <col min="1536" max="1536" width="5.109375" style="19" customWidth="1"/>
    <col min="1537" max="1537" width="49.33203125" style="19" customWidth="1"/>
    <col min="1538" max="1569" width="15.77734375" style="19" customWidth="1"/>
    <col min="1570" max="1571" width="10.5546875" style="19" customWidth="1"/>
    <col min="1572" max="1572" width="11" style="19" customWidth="1"/>
    <col min="1573" max="1573" width="13.109375" style="19" bestFit="1" customWidth="1"/>
    <col min="1574" max="1574" width="27.21875" style="19" customWidth="1"/>
    <col min="1575" max="1575" width="14.44140625" style="19" bestFit="1" customWidth="1"/>
    <col min="1576" max="1576" width="11.77734375" style="19" bestFit="1" customWidth="1"/>
    <col min="1577" max="1579" width="8.88671875" style="19"/>
    <col min="1580" max="1580" width="13.44140625" style="19" bestFit="1" customWidth="1"/>
    <col min="1581" max="1791" width="8.88671875" style="19"/>
    <col min="1792" max="1792" width="5.109375" style="19" customWidth="1"/>
    <col min="1793" max="1793" width="49.33203125" style="19" customWidth="1"/>
    <col min="1794" max="1825" width="15.77734375" style="19" customWidth="1"/>
    <col min="1826" max="1827" width="10.5546875" style="19" customWidth="1"/>
    <col min="1828" max="1828" width="11" style="19" customWidth="1"/>
    <col min="1829" max="1829" width="13.109375" style="19" bestFit="1" customWidth="1"/>
    <col min="1830" max="1830" width="27.21875" style="19" customWidth="1"/>
    <col min="1831" max="1831" width="14.44140625" style="19" bestFit="1" customWidth="1"/>
    <col min="1832" max="1832" width="11.77734375" style="19" bestFit="1" customWidth="1"/>
    <col min="1833" max="1835" width="8.88671875" style="19"/>
    <col min="1836" max="1836" width="13.44140625" style="19" bestFit="1" customWidth="1"/>
    <col min="1837" max="2047" width="8.88671875" style="19"/>
    <col min="2048" max="2048" width="5.109375" style="19" customWidth="1"/>
    <col min="2049" max="2049" width="49.33203125" style="19" customWidth="1"/>
    <col min="2050" max="2081" width="15.77734375" style="19" customWidth="1"/>
    <col min="2082" max="2083" width="10.5546875" style="19" customWidth="1"/>
    <col min="2084" max="2084" width="11" style="19" customWidth="1"/>
    <col min="2085" max="2085" width="13.109375" style="19" bestFit="1" customWidth="1"/>
    <col min="2086" max="2086" width="27.21875" style="19" customWidth="1"/>
    <col min="2087" max="2087" width="14.44140625" style="19" bestFit="1" customWidth="1"/>
    <col min="2088" max="2088" width="11.77734375" style="19" bestFit="1" customWidth="1"/>
    <col min="2089" max="2091" width="8.88671875" style="19"/>
    <col min="2092" max="2092" width="13.44140625" style="19" bestFit="1" customWidth="1"/>
    <col min="2093" max="2303" width="8.88671875" style="19"/>
    <col min="2304" max="2304" width="5.109375" style="19" customWidth="1"/>
    <col min="2305" max="2305" width="49.33203125" style="19" customWidth="1"/>
    <col min="2306" max="2337" width="15.77734375" style="19" customWidth="1"/>
    <col min="2338" max="2339" width="10.5546875" style="19" customWidth="1"/>
    <col min="2340" max="2340" width="11" style="19" customWidth="1"/>
    <col min="2341" max="2341" width="13.109375" style="19" bestFit="1" customWidth="1"/>
    <col min="2342" max="2342" width="27.21875" style="19" customWidth="1"/>
    <col min="2343" max="2343" width="14.44140625" style="19" bestFit="1" customWidth="1"/>
    <col min="2344" max="2344" width="11.77734375" style="19" bestFit="1" customWidth="1"/>
    <col min="2345" max="2347" width="8.88671875" style="19"/>
    <col min="2348" max="2348" width="13.44140625" style="19" bestFit="1" customWidth="1"/>
    <col min="2349" max="2559" width="8.88671875" style="19"/>
    <col min="2560" max="2560" width="5.109375" style="19" customWidth="1"/>
    <col min="2561" max="2561" width="49.33203125" style="19" customWidth="1"/>
    <col min="2562" max="2593" width="15.77734375" style="19" customWidth="1"/>
    <col min="2594" max="2595" width="10.5546875" style="19" customWidth="1"/>
    <col min="2596" max="2596" width="11" style="19" customWidth="1"/>
    <col min="2597" max="2597" width="13.109375" style="19" bestFit="1" customWidth="1"/>
    <col min="2598" max="2598" width="27.21875" style="19" customWidth="1"/>
    <col min="2599" max="2599" width="14.44140625" style="19" bestFit="1" customWidth="1"/>
    <col min="2600" max="2600" width="11.77734375" style="19" bestFit="1" customWidth="1"/>
    <col min="2601" max="2603" width="8.88671875" style="19"/>
    <col min="2604" max="2604" width="13.44140625" style="19" bestFit="1" customWidth="1"/>
    <col min="2605" max="2815" width="8.88671875" style="19"/>
    <col min="2816" max="2816" width="5.109375" style="19" customWidth="1"/>
    <col min="2817" max="2817" width="49.33203125" style="19" customWidth="1"/>
    <col min="2818" max="2849" width="15.77734375" style="19" customWidth="1"/>
    <col min="2850" max="2851" width="10.5546875" style="19" customWidth="1"/>
    <col min="2852" max="2852" width="11" style="19" customWidth="1"/>
    <col min="2853" max="2853" width="13.109375" style="19" bestFit="1" customWidth="1"/>
    <col min="2854" max="2854" width="27.21875" style="19" customWidth="1"/>
    <col min="2855" max="2855" width="14.44140625" style="19" bestFit="1" customWidth="1"/>
    <col min="2856" max="2856" width="11.77734375" style="19" bestFit="1" customWidth="1"/>
    <col min="2857" max="2859" width="8.88671875" style="19"/>
    <col min="2860" max="2860" width="13.44140625" style="19" bestFit="1" customWidth="1"/>
    <col min="2861" max="3071" width="8.88671875" style="19"/>
    <col min="3072" max="3072" width="5.109375" style="19" customWidth="1"/>
    <col min="3073" max="3073" width="49.33203125" style="19" customWidth="1"/>
    <col min="3074" max="3105" width="15.77734375" style="19" customWidth="1"/>
    <col min="3106" max="3107" width="10.5546875" style="19" customWidth="1"/>
    <col min="3108" max="3108" width="11" style="19" customWidth="1"/>
    <col min="3109" max="3109" width="13.109375" style="19" bestFit="1" customWidth="1"/>
    <col min="3110" max="3110" width="27.21875" style="19" customWidth="1"/>
    <col min="3111" max="3111" width="14.44140625" style="19" bestFit="1" customWidth="1"/>
    <col min="3112" max="3112" width="11.77734375" style="19" bestFit="1" customWidth="1"/>
    <col min="3113" max="3115" width="8.88671875" style="19"/>
    <col min="3116" max="3116" width="13.44140625" style="19" bestFit="1" customWidth="1"/>
    <col min="3117" max="3327" width="8.88671875" style="19"/>
    <col min="3328" max="3328" width="5.109375" style="19" customWidth="1"/>
    <col min="3329" max="3329" width="49.33203125" style="19" customWidth="1"/>
    <col min="3330" max="3361" width="15.77734375" style="19" customWidth="1"/>
    <col min="3362" max="3363" width="10.5546875" style="19" customWidth="1"/>
    <col min="3364" max="3364" width="11" style="19" customWidth="1"/>
    <col min="3365" max="3365" width="13.109375" style="19" bestFit="1" customWidth="1"/>
    <col min="3366" max="3366" width="27.21875" style="19" customWidth="1"/>
    <col min="3367" max="3367" width="14.44140625" style="19" bestFit="1" customWidth="1"/>
    <col min="3368" max="3368" width="11.77734375" style="19" bestFit="1" customWidth="1"/>
    <col min="3369" max="3371" width="8.88671875" style="19"/>
    <col min="3372" max="3372" width="13.44140625" style="19" bestFit="1" customWidth="1"/>
    <col min="3373" max="3583" width="8.88671875" style="19"/>
    <col min="3584" max="3584" width="5.109375" style="19" customWidth="1"/>
    <col min="3585" max="3585" width="49.33203125" style="19" customWidth="1"/>
    <col min="3586" max="3617" width="15.77734375" style="19" customWidth="1"/>
    <col min="3618" max="3619" width="10.5546875" style="19" customWidth="1"/>
    <col min="3620" max="3620" width="11" style="19" customWidth="1"/>
    <col min="3621" max="3621" width="13.109375" style="19" bestFit="1" customWidth="1"/>
    <col min="3622" max="3622" width="27.21875" style="19" customWidth="1"/>
    <col min="3623" max="3623" width="14.44140625" style="19" bestFit="1" customWidth="1"/>
    <col min="3624" max="3624" width="11.77734375" style="19" bestFit="1" customWidth="1"/>
    <col min="3625" max="3627" width="8.88671875" style="19"/>
    <col min="3628" max="3628" width="13.44140625" style="19" bestFit="1" customWidth="1"/>
    <col min="3629" max="3839" width="8.88671875" style="19"/>
    <col min="3840" max="3840" width="5.109375" style="19" customWidth="1"/>
    <col min="3841" max="3841" width="49.33203125" style="19" customWidth="1"/>
    <col min="3842" max="3873" width="15.77734375" style="19" customWidth="1"/>
    <col min="3874" max="3875" width="10.5546875" style="19" customWidth="1"/>
    <col min="3876" max="3876" width="11" style="19" customWidth="1"/>
    <col min="3877" max="3877" width="13.109375" style="19" bestFit="1" customWidth="1"/>
    <col min="3878" max="3878" width="27.21875" style="19" customWidth="1"/>
    <col min="3879" max="3879" width="14.44140625" style="19" bestFit="1" customWidth="1"/>
    <col min="3880" max="3880" width="11.77734375" style="19" bestFit="1" customWidth="1"/>
    <col min="3881" max="3883" width="8.88671875" style="19"/>
    <col min="3884" max="3884" width="13.44140625" style="19" bestFit="1" customWidth="1"/>
    <col min="3885" max="4095" width="8.88671875" style="19"/>
    <col min="4096" max="4096" width="5.109375" style="19" customWidth="1"/>
    <col min="4097" max="4097" width="49.33203125" style="19" customWidth="1"/>
    <col min="4098" max="4129" width="15.77734375" style="19" customWidth="1"/>
    <col min="4130" max="4131" width="10.5546875" style="19" customWidth="1"/>
    <col min="4132" max="4132" width="11" style="19" customWidth="1"/>
    <col min="4133" max="4133" width="13.109375" style="19" bestFit="1" customWidth="1"/>
    <col min="4134" max="4134" width="27.21875" style="19" customWidth="1"/>
    <col min="4135" max="4135" width="14.44140625" style="19" bestFit="1" customWidth="1"/>
    <col min="4136" max="4136" width="11.77734375" style="19" bestFit="1" customWidth="1"/>
    <col min="4137" max="4139" width="8.88671875" style="19"/>
    <col min="4140" max="4140" width="13.44140625" style="19" bestFit="1" customWidth="1"/>
    <col min="4141" max="4351" width="8.88671875" style="19"/>
    <col min="4352" max="4352" width="5.109375" style="19" customWidth="1"/>
    <col min="4353" max="4353" width="49.33203125" style="19" customWidth="1"/>
    <col min="4354" max="4385" width="15.77734375" style="19" customWidth="1"/>
    <col min="4386" max="4387" width="10.5546875" style="19" customWidth="1"/>
    <col min="4388" max="4388" width="11" style="19" customWidth="1"/>
    <col min="4389" max="4389" width="13.109375" style="19" bestFit="1" customWidth="1"/>
    <col min="4390" max="4390" width="27.21875" style="19" customWidth="1"/>
    <col min="4391" max="4391" width="14.44140625" style="19" bestFit="1" customWidth="1"/>
    <col min="4392" max="4392" width="11.77734375" style="19" bestFit="1" customWidth="1"/>
    <col min="4393" max="4395" width="8.88671875" style="19"/>
    <col min="4396" max="4396" width="13.44140625" style="19" bestFit="1" customWidth="1"/>
    <col min="4397" max="4607" width="8.88671875" style="19"/>
    <col min="4608" max="4608" width="5.109375" style="19" customWidth="1"/>
    <col min="4609" max="4609" width="49.33203125" style="19" customWidth="1"/>
    <col min="4610" max="4641" width="15.77734375" style="19" customWidth="1"/>
    <col min="4642" max="4643" width="10.5546875" style="19" customWidth="1"/>
    <col min="4644" max="4644" width="11" style="19" customWidth="1"/>
    <col min="4645" max="4645" width="13.109375" style="19" bestFit="1" customWidth="1"/>
    <col min="4646" max="4646" width="27.21875" style="19" customWidth="1"/>
    <col min="4647" max="4647" width="14.44140625" style="19" bestFit="1" customWidth="1"/>
    <col min="4648" max="4648" width="11.77734375" style="19" bestFit="1" customWidth="1"/>
    <col min="4649" max="4651" width="8.88671875" style="19"/>
    <col min="4652" max="4652" width="13.44140625" style="19" bestFit="1" customWidth="1"/>
    <col min="4653" max="4863" width="8.88671875" style="19"/>
    <col min="4864" max="4864" width="5.109375" style="19" customWidth="1"/>
    <col min="4865" max="4865" width="49.33203125" style="19" customWidth="1"/>
    <col min="4866" max="4897" width="15.77734375" style="19" customWidth="1"/>
    <col min="4898" max="4899" width="10.5546875" style="19" customWidth="1"/>
    <col min="4900" max="4900" width="11" style="19" customWidth="1"/>
    <col min="4901" max="4901" width="13.109375" style="19" bestFit="1" customWidth="1"/>
    <col min="4902" max="4902" width="27.21875" style="19" customWidth="1"/>
    <col min="4903" max="4903" width="14.44140625" style="19" bestFit="1" customWidth="1"/>
    <col min="4904" max="4904" width="11.77734375" style="19" bestFit="1" customWidth="1"/>
    <col min="4905" max="4907" width="8.88671875" style="19"/>
    <col min="4908" max="4908" width="13.44140625" style="19" bestFit="1" customWidth="1"/>
    <col min="4909" max="5119" width="8.88671875" style="19"/>
    <col min="5120" max="5120" width="5.109375" style="19" customWidth="1"/>
    <col min="5121" max="5121" width="49.33203125" style="19" customWidth="1"/>
    <col min="5122" max="5153" width="15.77734375" style="19" customWidth="1"/>
    <col min="5154" max="5155" width="10.5546875" style="19" customWidth="1"/>
    <col min="5156" max="5156" width="11" style="19" customWidth="1"/>
    <col min="5157" max="5157" width="13.109375" style="19" bestFit="1" customWidth="1"/>
    <col min="5158" max="5158" width="27.21875" style="19" customWidth="1"/>
    <col min="5159" max="5159" width="14.44140625" style="19" bestFit="1" customWidth="1"/>
    <col min="5160" max="5160" width="11.77734375" style="19" bestFit="1" customWidth="1"/>
    <col min="5161" max="5163" width="8.88671875" style="19"/>
    <col min="5164" max="5164" width="13.44140625" style="19" bestFit="1" customWidth="1"/>
    <col min="5165" max="5375" width="8.88671875" style="19"/>
    <col min="5376" max="5376" width="5.109375" style="19" customWidth="1"/>
    <col min="5377" max="5377" width="49.33203125" style="19" customWidth="1"/>
    <col min="5378" max="5409" width="15.77734375" style="19" customWidth="1"/>
    <col min="5410" max="5411" width="10.5546875" style="19" customWidth="1"/>
    <col min="5412" max="5412" width="11" style="19" customWidth="1"/>
    <col min="5413" max="5413" width="13.109375" style="19" bestFit="1" customWidth="1"/>
    <col min="5414" max="5414" width="27.21875" style="19" customWidth="1"/>
    <col min="5415" max="5415" width="14.44140625" style="19" bestFit="1" customWidth="1"/>
    <col min="5416" max="5416" width="11.77734375" style="19" bestFit="1" customWidth="1"/>
    <col min="5417" max="5419" width="8.88671875" style="19"/>
    <col min="5420" max="5420" width="13.44140625" style="19" bestFit="1" customWidth="1"/>
    <col min="5421" max="5631" width="8.88671875" style="19"/>
    <col min="5632" max="5632" width="5.109375" style="19" customWidth="1"/>
    <col min="5633" max="5633" width="49.33203125" style="19" customWidth="1"/>
    <col min="5634" max="5665" width="15.77734375" style="19" customWidth="1"/>
    <col min="5666" max="5667" width="10.5546875" style="19" customWidth="1"/>
    <col min="5668" max="5668" width="11" style="19" customWidth="1"/>
    <col min="5669" max="5669" width="13.109375" style="19" bestFit="1" customWidth="1"/>
    <col min="5670" max="5670" width="27.21875" style="19" customWidth="1"/>
    <col min="5671" max="5671" width="14.44140625" style="19" bestFit="1" customWidth="1"/>
    <col min="5672" max="5672" width="11.77734375" style="19" bestFit="1" customWidth="1"/>
    <col min="5673" max="5675" width="8.88671875" style="19"/>
    <col min="5676" max="5676" width="13.44140625" style="19" bestFit="1" customWidth="1"/>
    <col min="5677" max="5887" width="8.88671875" style="19"/>
    <col min="5888" max="5888" width="5.109375" style="19" customWidth="1"/>
    <col min="5889" max="5889" width="49.33203125" style="19" customWidth="1"/>
    <col min="5890" max="5921" width="15.77734375" style="19" customWidth="1"/>
    <col min="5922" max="5923" width="10.5546875" style="19" customWidth="1"/>
    <col min="5924" max="5924" width="11" style="19" customWidth="1"/>
    <col min="5925" max="5925" width="13.109375" style="19" bestFit="1" customWidth="1"/>
    <col min="5926" max="5926" width="27.21875" style="19" customWidth="1"/>
    <col min="5927" max="5927" width="14.44140625" style="19" bestFit="1" customWidth="1"/>
    <col min="5928" max="5928" width="11.77734375" style="19" bestFit="1" customWidth="1"/>
    <col min="5929" max="5931" width="8.88671875" style="19"/>
    <col min="5932" max="5932" width="13.44140625" style="19" bestFit="1" customWidth="1"/>
    <col min="5933" max="6143" width="8.88671875" style="19"/>
    <col min="6144" max="6144" width="5.109375" style="19" customWidth="1"/>
    <col min="6145" max="6145" width="49.33203125" style="19" customWidth="1"/>
    <col min="6146" max="6177" width="15.77734375" style="19" customWidth="1"/>
    <col min="6178" max="6179" width="10.5546875" style="19" customWidth="1"/>
    <col min="6180" max="6180" width="11" style="19" customWidth="1"/>
    <col min="6181" max="6181" width="13.109375" style="19" bestFit="1" customWidth="1"/>
    <col min="6182" max="6182" width="27.21875" style="19" customWidth="1"/>
    <col min="6183" max="6183" width="14.44140625" style="19" bestFit="1" customWidth="1"/>
    <col min="6184" max="6184" width="11.77734375" style="19" bestFit="1" customWidth="1"/>
    <col min="6185" max="6187" width="8.88671875" style="19"/>
    <col min="6188" max="6188" width="13.44140625" style="19" bestFit="1" customWidth="1"/>
    <col min="6189" max="6399" width="8.88671875" style="19"/>
    <col min="6400" max="6400" width="5.109375" style="19" customWidth="1"/>
    <col min="6401" max="6401" width="49.33203125" style="19" customWidth="1"/>
    <col min="6402" max="6433" width="15.77734375" style="19" customWidth="1"/>
    <col min="6434" max="6435" width="10.5546875" style="19" customWidth="1"/>
    <col min="6436" max="6436" width="11" style="19" customWidth="1"/>
    <col min="6437" max="6437" width="13.109375" style="19" bestFit="1" customWidth="1"/>
    <col min="6438" max="6438" width="27.21875" style="19" customWidth="1"/>
    <col min="6439" max="6439" width="14.44140625" style="19" bestFit="1" customWidth="1"/>
    <col min="6440" max="6440" width="11.77734375" style="19" bestFit="1" customWidth="1"/>
    <col min="6441" max="6443" width="8.88671875" style="19"/>
    <col min="6444" max="6444" width="13.44140625" style="19" bestFit="1" customWidth="1"/>
    <col min="6445" max="6655" width="8.88671875" style="19"/>
    <col min="6656" max="6656" width="5.109375" style="19" customWidth="1"/>
    <col min="6657" max="6657" width="49.33203125" style="19" customWidth="1"/>
    <col min="6658" max="6689" width="15.77734375" style="19" customWidth="1"/>
    <col min="6690" max="6691" width="10.5546875" style="19" customWidth="1"/>
    <col min="6692" max="6692" width="11" style="19" customWidth="1"/>
    <col min="6693" max="6693" width="13.109375" style="19" bestFit="1" customWidth="1"/>
    <col min="6694" max="6694" width="27.21875" style="19" customWidth="1"/>
    <col min="6695" max="6695" width="14.44140625" style="19" bestFit="1" customWidth="1"/>
    <col min="6696" max="6696" width="11.77734375" style="19" bestFit="1" customWidth="1"/>
    <col min="6697" max="6699" width="8.88671875" style="19"/>
    <col min="6700" max="6700" width="13.44140625" style="19" bestFit="1" customWidth="1"/>
    <col min="6701" max="6911" width="8.88671875" style="19"/>
    <col min="6912" max="6912" width="5.109375" style="19" customWidth="1"/>
    <col min="6913" max="6913" width="49.33203125" style="19" customWidth="1"/>
    <col min="6914" max="6945" width="15.77734375" style="19" customWidth="1"/>
    <col min="6946" max="6947" width="10.5546875" style="19" customWidth="1"/>
    <col min="6948" max="6948" width="11" style="19" customWidth="1"/>
    <col min="6949" max="6949" width="13.109375" style="19" bestFit="1" customWidth="1"/>
    <col min="6950" max="6950" width="27.21875" style="19" customWidth="1"/>
    <col min="6951" max="6951" width="14.44140625" style="19" bestFit="1" customWidth="1"/>
    <col min="6952" max="6952" width="11.77734375" style="19" bestFit="1" customWidth="1"/>
    <col min="6953" max="6955" width="8.88671875" style="19"/>
    <col min="6956" max="6956" width="13.44140625" style="19" bestFit="1" customWidth="1"/>
    <col min="6957" max="7167" width="8.88671875" style="19"/>
    <col min="7168" max="7168" width="5.109375" style="19" customWidth="1"/>
    <col min="7169" max="7169" width="49.33203125" style="19" customWidth="1"/>
    <col min="7170" max="7201" width="15.77734375" style="19" customWidth="1"/>
    <col min="7202" max="7203" width="10.5546875" style="19" customWidth="1"/>
    <col min="7204" max="7204" width="11" style="19" customWidth="1"/>
    <col min="7205" max="7205" width="13.109375" style="19" bestFit="1" customWidth="1"/>
    <col min="7206" max="7206" width="27.21875" style="19" customWidth="1"/>
    <col min="7207" max="7207" width="14.44140625" style="19" bestFit="1" customWidth="1"/>
    <col min="7208" max="7208" width="11.77734375" style="19" bestFit="1" customWidth="1"/>
    <col min="7209" max="7211" width="8.88671875" style="19"/>
    <col min="7212" max="7212" width="13.44140625" style="19" bestFit="1" customWidth="1"/>
    <col min="7213" max="7423" width="8.88671875" style="19"/>
    <col min="7424" max="7424" width="5.109375" style="19" customWidth="1"/>
    <col min="7425" max="7425" width="49.33203125" style="19" customWidth="1"/>
    <col min="7426" max="7457" width="15.77734375" style="19" customWidth="1"/>
    <col min="7458" max="7459" width="10.5546875" style="19" customWidth="1"/>
    <col min="7460" max="7460" width="11" style="19" customWidth="1"/>
    <col min="7461" max="7461" width="13.109375" style="19" bestFit="1" customWidth="1"/>
    <col min="7462" max="7462" width="27.21875" style="19" customWidth="1"/>
    <col min="7463" max="7463" width="14.44140625" style="19" bestFit="1" customWidth="1"/>
    <col min="7464" max="7464" width="11.77734375" style="19" bestFit="1" customWidth="1"/>
    <col min="7465" max="7467" width="8.88671875" style="19"/>
    <col min="7468" max="7468" width="13.44140625" style="19" bestFit="1" customWidth="1"/>
    <col min="7469" max="7679" width="8.88671875" style="19"/>
    <col min="7680" max="7680" width="5.109375" style="19" customWidth="1"/>
    <col min="7681" max="7681" width="49.33203125" style="19" customWidth="1"/>
    <col min="7682" max="7713" width="15.77734375" style="19" customWidth="1"/>
    <col min="7714" max="7715" width="10.5546875" style="19" customWidth="1"/>
    <col min="7716" max="7716" width="11" style="19" customWidth="1"/>
    <col min="7717" max="7717" width="13.109375" style="19" bestFit="1" customWidth="1"/>
    <col min="7718" max="7718" width="27.21875" style="19" customWidth="1"/>
    <col min="7719" max="7719" width="14.44140625" style="19" bestFit="1" customWidth="1"/>
    <col min="7720" max="7720" width="11.77734375" style="19" bestFit="1" customWidth="1"/>
    <col min="7721" max="7723" width="8.88671875" style="19"/>
    <col min="7724" max="7724" width="13.44140625" style="19" bestFit="1" customWidth="1"/>
    <col min="7725" max="7935" width="8.88671875" style="19"/>
    <col min="7936" max="7936" width="5.109375" style="19" customWidth="1"/>
    <col min="7937" max="7937" width="49.33203125" style="19" customWidth="1"/>
    <col min="7938" max="7969" width="15.77734375" style="19" customWidth="1"/>
    <col min="7970" max="7971" width="10.5546875" style="19" customWidth="1"/>
    <col min="7972" max="7972" width="11" style="19" customWidth="1"/>
    <col min="7973" max="7973" width="13.109375" style="19" bestFit="1" customWidth="1"/>
    <col min="7974" max="7974" width="27.21875" style="19" customWidth="1"/>
    <col min="7975" max="7975" width="14.44140625" style="19" bestFit="1" customWidth="1"/>
    <col min="7976" max="7976" width="11.77734375" style="19" bestFit="1" customWidth="1"/>
    <col min="7977" max="7979" width="8.88671875" style="19"/>
    <col min="7980" max="7980" width="13.44140625" style="19" bestFit="1" customWidth="1"/>
    <col min="7981" max="8191" width="8.88671875" style="19"/>
    <col min="8192" max="8192" width="5.109375" style="19" customWidth="1"/>
    <col min="8193" max="8193" width="49.33203125" style="19" customWidth="1"/>
    <col min="8194" max="8225" width="15.77734375" style="19" customWidth="1"/>
    <col min="8226" max="8227" width="10.5546875" style="19" customWidth="1"/>
    <col min="8228" max="8228" width="11" style="19" customWidth="1"/>
    <col min="8229" max="8229" width="13.109375" style="19" bestFit="1" customWidth="1"/>
    <col min="8230" max="8230" width="27.21875" style="19" customWidth="1"/>
    <col min="8231" max="8231" width="14.44140625" style="19" bestFit="1" customWidth="1"/>
    <col min="8232" max="8232" width="11.77734375" style="19" bestFit="1" customWidth="1"/>
    <col min="8233" max="8235" width="8.88671875" style="19"/>
    <col min="8236" max="8236" width="13.44140625" style="19" bestFit="1" customWidth="1"/>
    <col min="8237" max="8447" width="8.88671875" style="19"/>
    <col min="8448" max="8448" width="5.109375" style="19" customWidth="1"/>
    <col min="8449" max="8449" width="49.33203125" style="19" customWidth="1"/>
    <col min="8450" max="8481" width="15.77734375" style="19" customWidth="1"/>
    <col min="8482" max="8483" width="10.5546875" style="19" customWidth="1"/>
    <col min="8484" max="8484" width="11" style="19" customWidth="1"/>
    <col min="8485" max="8485" width="13.109375" style="19" bestFit="1" customWidth="1"/>
    <col min="8486" max="8486" width="27.21875" style="19" customWidth="1"/>
    <col min="8487" max="8487" width="14.44140625" style="19" bestFit="1" customWidth="1"/>
    <col min="8488" max="8488" width="11.77734375" style="19" bestFit="1" customWidth="1"/>
    <col min="8489" max="8491" width="8.88671875" style="19"/>
    <col min="8492" max="8492" width="13.44140625" style="19" bestFit="1" customWidth="1"/>
    <col min="8493" max="8703" width="8.88671875" style="19"/>
    <col min="8704" max="8704" width="5.109375" style="19" customWidth="1"/>
    <col min="8705" max="8705" width="49.33203125" style="19" customWidth="1"/>
    <col min="8706" max="8737" width="15.77734375" style="19" customWidth="1"/>
    <col min="8738" max="8739" width="10.5546875" style="19" customWidth="1"/>
    <col min="8740" max="8740" width="11" style="19" customWidth="1"/>
    <col min="8741" max="8741" width="13.109375" style="19" bestFit="1" customWidth="1"/>
    <col min="8742" max="8742" width="27.21875" style="19" customWidth="1"/>
    <col min="8743" max="8743" width="14.44140625" style="19" bestFit="1" customWidth="1"/>
    <col min="8744" max="8744" width="11.77734375" style="19" bestFit="1" customWidth="1"/>
    <col min="8745" max="8747" width="8.88671875" style="19"/>
    <col min="8748" max="8748" width="13.44140625" style="19" bestFit="1" customWidth="1"/>
    <col min="8749" max="8959" width="8.88671875" style="19"/>
    <col min="8960" max="8960" width="5.109375" style="19" customWidth="1"/>
    <col min="8961" max="8961" width="49.33203125" style="19" customWidth="1"/>
    <col min="8962" max="8993" width="15.77734375" style="19" customWidth="1"/>
    <col min="8994" max="8995" width="10.5546875" style="19" customWidth="1"/>
    <col min="8996" max="8996" width="11" style="19" customWidth="1"/>
    <col min="8997" max="8997" width="13.109375" style="19" bestFit="1" customWidth="1"/>
    <col min="8998" max="8998" width="27.21875" style="19" customWidth="1"/>
    <col min="8999" max="8999" width="14.44140625" style="19" bestFit="1" customWidth="1"/>
    <col min="9000" max="9000" width="11.77734375" style="19" bestFit="1" customWidth="1"/>
    <col min="9001" max="9003" width="8.88671875" style="19"/>
    <col min="9004" max="9004" width="13.44140625" style="19" bestFit="1" customWidth="1"/>
    <col min="9005" max="9215" width="8.88671875" style="19"/>
    <col min="9216" max="9216" width="5.109375" style="19" customWidth="1"/>
    <col min="9217" max="9217" width="49.33203125" style="19" customWidth="1"/>
    <col min="9218" max="9249" width="15.77734375" style="19" customWidth="1"/>
    <col min="9250" max="9251" width="10.5546875" style="19" customWidth="1"/>
    <col min="9252" max="9252" width="11" style="19" customWidth="1"/>
    <col min="9253" max="9253" width="13.109375" style="19" bestFit="1" customWidth="1"/>
    <col min="9254" max="9254" width="27.21875" style="19" customWidth="1"/>
    <col min="9255" max="9255" width="14.44140625" style="19" bestFit="1" customWidth="1"/>
    <col min="9256" max="9256" width="11.77734375" style="19" bestFit="1" customWidth="1"/>
    <col min="9257" max="9259" width="8.88671875" style="19"/>
    <col min="9260" max="9260" width="13.44140625" style="19" bestFit="1" customWidth="1"/>
    <col min="9261" max="9471" width="8.88671875" style="19"/>
    <col min="9472" max="9472" width="5.109375" style="19" customWidth="1"/>
    <col min="9473" max="9473" width="49.33203125" style="19" customWidth="1"/>
    <col min="9474" max="9505" width="15.77734375" style="19" customWidth="1"/>
    <col min="9506" max="9507" width="10.5546875" style="19" customWidth="1"/>
    <col min="9508" max="9508" width="11" style="19" customWidth="1"/>
    <col min="9509" max="9509" width="13.109375" style="19" bestFit="1" customWidth="1"/>
    <col min="9510" max="9510" width="27.21875" style="19" customWidth="1"/>
    <col min="9511" max="9511" width="14.44140625" style="19" bestFit="1" customWidth="1"/>
    <col min="9512" max="9512" width="11.77734375" style="19" bestFit="1" customWidth="1"/>
    <col min="9513" max="9515" width="8.88671875" style="19"/>
    <col min="9516" max="9516" width="13.44140625" style="19" bestFit="1" customWidth="1"/>
    <col min="9517" max="9727" width="8.88671875" style="19"/>
    <col min="9728" max="9728" width="5.109375" style="19" customWidth="1"/>
    <col min="9729" max="9729" width="49.33203125" style="19" customWidth="1"/>
    <col min="9730" max="9761" width="15.77734375" style="19" customWidth="1"/>
    <col min="9762" max="9763" width="10.5546875" style="19" customWidth="1"/>
    <col min="9764" max="9764" width="11" style="19" customWidth="1"/>
    <col min="9765" max="9765" width="13.109375" style="19" bestFit="1" customWidth="1"/>
    <col min="9766" max="9766" width="27.21875" style="19" customWidth="1"/>
    <col min="9767" max="9767" width="14.44140625" style="19" bestFit="1" customWidth="1"/>
    <col min="9768" max="9768" width="11.77734375" style="19" bestFit="1" customWidth="1"/>
    <col min="9769" max="9771" width="8.88671875" style="19"/>
    <col min="9772" max="9772" width="13.44140625" style="19" bestFit="1" customWidth="1"/>
    <col min="9773" max="9983" width="8.88671875" style="19"/>
    <col min="9984" max="9984" width="5.109375" style="19" customWidth="1"/>
    <col min="9985" max="9985" width="49.33203125" style="19" customWidth="1"/>
    <col min="9986" max="10017" width="15.77734375" style="19" customWidth="1"/>
    <col min="10018" max="10019" width="10.5546875" style="19" customWidth="1"/>
    <col min="10020" max="10020" width="11" style="19" customWidth="1"/>
    <col min="10021" max="10021" width="13.109375" style="19" bestFit="1" customWidth="1"/>
    <col min="10022" max="10022" width="27.21875" style="19" customWidth="1"/>
    <col min="10023" max="10023" width="14.44140625" style="19" bestFit="1" customWidth="1"/>
    <col min="10024" max="10024" width="11.77734375" style="19" bestFit="1" customWidth="1"/>
    <col min="10025" max="10027" width="8.88671875" style="19"/>
    <col min="10028" max="10028" width="13.44140625" style="19" bestFit="1" customWidth="1"/>
    <col min="10029" max="10239" width="8.88671875" style="19"/>
    <col min="10240" max="10240" width="5.109375" style="19" customWidth="1"/>
    <col min="10241" max="10241" width="49.33203125" style="19" customWidth="1"/>
    <col min="10242" max="10273" width="15.77734375" style="19" customWidth="1"/>
    <col min="10274" max="10275" width="10.5546875" style="19" customWidth="1"/>
    <col min="10276" max="10276" width="11" style="19" customWidth="1"/>
    <col min="10277" max="10277" width="13.109375" style="19" bestFit="1" customWidth="1"/>
    <col min="10278" max="10278" width="27.21875" style="19" customWidth="1"/>
    <col min="10279" max="10279" width="14.44140625" style="19" bestFit="1" customWidth="1"/>
    <col min="10280" max="10280" width="11.77734375" style="19" bestFit="1" customWidth="1"/>
    <col min="10281" max="10283" width="8.88671875" style="19"/>
    <col min="10284" max="10284" width="13.44140625" style="19" bestFit="1" customWidth="1"/>
    <col min="10285" max="10495" width="8.88671875" style="19"/>
    <col min="10496" max="10496" width="5.109375" style="19" customWidth="1"/>
    <col min="10497" max="10497" width="49.33203125" style="19" customWidth="1"/>
    <col min="10498" max="10529" width="15.77734375" style="19" customWidth="1"/>
    <col min="10530" max="10531" width="10.5546875" style="19" customWidth="1"/>
    <col min="10532" max="10532" width="11" style="19" customWidth="1"/>
    <col min="10533" max="10533" width="13.109375" style="19" bestFit="1" customWidth="1"/>
    <col min="10534" max="10534" width="27.21875" style="19" customWidth="1"/>
    <col min="10535" max="10535" width="14.44140625" style="19" bestFit="1" customWidth="1"/>
    <col min="10536" max="10536" width="11.77734375" style="19" bestFit="1" customWidth="1"/>
    <col min="10537" max="10539" width="8.88671875" style="19"/>
    <col min="10540" max="10540" width="13.44140625" style="19" bestFit="1" customWidth="1"/>
    <col min="10541" max="10751" width="8.88671875" style="19"/>
    <col min="10752" max="10752" width="5.109375" style="19" customWidth="1"/>
    <col min="10753" max="10753" width="49.33203125" style="19" customWidth="1"/>
    <col min="10754" max="10785" width="15.77734375" style="19" customWidth="1"/>
    <col min="10786" max="10787" width="10.5546875" style="19" customWidth="1"/>
    <col min="10788" max="10788" width="11" style="19" customWidth="1"/>
    <col min="10789" max="10789" width="13.109375" style="19" bestFit="1" customWidth="1"/>
    <col min="10790" max="10790" width="27.21875" style="19" customWidth="1"/>
    <col min="10791" max="10791" width="14.44140625" style="19" bestFit="1" customWidth="1"/>
    <col min="10792" max="10792" width="11.77734375" style="19" bestFit="1" customWidth="1"/>
    <col min="10793" max="10795" width="8.88671875" style="19"/>
    <col min="10796" max="10796" width="13.44140625" style="19" bestFit="1" customWidth="1"/>
    <col min="10797" max="11007" width="8.88671875" style="19"/>
    <col min="11008" max="11008" width="5.109375" style="19" customWidth="1"/>
    <col min="11009" max="11009" width="49.33203125" style="19" customWidth="1"/>
    <col min="11010" max="11041" width="15.77734375" style="19" customWidth="1"/>
    <col min="11042" max="11043" width="10.5546875" style="19" customWidth="1"/>
    <col min="11044" max="11044" width="11" style="19" customWidth="1"/>
    <col min="11045" max="11045" width="13.109375" style="19" bestFit="1" customWidth="1"/>
    <col min="11046" max="11046" width="27.21875" style="19" customWidth="1"/>
    <col min="11047" max="11047" width="14.44140625" style="19" bestFit="1" customWidth="1"/>
    <col min="11048" max="11048" width="11.77734375" style="19" bestFit="1" customWidth="1"/>
    <col min="11049" max="11051" width="8.88671875" style="19"/>
    <col min="11052" max="11052" width="13.44140625" style="19" bestFit="1" customWidth="1"/>
    <col min="11053" max="11263" width="8.88671875" style="19"/>
    <col min="11264" max="11264" width="5.109375" style="19" customWidth="1"/>
    <col min="11265" max="11265" width="49.33203125" style="19" customWidth="1"/>
    <col min="11266" max="11297" width="15.77734375" style="19" customWidth="1"/>
    <col min="11298" max="11299" width="10.5546875" style="19" customWidth="1"/>
    <col min="11300" max="11300" width="11" style="19" customWidth="1"/>
    <col min="11301" max="11301" width="13.109375" style="19" bestFit="1" customWidth="1"/>
    <col min="11302" max="11302" width="27.21875" style="19" customWidth="1"/>
    <col min="11303" max="11303" width="14.44140625" style="19" bestFit="1" customWidth="1"/>
    <col min="11304" max="11304" width="11.77734375" style="19" bestFit="1" customWidth="1"/>
    <col min="11305" max="11307" width="8.88671875" style="19"/>
    <col min="11308" max="11308" width="13.44140625" style="19" bestFit="1" customWidth="1"/>
    <col min="11309" max="11519" width="8.88671875" style="19"/>
    <col min="11520" max="11520" width="5.109375" style="19" customWidth="1"/>
    <col min="11521" max="11521" width="49.33203125" style="19" customWidth="1"/>
    <col min="11522" max="11553" width="15.77734375" style="19" customWidth="1"/>
    <col min="11554" max="11555" width="10.5546875" style="19" customWidth="1"/>
    <col min="11556" max="11556" width="11" style="19" customWidth="1"/>
    <col min="11557" max="11557" width="13.109375" style="19" bestFit="1" customWidth="1"/>
    <col min="11558" max="11558" width="27.21875" style="19" customWidth="1"/>
    <col min="11559" max="11559" width="14.44140625" style="19" bestFit="1" customWidth="1"/>
    <col min="11560" max="11560" width="11.77734375" style="19" bestFit="1" customWidth="1"/>
    <col min="11561" max="11563" width="8.88671875" style="19"/>
    <col min="11564" max="11564" width="13.44140625" style="19" bestFit="1" customWidth="1"/>
    <col min="11565" max="11775" width="8.88671875" style="19"/>
    <col min="11776" max="11776" width="5.109375" style="19" customWidth="1"/>
    <col min="11777" max="11777" width="49.33203125" style="19" customWidth="1"/>
    <col min="11778" max="11809" width="15.77734375" style="19" customWidth="1"/>
    <col min="11810" max="11811" width="10.5546875" style="19" customWidth="1"/>
    <col min="11812" max="11812" width="11" style="19" customWidth="1"/>
    <col min="11813" max="11813" width="13.109375" style="19" bestFit="1" customWidth="1"/>
    <col min="11814" max="11814" width="27.21875" style="19" customWidth="1"/>
    <col min="11815" max="11815" width="14.44140625" style="19" bestFit="1" customWidth="1"/>
    <col min="11816" max="11816" width="11.77734375" style="19" bestFit="1" customWidth="1"/>
    <col min="11817" max="11819" width="8.88671875" style="19"/>
    <col min="11820" max="11820" width="13.44140625" style="19" bestFit="1" customWidth="1"/>
    <col min="11821" max="12031" width="8.88671875" style="19"/>
    <col min="12032" max="12032" width="5.109375" style="19" customWidth="1"/>
    <col min="12033" max="12033" width="49.33203125" style="19" customWidth="1"/>
    <col min="12034" max="12065" width="15.77734375" style="19" customWidth="1"/>
    <col min="12066" max="12067" width="10.5546875" style="19" customWidth="1"/>
    <col min="12068" max="12068" width="11" style="19" customWidth="1"/>
    <col min="12069" max="12069" width="13.109375" style="19" bestFit="1" customWidth="1"/>
    <col min="12070" max="12070" width="27.21875" style="19" customWidth="1"/>
    <col min="12071" max="12071" width="14.44140625" style="19" bestFit="1" customWidth="1"/>
    <col min="12072" max="12072" width="11.77734375" style="19" bestFit="1" customWidth="1"/>
    <col min="12073" max="12075" width="8.88671875" style="19"/>
    <col min="12076" max="12076" width="13.44140625" style="19" bestFit="1" customWidth="1"/>
    <col min="12077" max="12287" width="8.88671875" style="19"/>
    <col min="12288" max="12288" width="5.109375" style="19" customWidth="1"/>
    <col min="12289" max="12289" width="49.33203125" style="19" customWidth="1"/>
    <col min="12290" max="12321" width="15.77734375" style="19" customWidth="1"/>
    <col min="12322" max="12323" width="10.5546875" style="19" customWidth="1"/>
    <col min="12324" max="12324" width="11" style="19" customWidth="1"/>
    <col min="12325" max="12325" width="13.109375" style="19" bestFit="1" customWidth="1"/>
    <col min="12326" max="12326" width="27.21875" style="19" customWidth="1"/>
    <col min="12327" max="12327" width="14.44140625" style="19" bestFit="1" customWidth="1"/>
    <col min="12328" max="12328" width="11.77734375" style="19" bestFit="1" customWidth="1"/>
    <col min="12329" max="12331" width="8.88671875" style="19"/>
    <col min="12332" max="12332" width="13.44140625" style="19" bestFit="1" customWidth="1"/>
    <col min="12333" max="12543" width="8.88671875" style="19"/>
    <col min="12544" max="12544" width="5.109375" style="19" customWidth="1"/>
    <col min="12545" max="12545" width="49.33203125" style="19" customWidth="1"/>
    <col min="12546" max="12577" width="15.77734375" style="19" customWidth="1"/>
    <col min="12578" max="12579" width="10.5546875" style="19" customWidth="1"/>
    <col min="12580" max="12580" width="11" style="19" customWidth="1"/>
    <col min="12581" max="12581" width="13.109375" style="19" bestFit="1" customWidth="1"/>
    <col min="12582" max="12582" width="27.21875" style="19" customWidth="1"/>
    <col min="12583" max="12583" width="14.44140625" style="19" bestFit="1" customWidth="1"/>
    <col min="12584" max="12584" width="11.77734375" style="19" bestFit="1" customWidth="1"/>
    <col min="12585" max="12587" width="8.88671875" style="19"/>
    <col min="12588" max="12588" width="13.44140625" style="19" bestFit="1" customWidth="1"/>
    <col min="12589" max="12799" width="8.88671875" style="19"/>
    <col min="12800" max="12800" width="5.109375" style="19" customWidth="1"/>
    <col min="12801" max="12801" width="49.33203125" style="19" customWidth="1"/>
    <col min="12802" max="12833" width="15.77734375" style="19" customWidth="1"/>
    <col min="12834" max="12835" width="10.5546875" style="19" customWidth="1"/>
    <col min="12836" max="12836" width="11" style="19" customWidth="1"/>
    <col min="12837" max="12837" width="13.109375" style="19" bestFit="1" customWidth="1"/>
    <col min="12838" max="12838" width="27.21875" style="19" customWidth="1"/>
    <col min="12839" max="12839" width="14.44140625" style="19" bestFit="1" customWidth="1"/>
    <col min="12840" max="12840" width="11.77734375" style="19" bestFit="1" customWidth="1"/>
    <col min="12841" max="12843" width="8.88671875" style="19"/>
    <col min="12844" max="12844" width="13.44140625" style="19" bestFit="1" customWidth="1"/>
    <col min="12845" max="13055" width="8.88671875" style="19"/>
    <col min="13056" max="13056" width="5.109375" style="19" customWidth="1"/>
    <col min="13057" max="13057" width="49.33203125" style="19" customWidth="1"/>
    <col min="13058" max="13089" width="15.77734375" style="19" customWidth="1"/>
    <col min="13090" max="13091" width="10.5546875" style="19" customWidth="1"/>
    <col min="13092" max="13092" width="11" style="19" customWidth="1"/>
    <col min="13093" max="13093" width="13.109375" style="19" bestFit="1" customWidth="1"/>
    <col min="13094" max="13094" width="27.21875" style="19" customWidth="1"/>
    <col min="13095" max="13095" width="14.44140625" style="19" bestFit="1" customWidth="1"/>
    <col min="13096" max="13096" width="11.77734375" style="19" bestFit="1" customWidth="1"/>
    <col min="13097" max="13099" width="8.88671875" style="19"/>
    <col min="13100" max="13100" width="13.44140625" style="19" bestFit="1" customWidth="1"/>
    <col min="13101" max="13311" width="8.88671875" style="19"/>
    <col min="13312" max="13312" width="5.109375" style="19" customWidth="1"/>
    <col min="13313" max="13313" width="49.33203125" style="19" customWidth="1"/>
    <col min="13314" max="13345" width="15.77734375" style="19" customWidth="1"/>
    <col min="13346" max="13347" width="10.5546875" style="19" customWidth="1"/>
    <col min="13348" max="13348" width="11" style="19" customWidth="1"/>
    <col min="13349" max="13349" width="13.109375" style="19" bestFit="1" customWidth="1"/>
    <col min="13350" max="13350" width="27.21875" style="19" customWidth="1"/>
    <col min="13351" max="13351" width="14.44140625" style="19" bestFit="1" customWidth="1"/>
    <col min="13352" max="13352" width="11.77734375" style="19" bestFit="1" customWidth="1"/>
    <col min="13353" max="13355" width="8.88671875" style="19"/>
    <col min="13356" max="13356" width="13.44140625" style="19" bestFit="1" customWidth="1"/>
    <col min="13357" max="13567" width="8.88671875" style="19"/>
    <col min="13568" max="13568" width="5.109375" style="19" customWidth="1"/>
    <col min="13569" max="13569" width="49.33203125" style="19" customWidth="1"/>
    <col min="13570" max="13601" width="15.77734375" style="19" customWidth="1"/>
    <col min="13602" max="13603" width="10.5546875" style="19" customWidth="1"/>
    <col min="13604" max="13604" width="11" style="19" customWidth="1"/>
    <col min="13605" max="13605" width="13.109375" style="19" bestFit="1" customWidth="1"/>
    <col min="13606" max="13606" width="27.21875" style="19" customWidth="1"/>
    <col min="13607" max="13607" width="14.44140625" style="19" bestFit="1" customWidth="1"/>
    <col min="13608" max="13608" width="11.77734375" style="19" bestFit="1" customWidth="1"/>
    <col min="13609" max="13611" width="8.88671875" style="19"/>
    <col min="13612" max="13612" width="13.44140625" style="19" bestFit="1" customWidth="1"/>
    <col min="13613" max="13823" width="8.88671875" style="19"/>
    <col min="13824" max="13824" width="5.109375" style="19" customWidth="1"/>
    <col min="13825" max="13825" width="49.33203125" style="19" customWidth="1"/>
    <col min="13826" max="13857" width="15.77734375" style="19" customWidth="1"/>
    <col min="13858" max="13859" width="10.5546875" style="19" customWidth="1"/>
    <col min="13860" max="13860" width="11" style="19" customWidth="1"/>
    <col min="13861" max="13861" width="13.109375" style="19" bestFit="1" customWidth="1"/>
    <col min="13862" max="13862" width="27.21875" style="19" customWidth="1"/>
    <col min="13863" max="13863" width="14.44140625" style="19" bestFit="1" customWidth="1"/>
    <col min="13864" max="13864" width="11.77734375" style="19" bestFit="1" customWidth="1"/>
    <col min="13865" max="13867" width="8.88671875" style="19"/>
    <col min="13868" max="13868" width="13.44140625" style="19" bestFit="1" customWidth="1"/>
    <col min="13869" max="14079" width="8.88671875" style="19"/>
    <col min="14080" max="14080" width="5.109375" style="19" customWidth="1"/>
    <col min="14081" max="14081" width="49.33203125" style="19" customWidth="1"/>
    <col min="14082" max="14113" width="15.77734375" style="19" customWidth="1"/>
    <col min="14114" max="14115" width="10.5546875" style="19" customWidth="1"/>
    <col min="14116" max="14116" width="11" style="19" customWidth="1"/>
    <col min="14117" max="14117" width="13.109375" style="19" bestFit="1" customWidth="1"/>
    <col min="14118" max="14118" width="27.21875" style="19" customWidth="1"/>
    <col min="14119" max="14119" width="14.44140625" style="19" bestFit="1" customWidth="1"/>
    <col min="14120" max="14120" width="11.77734375" style="19" bestFit="1" customWidth="1"/>
    <col min="14121" max="14123" width="8.88671875" style="19"/>
    <col min="14124" max="14124" width="13.44140625" style="19" bestFit="1" customWidth="1"/>
    <col min="14125" max="14335" width="8.88671875" style="19"/>
    <col min="14336" max="14336" width="5.109375" style="19" customWidth="1"/>
    <col min="14337" max="14337" width="49.33203125" style="19" customWidth="1"/>
    <col min="14338" max="14369" width="15.77734375" style="19" customWidth="1"/>
    <col min="14370" max="14371" width="10.5546875" style="19" customWidth="1"/>
    <col min="14372" max="14372" width="11" style="19" customWidth="1"/>
    <col min="14373" max="14373" width="13.109375" style="19" bestFit="1" customWidth="1"/>
    <col min="14374" max="14374" width="27.21875" style="19" customWidth="1"/>
    <col min="14375" max="14375" width="14.44140625" style="19" bestFit="1" customWidth="1"/>
    <col min="14376" max="14376" width="11.77734375" style="19" bestFit="1" customWidth="1"/>
    <col min="14377" max="14379" width="8.88671875" style="19"/>
    <col min="14380" max="14380" width="13.44140625" style="19" bestFit="1" customWidth="1"/>
    <col min="14381" max="14591" width="8.88671875" style="19"/>
    <col min="14592" max="14592" width="5.109375" style="19" customWidth="1"/>
    <col min="14593" max="14593" width="49.33203125" style="19" customWidth="1"/>
    <col min="14594" max="14625" width="15.77734375" style="19" customWidth="1"/>
    <col min="14626" max="14627" width="10.5546875" style="19" customWidth="1"/>
    <col min="14628" max="14628" width="11" style="19" customWidth="1"/>
    <col min="14629" max="14629" width="13.109375" style="19" bestFit="1" customWidth="1"/>
    <col min="14630" max="14630" width="27.21875" style="19" customWidth="1"/>
    <col min="14631" max="14631" width="14.44140625" style="19" bestFit="1" customWidth="1"/>
    <col min="14632" max="14632" width="11.77734375" style="19" bestFit="1" customWidth="1"/>
    <col min="14633" max="14635" width="8.88671875" style="19"/>
    <col min="14636" max="14636" width="13.44140625" style="19" bestFit="1" customWidth="1"/>
    <col min="14637" max="14847" width="8.88671875" style="19"/>
    <col min="14848" max="14848" width="5.109375" style="19" customWidth="1"/>
    <col min="14849" max="14849" width="49.33203125" style="19" customWidth="1"/>
    <col min="14850" max="14881" width="15.77734375" style="19" customWidth="1"/>
    <col min="14882" max="14883" width="10.5546875" style="19" customWidth="1"/>
    <col min="14884" max="14884" width="11" style="19" customWidth="1"/>
    <col min="14885" max="14885" width="13.109375" style="19" bestFit="1" customWidth="1"/>
    <col min="14886" max="14886" width="27.21875" style="19" customWidth="1"/>
    <col min="14887" max="14887" width="14.44140625" style="19" bestFit="1" customWidth="1"/>
    <col min="14888" max="14888" width="11.77734375" style="19" bestFit="1" customWidth="1"/>
    <col min="14889" max="14891" width="8.88671875" style="19"/>
    <col min="14892" max="14892" width="13.44140625" style="19" bestFit="1" customWidth="1"/>
    <col min="14893" max="15103" width="8.88671875" style="19"/>
    <col min="15104" max="15104" width="5.109375" style="19" customWidth="1"/>
    <col min="15105" max="15105" width="49.33203125" style="19" customWidth="1"/>
    <col min="15106" max="15137" width="15.77734375" style="19" customWidth="1"/>
    <col min="15138" max="15139" width="10.5546875" style="19" customWidth="1"/>
    <col min="15140" max="15140" width="11" style="19" customWidth="1"/>
    <col min="15141" max="15141" width="13.109375" style="19" bestFit="1" customWidth="1"/>
    <col min="15142" max="15142" width="27.21875" style="19" customWidth="1"/>
    <col min="15143" max="15143" width="14.44140625" style="19" bestFit="1" customWidth="1"/>
    <col min="15144" max="15144" width="11.77734375" style="19" bestFit="1" customWidth="1"/>
    <col min="15145" max="15147" width="8.88671875" style="19"/>
    <col min="15148" max="15148" width="13.44140625" style="19" bestFit="1" customWidth="1"/>
    <col min="15149" max="15359" width="8.88671875" style="19"/>
    <col min="15360" max="15360" width="5.109375" style="19" customWidth="1"/>
    <col min="15361" max="15361" width="49.33203125" style="19" customWidth="1"/>
    <col min="15362" max="15393" width="15.77734375" style="19" customWidth="1"/>
    <col min="15394" max="15395" width="10.5546875" style="19" customWidth="1"/>
    <col min="15396" max="15396" width="11" style="19" customWidth="1"/>
    <col min="15397" max="15397" width="13.109375" style="19" bestFit="1" customWidth="1"/>
    <col min="15398" max="15398" width="27.21875" style="19" customWidth="1"/>
    <col min="15399" max="15399" width="14.44140625" style="19" bestFit="1" customWidth="1"/>
    <col min="15400" max="15400" width="11.77734375" style="19" bestFit="1" customWidth="1"/>
    <col min="15401" max="15403" width="8.88671875" style="19"/>
    <col min="15404" max="15404" width="13.44140625" style="19" bestFit="1" customWidth="1"/>
    <col min="15405" max="15615" width="8.88671875" style="19"/>
    <col min="15616" max="15616" width="5.109375" style="19" customWidth="1"/>
    <col min="15617" max="15617" width="49.33203125" style="19" customWidth="1"/>
    <col min="15618" max="15649" width="15.77734375" style="19" customWidth="1"/>
    <col min="15650" max="15651" width="10.5546875" style="19" customWidth="1"/>
    <col min="15652" max="15652" width="11" style="19" customWidth="1"/>
    <col min="15653" max="15653" width="13.109375" style="19" bestFit="1" customWidth="1"/>
    <col min="15654" max="15654" width="27.21875" style="19" customWidth="1"/>
    <col min="15655" max="15655" width="14.44140625" style="19" bestFit="1" customWidth="1"/>
    <col min="15656" max="15656" width="11.77734375" style="19" bestFit="1" customWidth="1"/>
    <col min="15657" max="15659" width="8.88671875" style="19"/>
    <col min="15660" max="15660" width="13.44140625" style="19" bestFit="1" customWidth="1"/>
    <col min="15661" max="15871" width="8.88671875" style="19"/>
    <col min="15872" max="15872" width="5.109375" style="19" customWidth="1"/>
    <col min="15873" max="15873" width="49.33203125" style="19" customWidth="1"/>
    <col min="15874" max="15905" width="15.77734375" style="19" customWidth="1"/>
    <col min="15906" max="15907" width="10.5546875" style="19" customWidth="1"/>
    <col min="15908" max="15908" width="11" style="19" customWidth="1"/>
    <col min="15909" max="15909" width="13.109375" style="19" bestFit="1" customWidth="1"/>
    <col min="15910" max="15910" width="27.21875" style="19" customWidth="1"/>
    <col min="15911" max="15911" width="14.44140625" style="19" bestFit="1" customWidth="1"/>
    <col min="15912" max="15912" width="11.77734375" style="19" bestFit="1" customWidth="1"/>
    <col min="15913" max="15915" width="8.88671875" style="19"/>
    <col min="15916" max="15916" width="13.44140625" style="19" bestFit="1" customWidth="1"/>
    <col min="15917" max="16127" width="8.88671875" style="19"/>
    <col min="16128" max="16128" width="5.109375" style="19" customWidth="1"/>
    <col min="16129" max="16129" width="49.33203125" style="19" customWidth="1"/>
    <col min="16130" max="16161" width="15.77734375" style="19" customWidth="1"/>
    <col min="16162" max="16163" width="10.5546875" style="19" customWidth="1"/>
    <col min="16164" max="16164" width="11" style="19" customWidth="1"/>
    <col min="16165" max="16165" width="13.109375" style="19" bestFit="1" customWidth="1"/>
    <col min="16166" max="16166" width="27.21875" style="19" customWidth="1"/>
    <col min="16167" max="16167" width="14.44140625" style="19" bestFit="1" customWidth="1"/>
    <col min="16168" max="16168" width="11.77734375" style="19" bestFit="1" customWidth="1"/>
    <col min="16169" max="16171" width="8.88671875" style="19"/>
    <col min="16172" max="16172" width="13.44140625" style="19" bestFit="1" customWidth="1"/>
    <col min="16173" max="16384" width="8.88671875" style="19"/>
  </cols>
  <sheetData>
    <row r="1" spans="1:40" ht="15.75" customHeight="1" x14ac:dyDescent="0.2">
      <c r="A1" s="115" t="s">
        <v>55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</row>
    <row r="2" spans="1:40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</row>
    <row r="3" spans="1:40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2" t="s">
        <v>18</v>
      </c>
      <c r="AH3" s="20"/>
      <c r="AI3" s="20"/>
      <c r="AJ3" s="21"/>
      <c r="AK3" s="22"/>
      <c r="AL3" s="23" t="s">
        <v>0</v>
      </c>
      <c r="AM3" s="24"/>
      <c r="AN3" s="24"/>
    </row>
    <row r="4" spans="1:40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122"/>
      <c r="AH4" s="27"/>
      <c r="AI4" s="27"/>
      <c r="AJ4" s="14"/>
      <c r="AK4" s="28"/>
      <c r="AL4" s="23" t="s">
        <v>19</v>
      </c>
      <c r="AM4" s="29"/>
      <c r="AN4" s="30"/>
    </row>
    <row r="5" spans="1:40" s="25" customFormat="1" ht="18" customHeight="1" x14ac:dyDescent="0.2">
      <c r="A5" s="31">
        <v>1</v>
      </c>
      <c r="B5" s="32" t="s">
        <v>2</v>
      </c>
      <c r="C5" s="32">
        <v>8720000</v>
      </c>
      <c r="D5" s="32">
        <v>9708000</v>
      </c>
      <c r="E5" s="32">
        <v>28644000</v>
      </c>
      <c r="F5" s="34">
        <v>27616000</v>
      </c>
      <c r="G5" s="34">
        <v>49512000</v>
      </c>
      <c r="H5" s="33"/>
      <c r="I5" s="32">
        <v>7476000</v>
      </c>
      <c r="J5" s="32">
        <v>5896000</v>
      </c>
      <c r="K5" s="32">
        <v>6340000</v>
      </c>
      <c r="L5" s="32">
        <v>5740000</v>
      </c>
      <c r="M5" s="32">
        <v>21268000</v>
      </c>
      <c r="N5" s="32">
        <v>36020000</v>
      </c>
      <c r="O5" s="33"/>
      <c r="P5" s="32">
        <v>6652000</v>
      </c>
      <c r="Q5" s="32">
        <v>6828000</v>
      </c>
      <c r="R5" s="32">
        <v>6100000</v>
      </c>
      <c r="S5" s="32">
        <v>5020000</v>
      </c>
      <c r="T5" s="32">
        <v>27860000</v>
      </c>
      <c r="U5" s="32">
        <v>32284000</v>
      </c>
      <c r="V5" s="33"/>
      <c r="W5" s="32">
        <v>6468000</v>
      </c>
      <c r="X5" s="32">
        <v>5456000</v>
      </c>
      <c r="Y5" s="32">
        <v>4700000</v>
      </c>
      <c r="Z5" s="32">
        <v>5408000</v>
      </c>
      <c r="AA5" s="32">
        <v>19944000</v>
      </c>
      <c r="AB5" s="32">
        <v>30880000</v>
      </c>
      <c r="AC5" s="33"/>
      <c r="AD5" s="32">
        <v>4648000</v>
      </c>
      <c r="AE5" s="32">
        <v>6348000</v>
      </c>
      <c r="AF5" s="32">
        <v>6440000</v>
      </c>
      <c r="AG5" s="35">
        <f t="shared" ref="AG5:AG22" si="0">SUM(C5:AF5)</f>
        <v>381976000</v>
      </c>
      <c r="AH5" s="107">
        <f>AG5/4000</f>
        <v>95494</v>
      </c>
      <c r="AI5" s="109">
        <v>198824000</v>
      </c>
      <c r="AJ5" s="111">
        <f>AG5+AI5</f>
        <v>580800000</v>
      </c>
      <c r="AK5" s="38"/>
      <c r="AL5" s="3" t="s">
        <v>2</v>
      </c>
      <c r="AM5" s="39">
        <f t="shared" ref="AM5:AM23" si="1">AG5</f>
        <v>381976000</v>
      </c>
      <c r="AN5" s="30"/>
    </row>
    <row r="6" spans="1:40" s="25" customFormat="1" ht="18" customHeight="1" x14ac:dyDescent="0.2">
      <c r="A6" s="40">
        <v>2</v>
      </c>
      <c r="B6" s="41" t="s">
        <v>3</v>
      </c>
      <c r="C6" s="41">
        <v>2115000</v>
      </c>
      <c r="D6" s="41">
        <v>2034000</v>
      </c>
      <c r="E6" s="41">
        <v>7923000</v>
      </c>
      <c r="F6" s="41">
        <v>7422000</v>
      </c>
      <c r="G6" s="41">
        <v>13146000</v>
      </c>
      <c r="H6" s="42"/>
      <c r="I6" s="41">
        <v>1149000</v>
      </c>
      <c r="J6" s="41">
        <v>873000</v>
      </c>
      <c r="K6" s="41">
        <v>1056000</v>
      </c>
      <c r="L6" s="41">
        <v>870000</v>
      </c>
      <c r="M6" s="41">
        <v>4575000</v>
      </c>
      <c r="N6" s="41">
        <v>8622000</v>
      </c>
      <c r="O6" s="42"/>
      <c r="P6" s="41">
        <v>987000</v>
      </c>
      <c r="Q6" s="41">
        <v>1029000</v>
      </c>
      <c r="R6" s="41">
        <v>993000</v>
      </c>
      <c r="S6" s="41">
        <v>714000</v>
      </c>
      <c r="T6" s="41">
        <v>5961000</v>
      </c>
      <c r="U6" s="41">
        <v>7095000</v>
      </c>
      <c r="V6" s="42"/>
      <c r="W6" s="41">
        <v>867000</v>
      </c>
      <c r="X6" s="41">
        <v>918000</v>
      </c>
      <c r="Y6" s="41">
        <v>699000</v>
      </c>
      <c r="Z6" s="41">
        <v>690000</v>
      </c>
      <c r="AA6" s="41">
        <v>3987000</v>
      </c>
      <c r="AB6" s="41">
        <v>6609000</v>
      </c>
      <c r="AC6" s="42"/>
      <c r="AD6" s="41">
        <v>780000</v>
      </c>
      <c r="AE6" s="41">
        <v>945000</v>
      </c>
      <c r="AF6" s="41">
        <v>966000</v>
      </c>
      <c r="AG6" s="84">
        <f t="shared" si="0"/>
        <v>83025000</v>
      </c>
      <c r="AH6" s="107">
        <f>AG6/3000</f>
        <v>27675</v>
      </c>
      <c r="AI6" s="109">
        <v>33195000</v>
      </c>
      <c r="AJ6" s="111">
        <f t="shared" ref="AJ6:AJ22" si="2">AG6+AI6</f>
        <v>116220000</v>
      </c>
      <c r="AK6" s="38"/>
      <c r="AL6" s="3" t="s">
        <v>3</v>
      </c>
      <c r="AM6" s="39">
        <f t="shared" si="1"/>
        <v>83025000</v>
      </c>
      <c r="AN6" s="30"/>
    </row>
    <row r="7" spans="1:40" s="25" customFormat="1" ht="18" customHeight="1" x14ac:dyDescent="0.2">
      <c r="A7" s="40">
        <v>3</v>
      </c>
      <c r="B7" s="41" t="s">
        <v>4</v>
      </c>
      <c r="C7" s="41"/>
      <c r="D7" s="41"/>
      <c r="E7" s="41"/>
      <c r="F7" s="41"/>
      <c r="G7" s="41"/>
      <c r="H7" s="42"/>
      <c r="I7" s="41"/>
      <c r="J7" s="41"/>
      <c r="K7" s="41"/>
      <c r="L7" s="41"/>
      <c r="M7" s="41"/>
      <c r="N7" s="41"/>
      <c r="O7" s="42"/>
      <c r="P7" s="41"/>
      <c r="Q7" s="41"/>
      <c r="R7" s="41"/>
      <c r="S7" s="41"/>
      <c r="T7" s="41"/>
      <c r="U7" s="41"/>
      <c r="V7" s="42"/>
      <c r="W7" s="41"/>
      <c r="X7" s="41"/>
      <c r="Y7" s="41"/>
      <c r="Z7" s="41"/>
      <c r="AA7" s="41"/>
      <c r="AB7" s="41"/>
      <c r="AC7" s="42"/>
      <c r="AD7" s="41"/>
      <c r="AE7" s="41"/>
      <c r="AF7" s="41"/>
      <c r="AG7" s="84">
        <f t="shared" si="0"/>
        <v>0</v>
      </c>
      <c r="AH7" s="107">
        <f>AG7/3000</f>
        <v>0</v>
      </c>
      <c r="AI7" s="109"/>
      <c r="AJ7" s="111">
        <f t="shared" si="2"/>
        <v>0</v>
      </c>
      <c r="AK7" s="38"/>
      <c r="AL7" s="3" t="s">
        <v>4</v>
      </c>
      <c r="AM7" s="39">
        <f t="shared" si="1"/>
        <v>0</v>
      </c>
      <c r="AN7" s="30"/>
    </row>
    <row r="8" spans="1:40" s="25" customFormat="1" ht="18" customHeight="1" x14ac:dyDescent="0.2">
      <c r="A8" s="40">
        <v>4</v>
      </c>
      <c r="B8" s="41" t="s">
        <v>5</v>
      </c>
      <c r="C8" s="41"/>
      <c r="D8" s="41"/>
      <c r="E8" s="41"/>
      <c r="F8" s="41"/>
      <c r="G8" s="41"/>
      <c r="H8" s="42"/>
      <c r="I8" s="41"/>
      <c r="J8" s="41"/>
      <c r="K8" s="41"/>
      <c r="L8" s="41"/>
      <c r="M8" s="41"/>
      <c r="N8" s="41"/>
      <c r="O8" s="42"/>
      <c r="P8" s="41"/>
      <c r="Q8" s="41"/>
      <c r="R8" s="41"/>
      <c r="S8" s="41"/>
      <c r="T8" s="41"/>
      <c r="U8" s="41"/>
      <c r="V8" s="42"/>
      <c r="W8" s="41"/>
      <c r="X8" s="41"/>
      <c r="Y8" s="41"/>
      <c r="Z8" s="41"/>
      <c r="AA8" s="41"/>
      <c r="AB8" s="41"/>
      <c r="AC8" s="42"/>
      <c r="AD8" s="41"/>
      <c r="AE8" s="41"/>
      <c r="AF8" s="41"/>
      <c r="AG8" s="84">
        <f t="shared" si="0"/>
        <v>0</v>
      </c>
      <c r="AH8" s="107">
        <f>AG8/2250</f>
        <v>0</v>
      </c>
      <c r="AI8" s="109"/>
      <c r="AJ8" s="111">
        <f t="shared" si="2"/>
        <v>0</v>
      </c>
      <c r="AK8" s="38"/>
      <c r="AL8" s="3" t="s">
        <v>5</v>
      </c>
      <c r="AM8" s="39">
        <f t="shared" si="1"/>
        <v>0</v>
      </c>
      <c r="AN8" s="30"/>
    </row>
    <row r="9" spans="1:40" s="25" customFormat="1" ht="18" customHeight="1" x14ac:dyDescent="0.2">
      <c r="A9" s="40">
        <v>5</v>
      </c>
      <c r="B9" s="43" t="s">
        <v>20</v>
      </c>
      <c r="C9" s="41">
        <v>62500</v>
      </c>
      <c r="D9" s="41">
        <v>162500</v>
      </c>
      <c r="E9" s="41">
        <v>565000</v>
      </c>
      <c r="F9" s="41">
        <v>690000</v>
      </c>
      <c r="G9" s="41">
        <v>1467500</v>
      </c>
      <c r="H9" s="42"/>
      <c r="I9" s="41">
        <v>62500</v>
      </c>
      <c r="J9" s="41">
        <v>27500</v>
      </c>
      <c r="K9" s="41">
        <v>65000</v>
      </c>
      <c r="L9" s="41">
        <v>77500</v>
      </c>
      <c r="M9" s="41">
        <v>687500</v>
      </c>
      <c r="N9" s="41">
        <v>1242500</v>
      </c>
      <c r="O9" s="42"/>
      <c r="P9" s="41">
        <v>17500</v>
      </c>
      <c r="Q9" s="41">
        <v>90000</v>
      </c>
      <c r="R9" s="41">
        <v>127500</v>
      </c>
      <c r="S9" s="41">
        <v>107500</v>
      </c>
      <c r="T9" s="41">
        <v>735000</v>
      </c>
      <c r="U9" s="41">
        <v>1170000</v>
      </c>
      <c r="V9" s="42"/>
      <c r="W9" s="41">
        <v>20000</v>
      </c>
      <c r="X9" s="41">
        <v>162500</v>
      </c>
      <c r="Y9" s="41">
        <v>35000</v>
      </c>
      <c r="Z9" s="41">
        <v>40000</v>
      </c>
      <c r="AA9" s="41">
        <v>617500</v>
      </c>
      <c r="AB9" s="41">
        <v>930000</v>
      </c>
      <c r="AC9" s="42"/>
      <c r="AD9" s="41">
        <v>82500</v>
      </c>
      <c r="AE9" s="41">
        <v>95000</v>
      </c>
      <c r="AF9" s="41">
        <v>42500</v>
      </c>
      <c r="AG9" s="84">
        <f t="shared" si="0"/>
        <v>9382500</v>
      </c>
      <c r="AH9" s="107">
        <f>AG9/2500</f>
        <v>3753</v>
      </c>
      <c r="AI9" s="109">
        <v>21035000</v>
      </c>
      <c r="AJ9" s="111">
        <f t="shared" si="2"/>
        <v>30417500</v>
      </c>
      <c r="AK9" s="38"/>
      <c r="AL9" s="3"/>
      <c r="AM9" s="39"/>
      <c r="AN9" s="30"/>
    </row>
    <row r="10" spans="1:40" s="25" customFormat="1" ht="18" customHeight="1" x14ac:dyDescent="0.2">
      <c r="A10" s="40">
        <v>6</v>
      </c>
      <c r="B10" s="44" t="s">
        <v>21</v>
      </c>
      <c r="C10" s="44">
        <v>498000</v>
      </c>
      <c r="D10" s="44">
        <v>432000</v>
      </c>
      <c r="E10" s="44"/>
      <c r="F10" s="44"/>
      <c r="G10" s="44"/>
      <c r="H10" s="42"/>
      <c r="I10" s="44">
        <v>252000</v>
      </c>
      <c r="J10" s="44">
        <v>258000</v>
      </c>
      <c r="K10" s="44">
        <v>354000</v>
      </c>
      <c r="L10" s="44">
        <v>192000</v>
      </c>
      <c r="M10" s="44"/>
      <c r="N10" s="44"/>
      <c r="O10" s="42"/>
      <c r="P10" s="44">
        <v>246000</v>
      </c>
      <c r="Q10" s="44">
        <v>186000</v>
      </c>
      <c r="R10" s="44">
        <v>348000</v>
      </c>
      <c r="S10" s="44">
        <v>288000</v>
      </c>
      <c r="T10" s="44"/>
      <c r="U10" s="44"/>
      <c r="V10" s="42"/>
      <c r="W10" s="44">
        <v>282000</v>
      </c>
      <c r="X10" s="44">
        <v>186000</v>
      </c>
      <c r="Y10" s="44">
        <v>186000</v>
      </c>
      <c r="Z10" s="44">
        <v>174000</v>
      </c>
      <c r="AA10" s="44"/>
      <c r="AB10" s="44"/>
      <c r="AC10" s="42"/>
      <c r="AD10" s="44">
        <v>360000</v>
      </c>
      <c r="AE10" s="44">
        <v>198000</v>
      </c>
      <c r="AF10" s="44">
        <v>366000</v>
      </c>
      <c r="AG10" s="84">
        <f t="shared" si="0"/>
        <v>4806000</v>
      </c>
      <c r="AH10" s="107">
        <f>AG10/6000</f>
        <v>801</v>
      </c>
      <c r="AI10" s="109">
        <v>20982000</v>
      </c>
      <c r="AJ10" s="111">
        <f t="shared" si="2"/>
        <v>25788000</v>
      </c>
      <c r="AK10" s="38"/>
      <c r="AL10" s="3" t="s">
        <v>10</v>
      </c>
      <c r="AM10" s="39">
        <f t="shared" si="1"/>
        <v>4806000</v>
      </c>
      <c r="AN10" s="30"/>
    </row>
    <row r="11" spans="1:40" s="50" customFormat="1" ht="18" customHeight="1" x14ac:dyDescent="0.2">
      <c r="A11" s="40">
        <v>7</v>
      </c>
      <c r="B11" s="44" t="s">
        <v>22</v>
      </c>
      <c r="C11" s="44">
        <v>180000</v>
      </c>
      <c r="D11" s="44">
        <v>168000</v>
      </c>
      <c r="E11" s="44"/>
      <c r="F11" s="46"/>
      <c r="G11" s="46"/>
      <c r="H11" s="42"/>
      <c r="I11" s="44">
        <v>150000</v>
      </c>
      <c r="J11" s="44">
        <v>126000</v>
      </c>
      <c r="K11" s="44">
        <v>168000</v>
      </c>
      <c r="L11" s="44">
        <v>138000</v>
      </c>
      <c r="M11" s="44"/>
      <c r="N11" s="44"/>
      <c r="O11" s="42"/>
      <c r="P11" s="44">
        <v>168000</v>
      </c>
      <c r="Q11" s="44">
        <v>108000</v>
      </c>
      <c r="R11" s="44">
        <v>120000</v>
      </c>
      <c r="S11" s="44">
        <v>216000</v>
      </c>
      <c r="T11" s="44"/>
      <c r="U11" s="44"/>
      <c r="V11" s="42"/>
      <c r="W11" s="44">
        <v>138000</v>
      </c>
      <c r="X11" s="44">
        <v>132000</v>
      </c>
      <c r="Y11" s="44">
        <v>36000</v>
      </c>
      <c r="Z11" s="44">
        <v>120000</v>
      </c>
      <c r="AA11" s="44"/>
      <c r="AB11" s="44"/>
      <c r="AC11" s="42"/>
      <c r="AD11" s="44">
        <v>114000</v>
      </c>
      <c r="AE11" s="44">
        <v>90000</v>
      </c>
      <c r="AF11" s="44">
        <v>90000</v>
      </c>
      <c r="AG11" s="84">
        <f t="shared" si="0"/>
        <v>2262000</v>
      </c>
      <c r="AH11" s="107">
        <f>AG11/6000</f>
        <v>377</v>
      </c>
      <c r="AI11" s="109">
        <v>4392000</v>
      </c>
      <c r="AJ11" s="111">
        <f t="shared" si="2"/>
        <v>6654000</v>
      </c>
      <c r="AK11" s="47"/>
      <c r="AL11" s="48" t="s">
        <v>23</v>
      </c>
      <c r="AM11" s="39">
        <f t="shared" si="1"/>
        <v>2262000</v>
      </c>
      <c r="AN11" s="49"/>
    </row>
    <row r="12" spans="1:40" s="50" customFormat="1" ht="18" customHeight="1" x14ac:dyDescent="0.2">
      <c r="A12" s="40">
        <v>8</v>
      </c>
      <c r="B12" s="44" t="s">
        <v>24</v>
      </c>
      <c r="C12" s="44"/>
      <c r="D12" s="44"/>
      <c r="E12" s="51"/>
      <c r="F12" s="44"/>
      <c r="G12" s="44"/>
      <c r="H12" s="42"/>
      <c r="I12" s="44"/>
      <c r="J12" s="44"/>
      <c r="K12" s="44"/>
      <c r="L12" s="44"/>
      <c r="M12" s="44"/>
      <c r="N12" s="44"/>
      <c r="O12" s="42"/>
      <c r="P12" s="44"/>
      <c r="Q12" s="44"/>
      <c r="R12" s="44"/>
      <c r="S12" s="44"/>
      <c r="T12" s="44"/>
      <c r="U12" s="44"/>
      <c r="V12" s="42"/>
      <c r="W12" s="44"/>
      <c r="X12" s="44"/>
      <c r="Y12" s="44"/>
      <c r="Z12" s="44"/>
      <c r="AA12" s="44"/>
      <c r="AB12" s="44"/>
      <c r="AC12" s="42"/>
      <c r="AD12" s="44"/>
      <c r="AE12" s="44"/>
      <c r="AF12" s="44"/>
      <c r="AG12" s="84">
        <f t="shared" si="0"/>
        <v>0</v>
      </c>
      <c r="AH12" s="107">
        <f>AG12/4500</f>
        <v>0</v>
      </c>
      <c r="AI12" s="109"/>
      <c r="AJ12" s="111">
        <f t="shared" si="2"/>
        <v>0</v>
      </c>
      <c r="AK12" s="47"/>
      <c r="AL12" s="48" t="s">
        <v>25</v>
      </c>
      <c r="AM12" s="39">
        <f t="shared" si="1"/>
        <v>0</v>
      </c>
      <c r="AN12" s="49"/>
    </row>
    <row r="13" spans="1:40" s="50" customFormat="1" ht="18" customHeight="1" x14ac:dyDescent="0.2">
      <c r="A13" s="40">
        <v>9</v>
      </c>
      <c r="B13" s="44" t="s">
        <v>26</v>
      </c>
      <c r="C13" s="44"/>
      <c r="D13" s="44"/>
      <c r="E13" s="44"/>
      <c r="F13" s="44"/>
      <c r="G13" s="44"/>
      <c r="H13" s="42"/>
      <c r="I13" s="44"/>
      <c r="J13" s="44"/>
      <c r="K13" s="44"/>
      <c r="L13" s="44"/>
      <c r="M13" s="44"/>
      <c r="N13" s="44"/>
      <c r="O13" s="42"/>
      <c r="P13" s="44"/>
      <c r="Q13" s="44"/>
      <c r="R13" s="44"/>
      <c r="S13" s="44"/>
      <c r="T13" s="44"/>
      <c r="U13" s="44"/>
      <c r="V13" s="42"/>
      <c r="W13" s="44"/>
      <c r="X13" s="44"/>
      <c r="Y13" s="44"/>
      <c r="Z13" s="44"/>
      <c r="AA13" s="44"/>
      <c r="AB13" s="44"/>
      <c r="AC13" s="42"/>
      <c r="AD13" s="44"/>
      <c r="AE13" s="44"/>
      <c r="AF13" s="44"/>
      <c r="AG13" s="84">
        <f t="shared" si="0"/>
        <v>0</v>
      </c>
      <c r="AH13" s="107">
        <f>AG13/4500</f>
        <v>0</v>
      </c>
      <c r="AI13" s="109"/>
      <c r="AJ13" s="111">
        <f t="shared" si="2"/>
        <v>0</v>
      </c>
      <c r="AK13" s="47"/>
      <c r="AL13" s="48" t="s">
        <v>27</v>
      </c>
      <c r="AM13" s="39">
        <f t="shared" si="1"/>
        <v>0</v>
      </c>
      <c r="AN13" s="49"/>
    </row>
    <row r="14" spans="1:40" s="50" customFormat="1" ht="18" customHeight="1" x14ac:dyDescent="0.2">
      <c r="A14" s="40">
        <v>10</v>
      </c>
      <c r="B14" s="52" t="s">
        <v>28</v>
      </c>
      <c r="C14" s="52"/>
      <c r="D14" s="52"/>
      <c r="E14" s="52">
        <v>7462500</v>
      </c>
      <c r="F14" s="52">
        <v>4282500</v>
      </c>
      <c r="G14" s="52">
        <v>5647500</v>
      </c>
      <c r="H14" s="42"/>
      <c r="I14" s="52"/>
      <c r="J14" s="52"/>
      <c r="K14" s="52"/>
      <c r="L14" s="52"/>
      <c r="M14" s="52">
        <v>3622500</v>
      </c>
      <c r="N14" s="52">
        <v>7882500</v>
      </c>
      <c r="O14" s="42"/>
      <c r="P14" s="52"/>
      <c r="Q14" s="52"/>
      <c r="R14" s="52"/>
      <c r="S14" s="52"/>
      <c r="T14" s="52">
        <v>4215000</v>
      </c>
      <c r="U14" s="52">
        <v>6645000</v>
      </c>
      <c r="V14" s="42"/>
      <c r="W14" s="52"/>
      <c r="X14" s="52"/>
      <c r="Y14" s="52"/>
      <c r="Z14" s="52"/>
      <c r="AA14" s="52">
        <v>4102500</v>
      </c>
      <c r="AB14" s="52">
        <v>5265000</v>
      </c>
      <c r="AC14" s="42"/>
      <c r="AD14" s="52"/>
      <c r="AE14" s="52"/>
      <c r="AF14" s="52"/>
      <c r="AG14" s="84">
        <f t="shared" si="0"/>
        <v>49125000</v>
      </c>
      <c r="AH14" s="107">
        <f>AG14/7500</f>
        <v>6550</v>
      </c>
      <c r="AI14" s="109">
        <v>82710000</v>
      </c>
      <c r="AJ14" s="111">
        <f t="shared" si="2"/>
        <v>131835000</v>
      </c>
      <c r="AK14" s="47"/>
      <c r="AL14" s="48" t="s">
        <v>29</v>
      </c>
      <c r="AM14" s="39">
        <f t="shared" si="1"/>
        <v>49125000</v>
      </c>
      <c r="AN14" s="49"/>
    </row>
    <row r="15" spans="1:40" s="11" customFormat="1" ht="18" customHeight="1" x14ac:dyDescent="0.2">
      <c r="A15" s="40">
        <v>11</v>
      </c>
      <c r="B15" s="52" t="s">
        <v>30</v>
      </c>
      <c r="C15" s="52"/>
      <c r="D15" s="52"/>
      <c r="E15" s="52">
        <v>5790000</v>
      </c>
      <c r="F15" s="52">
        <v>3097500</v>
      </c>
      <c r="G15" s="52">
        <v>4942500</v>
      </c>
      <c r="H15" s="42"/>
      <c r="I15" s="52"/>
      <c r="J15" s="52"/>
      <c r="K15" s="52"/>
      <c r="L15" s="52"/>
      <c r="M15" s="52">
        <v>2655000</v>
      </c>
      <c r="N15" s="52">
        <v>5347500</v>
      </c>
      <c r="O15" s="42"/>
      <c r="P15" s="52"/>
      <c r="Q15" s="52"/>
      <c r="R15" s="52"/>
      <c r="S15" s="52"/>
      <c r="T15" s="52">
        <v>2805000</v>
      </c>
      <c r="U15" s="52">
        <v>4740000</v>
      </c>
      <c r="V15" s="42"/>
      <c r="W15" s="52"/>
      <c r="X15" s="52"/>
      <c r="Y15" s="52"/>
      <c r="Z15" s="52"/>
      <c r="AA15" s="52">
        <v>2760000</v>
      </c>
      <c r="AB15" s="52">
        <v>4072500</v>
      </c>
      <c r="AC15" s="42"/>
      <c r="AD15" s="52"/>
      <c r="AE15" s="52"/>
      <c r="AF15" s="52"/>
      <c r="AG15" s="84">
        <f t="shared" si="0"/>
        <v>36210000</v>
      </c>
      <c r="AH15" s="107">
        <f>AG15/7500</f>
        <v>4828</v>
      </c>
      <c r="AI15" s="109">
        <v>19380000</v>
      </c>
      <c r="AJ15" s="111">
        <f t="shared" si="2"/>
        <v>55590000</v>
      </c>
      <c r="AK15" s="38"/>
      <c r="AL15" s="54" t="s">
        <v>21</v>
      </c>
      <c r="AM15" s="39">
        <f t="shared" si="1"/>
        <v>36210000</v>
      </c>
      <c r="AN15" s="29"/>
    </row>
    <row r="16" spans="1:40" s="11" customFormat="1" ht="18" customHeight="1" x14ac:dyDescent="0.2">
      <c r="A16" s="40">
        <v>12</v>
      </c>
      <c r="B16" s="55" t="s">
        <v>31</v>
      </c>
      <c r="C16" s="52"/>
      <c r="D16" s="52"/>
      <c r="E16" s="52"/>
      <c r="F16" s="52"/>
      <c r="G16" s="52"/>
      <c r="H16" s="42"/>
      <c r="I16" s="52"/>
      <c r="J16" s="52"/>
      <c r="K16" s="52"/>
      <c r="L16" s="52"/>
      <c r="M16" s="52"/>
      <c r="N16" s="52"/>
      <c r="O16" s="42"/>
      <c r="P16" s="52"/>
      <c r="Q16" s="52"/>
      <c r="R16" s="52"/>
      <c r="S16" s="52"/>
      <c r="T16" s="52"/>
      <c r="U16" s="52"/>
      <c r="V16" s="42"/>
      <c r="W16" s="52"/>
      <c r="X16" s="52"/>
      <c r="Y16" s="52"/>
      <c r="Z16" s="52"/>
      <c r="AA16" s="52"/>
      <c r="AB16" s="52"/>
      <c r="AC16" s="42"/>
      <c r="AD16" s="52"/>
      <c r="AE16" s="52"/>
      <c r="AF16" s="52"/>
      <c r="AG16" s="84">
        <f t="shared" si="0"/>
        <v>0</v>
      </c>
      <c r="AH16" s="107">
        <f>AG16/5625</f>
        <v>0</v>
      </c>
      <c r="AI16" s="109"/>
      <c r="AJ16" s="111">
        <f t="shared" si="2"/>
        <v>0</v>
      </c>
      <c r="AK16" s="38"/>
      <c r="AL16" s="54" t="s">
        <v>22</v>
      </c>
      <c r="AM16" s="39">
        <f t="shared" si="1"/>
        <v>0</v>
      </c>
      <c r="AN16" s="29"/>
    </row>
    <row r="17" spans="1:40" s="11" customFormat="1" ht="18" customHeight="1" x14ac:dyDescent="0.2">
      <c r="A17" s="40">
        <v>13</v>
      </c>
      <c r="B17" s="52" t="s">
        <v>32</v>
      </c>
      <c r="C17" s="52"/>
      <c r="D17" s="52"/>
      <c r="E17" s="52"/>
      <c r="F17" s="52"/>
      <c r="G17" s="52"/>
      <c r="H17" s="42"/>
      <c r="I17" s="52"/>
      <c r="J17" s="52"/>
      <c r="K17" s="52"/>
      <c r="L17" s="52"/>
      <c r="M17" s="52"/>
      <c r="N17" s="52"/>
      <c r="O17" s="42"/>
      <c r="P17" s="52"/>
      <c r="Q17" s="52"/>
      <c r="R17" s="52"/>
      <c r="S17" s="52"/>
      <c r="T17" s="52"/>
      <c r="U17" s="52"/>
      <c r="V17" s="42"/>
      <c r="W17" s="52"/>
      <c r="X17" s="52"/>
      <c r="Y17" s="52"/>
      <c r="Z17" s="52"/>
      <c r="AA17" s="52"/>
      <c r="AB17" s="52"/>
      <c r="AC17" s="42"/>
      <c r="AD17" s="52"/>
      <c r="AE17" s="52"/>
      <c r="AF17" s="52"/>
      <c r="AG17" s="84">
        <f t="shared" si="0"/>
        <v>0</v>
      </c>
      <c r="AH17" s="107">
        <f>AG17/5625</f>
        <v>0</v>
      </c>
      <c r="AI17" s="109"/>
      <c r="AJ17" s="111">
        <f t="shared" si="2"/>
        <v>0</v>
      </c>
      <c r="AK17" s="38"/>
      <c r="AL17" s="54" t="s">
        <v>24</v>
      </c>
      <c r="AM17" s="39">
        <f t="shared" si="1"/>
        <v>0</v>
      </c>
      <c r="AN17" s="29"/>
    </row>
    <row r="18" spans="1:40" s="11" customFormat="1" ht="18" customHeight="1" x14ac:dyDescent="0.2">
      <c r="A18" s="40">
        <v>14</v>
      </c>
      <c r="B18" s="41" t="s">
        <v>6</v>
      </c>
      <c r="C18" s="41"/>
      <c r="D18" s="41"/>
      <c r="E18" s="41"/>
      <c r="F18" s="41"/>
      <c r="G18" s="41"/>
      <c r="H18" s="42"/>
      <c r="I18" s="41"/>
      <c r="J18" s="41"/>
      <c r="K18" s="41"/>
      <c r="L18" s="41"/>
      <c r="M18" s="41"/>
      <c r="N18" s="41"/>
      <c r="O18" s="42"/>
      <c r="P18" s="41"/>
      <c r="Q18" s="41"/>
      <c r="R18" s="41"/>
      <c r="S18" s="41"/>
      <c r="T18" s="41"/>
      <c r="U18" s="41"/>
      <c r="V18" s="42"/>
      <c r="W18" s="41"/>
      <c r="X18" s="41"/>
      <c r="Y18" s="41"/>
      <c r="Z18" s="41"/>
      <c r="AA18" s="41"/>
      <c r="AB18" s="41"/>
      <c r="AC18" s="42"/>
      <c r="AD18" s="41"/>
      <c r="AE18" s="41"/>
      <c r="AF18" s="41"/>
      <c r="AG18" s="84">
        <f t="shared" si="0"/>
        <v>0</v>
      </c>
      <c r="AH18" s="107">
        <f>AG18/15000</f>
        <v>0</v>
      </c>
      <c r="AI18" s="110">
        <v>960000</v>
      </c>
      <c r="AJ18" s="111">
        <f t="shared" si="2"/>
        <v>960000</v>
      </c>
      <c r="AK18" s="38"/>
      <c r="AL18" s="54" t="s">
        <v>26</v>
      </c>
      <c r="AM18" s="39">
        <f t="shared" si="1"/>
        <v>0</v>
      </c>
      <c r="AN18" s="29"/>
    </row>
    <row r="19" spans="1:40" s="11" customFormat="1" ht="18" customHeight="1" x14ac:dyDescent="0.2">
      <c r="A19" s="40">
        <v>15</v>
      </c>
      <c r="B19" s="41" t="s">
        <v>7</v>
      </c>
      <c r="C19" s="41"/>
      <c r="D19" s="41"/>
      <c r="E19" s="41"/>
      <c r="F19" s="41"/>
      <c r="G19" s="41"/>
      <c r="H19" s="42"/>
      <c r="I19" s="41"/>
      <c r="J19" s="41"/>
      <c r="K19" s="41"/>
      <c r="L19" s="41"/>
      <c r="M19" s="41"/>
      <c r="N19" s="41"/>
      <c r="O19" s="42"/>
      <c r="P19" s="41"/>
      <c r="Q19" s="41"/>
      <c r="R19" s="41"/>
      <c r="S19" s="41"/>
      <c r="T19" s="41"/>
      <c r="U19" s="41"/>
      <c r="V19" s="42"/>
      <c r="W19" s="41"/>
      <c r="X19" s="41"/>
      <c r="Y19" s="41"/>
      <c r="Z19" s="41"/>
      <c r="AA19" s="41"/>
      <c r="AB19" s="41"/>
      <c r="AC19" s="42"/>
      <c r="AD19" s="41"/>
      <c r="AE19" s="41"/>
      <c r="AF19" s="41"/>
      <c r="AG19" s="84">
        <f t="shared" si="0"/>
        <v>0</v>
      </c>
      <c r="AH19" s="107">
        <f>AG19/12500</f>
        <v>0</v>
      </c>
      <c r="AI19" s="110">
        <v>512500</v>
      </c>
      <c r="AJ19" s="111">
        <f t="shared" si="2"/>
        <v>512500</v>
      </c>
      <c r="AK19" s="38"/>
      <c r="AL19" s="58" t="s">
        <v>28</v>
      </c>
      <c r="AM19" s="39">
        <f t="shared" si="1"/>
        <v>0</v>
      </c>
      <c r="AN19" s="29"/>
    </row>
    <row r="20" spans="1:40" s="11" customFormat="1" ht="18" customHeight="1" x14ac:dyDescent="0.2">
      <c r="A20" s="40">
        <v>16</v>
      </c>
      <c r="B20" s="41" t="s">
        <v>8</v>
      </c>
      <c r="C20" s="41"/>
      <c r="D20" s="41"/>
      <c r="E20" s="41"/>
      <c r="F20" s="41"/>
      <c r="G20" s="41"/>
      <c r="H20" s="42"/>
      <c r="I20" s="41"/>
      <c r="J20" s="41"/>
      <c r="K20" s="41"/>
      <c r="L20" s="41"/>
      <c r="M20" s="41"/>
      <c r="N20" s="41"/>
      <c r="O20" s="42"/>
      <c r="P20" s="41"/>
      <c r="Q20" s="41"/>
      <c r="R20" s="41"/>
      <c r="S20" s="41"/>
      <c r="T20" s="41"/>
      <c r="U20" s="41"/>
      <c r="V20" s="42"/>
      <c r="W20" s="41"/>
      <c r="X20" s="41"/>
      <c r="Y20" s="41"/>
      <c r="Z20" s="41"/>
      <c r="AA20" s="41"/>
      <c r="AB20" s="41"/>
      <c r="AC20" s="42"/>
      <c r="AD20" s="41"/>
      <c r="AE20" s="41"/>
      <c r="AF20" s="41"/>
      <c r="AG20" s="84">
        <f t="shared" si="0"/>
        <v>0</v>
      </c>
      <c r="AH20" s="107">
        <f>AG20/6000</f>
        <v>0</v>
      </c>
      <c r="AI20" s="110">
        <v>18366000</v>
      </c>
      <c r="AJ20" s="111">
        <f t="shared" si="2"/>
        <v>18366000</v>
      </c>
      <c r="AK20" s="38"/>
      <c r="AL20" s="58" t="s">
        <v>30</v>
      </c>
      <c r="AM20" s="39">
        <f t="shared" si="1"/>
        <v>0</v>
      </c>
      <c r="AN20" s="29"/>
    </row>
    <row r="21" spans="1:40" s="11" customFormat="1" ht="18" customHeight="1" x14ac:dyDescent="0.2">
      <c r="A21" s="40">
        <v>17</v>
      </c>
      <c r="B21" s="41" t="s">
        <v>9</v>
      </c>
      <c r="C21" s="41"/>
      <c r="D21" s="41"/>
      <c r="E21" s="41"/>
      <c r="F21" s="41"/>
      <c r="G21" s="41"/>
      <c r="H21" s="42"/>
      <c r="I21" s="41"/>
      <c r="J21" s="41"/>
      <c r="K21" s="41"/>
      <c r="L21" s="41"/>
      <c r="M21" s="41"/>
      <c r="N21" s="41"/>
      <c r="O21" s="42"/>
      <c r="P21" s="41"/>
      <c r="Q21" s="41"/>
      <c r="R21" s="41"/>
      <c r="S21" s="41"/>
      <c r="T21" s="41"/>
      <c r="U21" s="41"/>
      <c r="V21" s="42"/>
      <c r="W21" s="41"/>
      <c r="X21" s="41"/>
      <c r="Y21" s="41"/>
      <c r="Z21" s="41"/>
      <c r="AA21" s="41"/>
      <c r="AB21" s="41"/>
      <c r="AC21" s="42"/>
      <c r="AD21" s="41"/>
      <c r="AE21" s="41"/>
      <c r="AF21" s="41"/>
      <c r="AG21" s="84">
        <f t="shared" si="0"/>
        <v>0</v>
      </c>
      <c r="AH21" s="107">
        <f>AG21/3000</f>
        <v>0</v>
      </c>
      <c r="AI21" s="110">
        <v>19251000</v>
      </c>
      <c r="AJ21" s="111">
        <f t="shared" si="2"/>
        <v>19251000</v>
      </c>
      <c r="AK21" s="38"/>
      <c r="AL21" s="58" t="s">
        <v>31</v>
      </c>
      <c r="AM21" s="39">
        <f t="shared" si="1"/>
        <v>0</v>
      </c>
      <c r="AN21" s="29"/>
    </row>
    <row r="22" spans="1:40" s="11" customFormat="1" ht="18" customHeight="1" thickBot="1" x14ac:dyDescent="0.25">
      <c r="A22" s="40">
        <v>18</v>
      </c>
      <c r="B22" s="59" t="s">
        <v>10</v>
      </c>
      <c r="C22" s="59"/>
      <c r="D22" s="59"/>
      <c r="E22" s="59"/>
      <c r="F22" s="61"/>
      <c r="G22" s="61"/>
      <c r="H22" s="60"/>
      <c r="I22" s="59"/>
      <c r="J22" s="59"/>
      <c r="K22" s="59"/>
      <c r="L22" s="59"/>
      <c r="M22" s="59"/>
      <c r="N22" s="59"/>
      <c r="O22" s="60"/>
      <c r="P22" s="59"/>
      <c r="Q22" s="59"/>
      <c r="R22" s="59"/>
      <c r="S22" s="59"/>
      <c r="T22" s="59"/>
      <c r="U22" s="59"/>
      <c r="V22" s="60"/>
      <c r="W22" s="59"/>
      <c r="X22" s="59"/>
      <c r="Y22" s="59"/>
      <c r="Z22" s="59"/>
      <c r="AA22" s="59"/>
      <c r="AB22" s="59"/>
      <c r="AC22" s="60"/>
      <c r="AD22" s="59"/>
      <c r="AE22" s="59"/>
      <c r="AF22" s="59"/>
      <c r="AG22" s="83">
        <f t="shared" si="0"/>
        <v>0</v>
      </c>
      <c r="AH22" s="107">
        <f>AG22/1000</f>
        <v>0</v>
      </c>
      <c r="AI22" s="110">
        <v>910000</v>
      </c>
      <c r="AJ22" s="111">
        <f t="shared" si="2"/>
        <v>910000</v>
      </c>
      <c r="AK22" s="38"/>
      <c r="AL22" s="58" t="s">
        <v>32</v>
      </c>
      <c r="AM22" s="39">
        <f t="shared" si="1"/>
        <v>0</v>
      </c>
      <c r="AN22" s="29"/>
    </row>
    <row r="23" spans="1:40" s="67" customFormat="1" ht="18" customHeight="1" x14ac:dyDescent="0.25">
      <c r="A23" s="63"/>
      <c r="B23" s="64" t="s">
        <v>11</v>
      </c>
      <c r="C23" s="65">
        <f t="shared" ref="C23:AI23" si="3">SUM(C5:C22)</f>
        <v>11575500</v>
      </c>
      <c r="D23" s="65">
        <f t="shared" si="3"/>
        <v>12504500</v>
      </c>
      <c r="E23" s="65">
        <f t="shared" si="3"/>
        <v>50384500</v>
      </c>
      <c r="F23" s="65">
        <f t="shared" si="3"/>
        <v>43108000</v>
      </c>
      <c r="G23" s="65">
        <f t="shared" si="3"/>
        <v>74715500</v>
      </c>
      <c r="H23" s="65">
        <f t="shared" si="3"/>
        <v>0</v>
      </c>
      <c r="I23" s="65">
        <f t="shared" si="3"/>
        <v>9089500</v>
      </c>
      <c r="J23" s="65">
        <f t="shared" si="3"/>
        <v>7180500</v>
      </c>
      <c r="K23" s="65">
        <f t="shared" si="3"/>
        <v>7983000</v>
      </c>
      <c r="L23" s="65">
        <f t="shared" si="3"/>
        <v>7017500</v>
      </c>
      <c r="M23" s="65">
        <f t="shared" si="3"/>
        <v>32808000</v>
      </c>
      <c r="N23" s="65">
        <f t="shared" si="3"/>
        <v>59114500</v>
      </c>
      <c r="O23" s="65">
        <f t="shared" si="3"/>
        <v>0</v>
      </c>
      <c r="P23" s="65">
        <f t="shared" si="3"/>
        <v>8070500</v>
      </c>
      <c r="Q23" s="65">
        <f t="shared" si="3"/>
        <v>8241000</v>
      </c>
      <c r="R23" s="65">
        <f t="shared" si="3"/>
        <v>7688500</v>
      </c>
      <c r="S23" s="65">
        <f t="shared" si="3"/>
        <v>6345500</v>
      </c>
      <c r="T23" s="65">
        <f t="shared" si="3"/>
        <v>41576000</v>
      </c>
      <c r="U23" s="65">
        <f t="shared" si="3"/>
        <v>51934000</v>
      </c>
      <c r="V23" s="65">
        <f t="shared" si="3"/>
        <v>0</v>
      </c>
      <c r="W23" s="65">
        <f t="shared" si="3"/>
        <v>7775000</v>
      </c>
      <c r="X23" s="65">
        <f t="shared" si="3"/>
        <v>6854500</v>
      </c>
      <c r="Y23" s="65">
        <f t="shared" si="3"/>
        <v>5656000</v>
      </c>
      <c r="Z23" s="65">
        <f t="shared" si="3"/>
        <v>6432000</v>
      </c>
      <c r="AA23" s="65">
        <f t="shared" si="3"/>
        <v>31411000</v>
      </c>
      <c r="AB23" s="65">
        <f t="shared" si="3"/>
        <v>47756500</v>
      </c>
      <c r="AC23" s="65">
        <f t="shared" si="3"/>
        <v>0</v>
      </c>
      <c r="AD23" s="65">
        <f t="shared" si="3"/>
        <v>5984500</v>
      </c>
      <c r="AE23" s="65">
        <f t="shared" si="3"/>
        <v>7676000</v>
      </c>
      <c r="AF23" s="65">
        <f t="shared" si="3"/>
        <v>7904500</v>
      </c>
      <c r="AG23" s="65">
        <f t="shared" si="3"/>
        <v>566786500</v>
      </c>
      <c r="AH23" s="65"/>
      <c r="AI23" s="65">
        <f t="shared" si="3"/>
        <v>420517500</v>
      </c>
      <c r="AJ23" s="108"/>
      <c r="AK23" s="38"/>
      <c r="AL23" s="66" t="s">
        <v>11</v>
      </c>
      <c r="AM23" s="39">
        <f t="shared" si="1"/>
        <v>566786500</v>
      </c>
    </row>
    <row r="24" spans="1:40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6"/>
      <c r="AH24" s="6"/>
      <c r="AI24" s="6"/>
      <c r="AJ24" s="7"/>
      <c r="AK24" s="28"/>
      <c r="AL24" s="69"/>
      <c r="AM24" s="29"/>
      <c r="AN24" s="39"/>
    </row>
    <row r="25" spans="1:40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6"/>
      <c r="AH25" s="6"/>
      <c r="AI25" s="6"/>
      <c r="AJ25" s="7"/>
      <c r="AK25" s="28"/>
      <c r="AL25" s="69"/>
      <c r="AM25" s="29"/>
      <c r="AN25" s="39"/>
    </row>
    <row r="26" spans="1:40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6"/>
      <c r="AH26" s="6"/>
      <c r="AI26" s="6"/>
      <c r="AJ26" s="37"/>
      <c r="AK26" s="28"/>
      <c r="AL26" s="69"/>
      <c r="AM26" s="29"/>
      <c r="AN26" s="30"/>
    </row>
    <row r="27" spans="1:40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6"/>
      <c r="AH27" s="6"/>
      <c r="AI27" s="6"/>
      <c r="AJ27" s="14"/>
      <c r="AK27" s="28"/>
      <c r="AL27" s="70" t="s">
        <v>13</v>
      </c>
      <c r="AM27" s="29"/>
      <c r="AN27" s="30"/>
    </row>
    <row r="28" spans="1:40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7" t="s">
        <v>1</v>
      </c>
      <c r="AH28" s="20"/>
      <c r="AI28" s="20"/>
      <c r="AJ28" s="21"/>
      <c r="AK28" s="28"/>
      <c r="AL28" s="71" t="s">
        <v>14</v>
      </c>
      <c r="AM28" s="72"/>
      <c r="AN28" s="30"/>
    </row>
    <row r="29" spans="1:40" s="25" customFormat="1" ht="18" customHeight="1" x14ac:dyDescent="0.2">
      <c r="B29" s="92" t="s">
        <v>2</v>
      </c>
      <c r="C29" s="92">
        <f t="shared" ref="C29:AF29" si="4">C5/4000</f>
        <v>2180</v>
      </c>
      <c r="D29" s="92">
        <f t="shared" si="4"/>
        <v>2427</v>
      </c>
      <c r="E29" s="92">
        <f t="shared" si="4"/>
        <v>7161</v>
      </c>
      <c r="F29" s="92">
        <f t="shared" si="4"/>
        <v>6904</v>
      </c>
      <c r="G29" s="92">
        <f t="shared" si="4"/>
        <v>12378</v>
      </c>
      <c r="H29" s="92">
        <f t="shared" si="4"/>
        <v>0</v>
      </c>
      <c r="I29" s="92">
        <f t="shared" si="4"/>
        <v>1869</v>
      </c>
      <c r="J29" s="92">
        <f t="shared" si="4"/>
        <v>1474</v>
      </c>
      <c r="K29" s="92">
        <f t="shared" si="4"/>
        <v>1585</v>
      </c>
      <c r="L29" s="92">
        <f t="shared" si="4"/>
        <v>1435</v>
      </c>
      <c r="M29" s="92">
        <f t="shared" si="4"/>
        <v>5317</v>
      </c>
      <c r="N29" s="92">
        <f t="shared" si="4"/>
        <v>9005</v>
      </c>
      <c r="O29" s="92">
        <f t="shared" si="4"/>
        <v>0</v>
      </c>
      <c r="P29" s="92">
        <f t="shared" si="4"/>
        <v>1663</v>
      </c>
      <c r="Q29" s="92">
        <f t="shared" si="4"/>
        <v>1707</v>
      </c>
      <c r="R29" s="92">
        <f t="shared" si="4"/>
        <v>1525</v>
      </c>
      <c r="S29" s="92">
        <f t="shared" si="4"/>
        <v>1255</v>
      </c>
      <c r="T29" s="92">
        <f t="shared" si="4"/>
        <v>6965</v>
      </c>
      <c r="U29" s="92">
        <f t="shared" si="4"/>
        <v>8071</v>
      </c>
      <c r="V29" s="92">
        <f t="shared" si="4"/>
        <v>0</v>
      </c>
      <c r="W29" s="92">
        <f t="shared" si="4"/>
        <v>1617</v>
      </c>
      <c r="X29" s="92">
        <f t="shared" si="4"/>
        <v>1364</v>
      </c>
      <c r="Y29" s="92">
        <f t="shared" si="4"/>
        <v>1175</v>
      </c>
      <c r="Z29" s="92">
        <f t="shared" si="4"/>
        <v>1352</v>
      </c>
      <c r="AA29" s="92">
        <f t="shared" si="4"/>
        <v>4986</v>
      </c>
      <c r="AB29" s="92">
        <f t="shared" si="4"/>
        <v>7720</v>
      </c>
      <c r="AC29" s="92">
        <f t="shared" si="4"/>
        <v>0</v>
      </c>
      <c r="AD29" s="92">
        <f t="shared" si="4"/>
        <v>1162</v>
      </c>
      <c r="AE29" s="92">
        <f t="shared" si="4"/>
        <v>1587</v>
      </c>
      <c r="AF29" s="92">
        <f t="shared" si="4"/>
        <v>1610</v>
      </c>
      <c r="AG29" s="93">
        <f t="shared" ref="AG29:AG46" si="5">SUM(C29:AF29)</f>
        <v>95494</v>
      </c>
      <c r="AH29" s="27"/>
      <c r="AI29" s="27"/>
      <c r="AJ29" s="73"/>
      <c r="AK29" s="28"/>
      <c r="AL29" s="74" t="s">
        <v>2</v>
      </c>
      <c r="AM29" s="75">
        <f>AG29</f>
        <v>95494</v>
      </c>
      <c r="AN29" s="30"/>
    </row>
    <row r="30" spans="1:40" s="25" customFormat="1" ht="18" customHeight="1" x14ac:dyDescent="0.2">
      <c r="B30" s="92" t="s">
        <v>3</v>
      </c>
      <c r="C30" s="92">
        <f t="shared" ref="C30:AF31" si="6">C6/3000</f>
        <v>705</v>
      </c>
      <c r="D30" s="92">
        <f t="shared" si="6"/>
        <v>678</v>
      </c>
      <c r="E30" s="92">
        <f t="shared" si="6"/>
        <v>2641</v>
      </c>
      <c r="F30" s="92">
        <f t="shared" si="6"/>
        <v>2474</v>
      </c>
      <c r="G30" s="92">
        <f t="shared" si="6"/>
        <v>4382</v>
      </c>
      <c r="H30" s="92">
        <f t="shared" si="6"/>
        <v>0</v>
      </c>
      <c r="I30" s="92">
        <f t="shared" si="6"/>
        <v>383</v>
      </c>
      <c r="J30" s="92">
        <f t="shared" si="6"/>
        <v>291</v>
      </c>
      <c r="K30" s="92">
        <f t="shared" si="6"/>
        <v>352</v>
      </c>
      <c r="L30" s="92">
        <f t="shared" si="6"/>
        <v>290</v>
      </c>
      <c r="M30" s="92">
        <f t="shared" si="6"/>
        <v>1525</v>
      </c>
      <c r="N30" s="92">
        <f t="shared" si="6"/>
        <v>2874</v>
      </c>
      <c r="O30" s="92">
        <f t="shared" si="6"/>
        <v>0</v>
      </c>
      <c r="P30" s="92">
        <f t="shared" si="6"/>
        <v>329</v>
      </c>
      <c r="Q30" s="92">
        <f t="shared" si="6"/>
        <v>343</v>
      </c>
      <c r="R30" s="92">
        <f t="shared" si="6"/>
        <v>331</v>
      </c>
      <c r="S30" s="92">
        <f t="shared" si="6"/>
        <v>238</v>
      </c>
      <c r="T30" s="92">
        <f t="shared" si="6"/>
        <v>1987</v>
      </c>
      <c r="U30" s="92">
        <f t="shared" si="6"/>
        <v>2365</v>
      </c>
      <c r="V30" s="92">
        <f t="shared" si="6"/>
        <v>0</v>
      </c>
      <c r="W30" s="92">
        <f t="shared" si="6"/>
        <v>289</v>
      </c>
      <c r="X30" s="92">
        <f t="shared" si="6"/>
        <v>306</v>
      </c>
      <c r="Y30" s="92">
        <f t="shared" si="6"/>
        <v>233</v>
      </c>
      <c r="Z30" s="92">
        <f t="shared" si="6"/>
        <v>230</v>
      </c>
      <c r="AA30" s="92">
        <f t="shared" si="6"/>
        <v>1329</v>
      </c>
      <c r="AB30" s="92">
        <f t="shared" si="6"/>
        <v>2203</v>
      </c>
      <c r="AC30" s="92">
        <f t="shared" si="6"/>
        <v>0</v>
      </c>
      <c r="AD30" s="92">
        <f t="shared" si="6"/>
        <v>260</v>
      </c>
      <c r="AE30" s="92">
        <f t="shared" si="6"/>
        <v>315</v>
      </c>
      <c r="AF30" s="92">
        <f t="shared" si="6"/>
        <v>322</v>
      </c>
      <c r="AG30" s="93">
        <f t="shared" si="5"/>
        <v>27675</v>
      </c>
      <c r="AH30" s="27"/>
      <c r="AI30" s="27"/>
      <c r="AJ30" s="73"/>
      <c r="AK30" s="28"/>
      <c r="AL30" s="74" t="s">
        <v>3</v>
      </c>
      <c r="AM30" s="75">
        <f t="shared" ref="AM30:AM40" si="7">AG30</f>
        <v>27675</v>
      </c>
      <c r="AN30" s="76"/>
    </row>
    <row r="31" spans="1:40" s="25" customFormat="1" ht="18" customHeight="1" x14ac:dyDescent="0.2">
      <c r="B31" s="92" t="s">
        <v>4</v>
      </c>
      <c r="C31" s="92">
        <f t="shared" si="6"/>
        <v>0</v>
      </c>
      <c r="D31" s="92">
        <f t="shared" si="6"/>
        <v>0</v>
      </c>
      <c r="E31" s="92">
        <f t="shared" si="6"/>
        <v>0</v>
      </c>
      <c r="F31" s="92">
        <f t="shared" si="6"/>
        <v>0</v>
      </c>
      <c r="G31" s="92">
        <f t="shared" si="6"/>
        <v>0</v>
      </c>
      <c r="H31" s="92">
        <f t="shared" si="6"/>
        <v>0</v>
      </c>
      <c r="I31" s="92">
        <f t="shared" si="6"/>
        <v>0</v>
      </c>
      <c r="J31" s="92">
        <f t="shared" si="6"/>
        <v>0</v>
      </c>
      <c r="K31" s="92">
        <f t="shared" si="6"/>
        <v>0</v>
      </c>
      <c r="L31" s="92">
        <f t="shared" si="6"/>
        <v>0</v>
      </c>
      <c r="M31" s="92">
        <f t="shared" si="6"/>
        <v>0</v>
      </c>
      <c r="N31" s="92">
        <f t="shared" si="6"/>
        <v>0</v>
      </c>
      <c r="O31" s="92">
        <f t="shared" si="6"/>
        <v>0</v>
      </c>
      <c r="P31" s="92">
        <f t="shared" si="6"/>
        <v>0</v>
      </c>
      <c r="Q31" s="92">
        <f t="shared" si="6"/>
        <v>0</v>
      </c>
      <c r="R31" s="92">
        <f t="shared" si="6"/>
        <v>0</v>
      </c>
      <c r="S31" s="92">
        <f t="shared" si="6"/>
        <v>0</v>
      </c>
      <c r="T31" s="92">
        <f t="shared" si="6"/>
        <v>0</v>
      </c>
      <c r="U31" s="92">
        <f t="shared" si="6"/>
        <v>0</v>
      </c>
      <c r="V31" s="92">
        <f t="shared" si="6"/>
        <v>0</v>
      </c>
      <c r="W31" s="92">
        <f t="shared" si="6"/>
        <v>0</v>
      </c>
      <c r="X31" s="92">
        <f t="shared" si="6"/>
        <v>0</v>
      </c>
      <c r="Y31" s="92">
        <f t="shared" si="6"/>
        <v>0</v>
      </c>
      <c r="Z31" s="92">
        <f t="shared" si="6"/>
        <v>0</v>
      </c>
      <c r="AA31" s="92">
        <f t="shared" si="6"/>
        <v>0</v>
      </c>
      <c r="AB31" s="92">
        <f t="shared" si="6"/>
        <v>0</v>
      </c>
      <c r="AC31" s="92">
        <f t="shared" si="6"/>
        <v>0</v>
      </c>
      <c r="AD31" s="92">
        <f t="shared" si="6"/>
        <v>0</v>
      </c>
      <c r="AE31" s="92">
        <f t="shared" si="6"/>
        <v>0</v>
      </c>
      <c r="AF31" s="92">
        <f t="shared" si="6"/>
        <v>0</v>
      </c>
      <c r="AG31" s="93">
        <f t="shared" si="5"/>
        <v>0</v>
      </c>
      <c r="AH31" s="27"/>
      <c r="AI31" s="27"/>
      <c r="AJ31" s="73"/>
      <c r="AK31" s="28"/>
      <c r="AL31" s="3" t="s">
        <v>4</v>
      </c>
      <c r="AM31" s="75">
        <f t="shared" si="7"/>
        <v>0</v>
      </c>
      <c r="AN31" s="30"/>
    </row>
    <row r="32" spans="1:40" s="25" customFormat="1" ht="18" customHeight="1" x14ac:dyDescent="0.2">
      <c r="B32" s="92" t="s">
        <v>5</v>
      </c>
      <c r="C32" s="92">
        <f t="shared" ref="C32:AF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2">
        <f t="shared" si="8"/>
        <v>0</v>
      </c>
      <c r="AF32" s="92">
        <f t="shared" si="8"/>
        <v>0</v>
      </c>
      <c r="AG32" s="93">
        <f t="shared" si="5"/>
        <v>0</v>
      </c>
      <c r="AH32" s="27"/>
      <c r="AI32" s="27"/>
      <c r="AJ32" s="73"/>
      <c r="AK32" s="28"/>
      <c r="AL32" s="3" t="s">
        <v>5</v>
      </c>
      <c r="AM32" s="75">
        <f t="shared" si="7"/>
        <v>0</v>
      </c>
      <c r="AN32" s="30"/>
    </row>
    <row r="33" spans="2:40" s="25" customFormat="1" ht="18" customHeight="1" x14ac:dyDescent="0.2">
      <c r="B33" s="92" t="s">
        <v>33</v>
      </c>
      <c r="C33" s="92">
        <f>C9/2500</f>
        <v>25</v>
      </c>
      <c r="D33" s="92">
        <f t="shared" ref="D33:AF33" si="9">D9/2500</f>
        <v>65</v>
      </c>
      <c r="E33" s="92">
        <f t="shared" si="9"/>
        <v>226</v>
      </c>
      <c r="F33" s="92">
        <f t="shared" si="9"/>
        <v>276</v>
      </c>
      <c r="G33" s="92">
        <f t="shared" si="9"/>
        <v>587</v>
      </c>
      <c r="H33" s="92">
        <f t="shared" si="9"/>
        <v>0</v>
      </c>
      <c r="I33" s="92">
        <f t="shared" si="9"/>
        <v>25</v>
      </c>
      <c r="J33" s="92">
        <f t="shared" si="9"/>
        <v>11</v>
      </c>
      <c r="K33" s="92">
        <f t="shared" si="9"/>
        <v>26</v>
      </c>
      <c r="L33" s="92">
        <f t="shared" si="9"/>
        <v>31</v>
      </c>
      <c r="M33" s="92">
        <f t="shared" si="9"/>
        <v>275</v>
      </c>
      <c r="N33" s="92">
        <f t="shared" si="9"/>
        <v>497</v>
      </c>
      <c r="O33" s="92">
        <f t="shared" si="9"/>
        <v>0</v>
      </c>
      <c r="P33" s="92">
        <f t="shared" si="9"/>
        <v>7</v>
      </c>
      <c r="Q33" s="92">
        <f t="shared" si="9"/>
        <v>36</v>
      </c>
      <c r="R33" s="92">
        <f t="shared" si="9"/>
        <v>51</v>
      </c>
      <c r="S33" s="92">
        <f t="shared" si="9"/>
        <v>43</v>
      </c>
      <c r="T33" s="92">
        <f t="shared" si="9"/>
        <v>294</v>
      </c>
      <c r="U33" s="92">
        <f t="shared" si="9"/>
        <v>468</v>
      </c>
      <c r="V33" s="92">
        <f t="shared" si="9"/>
        <v>0</v>
      </c>
      <c r="W33" s="92">
        <f t="shared" si="9"/>
        <v>8</v>
      </c>
      <c r="X33" s="92">
        <f t="shared" si="9"/>
        <v>65</v>
      </c>
      <c r="Y33" s="92">
        <f t="shared" si="9"/>
        <v>14</v>
      </c>
      <c r="Z33" s="92">
        <f t="shared" si="9"/>
        <v>16</v>
      </c>
      <c r="AA33" s="92">
        <f t="shared" si="9"/>
        <v>247</v>
      </c>
      <c r="AB33" s="92">
        <f t="shared" si="9"/>
        <v>372</v>
      </c>
      <c r="AC33" s="92">
        <f t="shared" si="9"/>
        <v>0</v>
      </c>
      <c r="AD33" s="92">
        <f t="shared" si="9"/>
        <v>33</v>
      </c>
      <c r="AE33" s="92">
        <f t="shared" si="9"/>
        <v>38</v>
      </c>
      <c r="AF33" s="92">
        <f t="shared" si="9"/>
        <v>17</v>
      </c>
      <c r="AG33" s="93">
        <f t="shared" si="5"/>
        <v>3753</v>
      </c>
      <c r="AH33" s="27"/>
      <c r="AI33" s="27"/>
      <c r="AJ33" s="73"/>
      <c r="AK33" s="28"/>
      <c r="AL33" s="3"/>
      <c r="AM33" s="75"/>
      <c r="AN33" s="30"/>
    </row>
    <row r="34" spans="2:40" s="25" customFormat="1" ht="18" customHeight="1" x14ac:dyDescent="0.2">
      <c r="B34" s="100" t="s">
        <v>21</v>
      </c>
      <c r="C34" s="100">
        <f t="shared" ref="C34:AF35" si="10">C10/6000</f>
        <v>83</v>
      </c>
      <c r="D34" s="100">
        <f t="shared" si="10"/>
        <v>72</v>
      </c>
      <c r="E34" s="100">
        <f t="shared" si="10"/>
        <v>0</v>
      </c>
      <c r="F34" s="100">
        <f t="shared" si="10"/>
        <v>0</v>
      </c>
      <c r="G34" s="100">
        <f t="shared" si="10"/>
        <v>0</v>
      </c>
      <c r="H34" s="100">
        <f t="shared" si="10"/>
        <v>0</v>
      </c>
      <c r="I34" s="100">
        <f t="shared" si="10"/>
        <v>42</v>
      </c>
      <c r="J34" s="100">
        <f t="shared" si="10"/>
        <v>43</v>
      </c>
      <c r="K34" s="100">
        <f t="shared" si="10"/>
        <v>59</v>
      </c>
      <c r="L34" s="100">
        <f t="shared" si="10"/>
        <v>32</v>
      </c>
      <c r="M34" s="100">
        <f t="shared" si="10"/>
        <v>0</v>
      </c>
      <c r="N34" s="100">
        <f t="shared" si="10"/>
        <v>0</v>
      </c>
      <c r="O34" s="100">
        <f t="shared" si="10"/>
        <v>0</v>
      </c>
      <c r="P34" s="100">
        <f t="shared" si="10"/>
        <v>41</v>
      </c>
      <c r="Q34" s="100">
        <f t="shared" si="10"/>
        <v>31</v>
      </c>
      <c r="R34" s="100">
        <f t="shared" si="10"/>
        <v>58</v>
      </c>
      <c r="S34" s="100">
        <f t="shared" si="10"/>
        <v>48</v>
      </c>
      <c r="T34" s="100">
        <f t="shared" si="10"/>
        <v>0</v>
      </c>
      <c r="U34" s="100">
        <f t="shared" si="10"/>
        <v>0</v>
      </c>
      <c r="V34" s="100">
        <f t="shared" si="10"/>
        <v>0</v>
      </c>
      <c r="W34" s="100">
        <f t="shared" si="10"/>
        <v>47</v>
      </c>
      <c r="X34" s="100">
        <f t="shared" si="10"/>
        <v>31</v>
      </c>
      <c r="Y34" s="100">
        <f t="shared" si="10"/>
        <v>31</v>
      </c>
      <c r="Z34" s="100">
        <f t="shared" si="10"/>
        <v>29</v>
      </c>
      <c r="AA34" s="100">
        <f t="shared" si="10"/>
        <v>0</v>
      </c>
      <c r="AB34" s="100">
        <f t="shared" si="10"/>
        <v>0</v>
      </c>
      <c r="AC34" s="100">
        <f t="shared" si="10"/>
        <v>0</v>
      </c>
      <c r="AD34" s="100">
        <f t="shared" si="10"/>
        <v>60</v>
      </c>
      <c r="AE34" s="100">
        <f t="shared" si="10"/>
        <v>33</v>
      </c>
      <c r="AF34" s="100">
        <f t="shared" si="10"/>
        <v>61</v>
      </c>
      <c r="AG34" s="93">
        <f t="shared" si="5"/>
        <v>801</v>
      </c>
      <c r="AH34" s="27"/>
      <c r="AI34" s="27"/>
      <c r="AJ34" s="73"/>
      <c r="AK34" s="28"/>
      <c r="AL34" s="3" t="s">
        <v>10</v>
      </c>
      <c r="AM34" s="75">
        <f t="shared" si="7"/>
        <v>801</v>
      </c>
      <c r="AN34" s="30"/>
    </row>
    <row r="35" spans="2:40" s="25" customFormat="1" ht="18" customHeight="1" thickBot="1" x14ac:dyDescent="0.25">
      <c r="B35" s="100" t="s">
        <v>22</v>
      </c>
      <c r="C35" s="100">
        <f t="shared" si="10"/>
        <v>30</v>
      </c>
      <c r="D35" s="100">
        <f t="shared" si="10"/>
        <v>28</v>
      </c>
      <c r="E35" s="100">
        <f t="shared" si="10"/>
        <v>0</v>
      </c>
      <c r="F35" s="100">
        <f t="shared" si="10"/>
        <v>0</v>
      </c>
      <c r="G35" s="100">
        <f t="shared" si="10"/>
        <v>0</v>
      </c>
      <c r="H35" s="100">
        <f t="shared" si="10"/>
        <v>0</v>
      </c>
      <c r="I35" s="100">
        <f t="shared" si="10"/>
        <v>25</v>
      </c>
      <c r="J35" s="100">
        <f t="shared" si="10"/>
        <v>21</v>
      </c>
      <c r="K35" s="100">
        <f t="shared" si="10"/>
        <v>28</v>
      </c>
      <c r="L35" s="100">
        <f t="shared" si="10"/>
        <v>23</v>
      </c>
      <c r="M35" s="100">
        <f t="shared" si="10"/>
        <v>0</v>
      </c>
      <c r="N35" s="100">
        <f t="shared" si="10"/>
        <v>0</v>
      </c>
      <c r="O35" s="100">
        <f t="shared" si="10"/>
        <v>0</v>
      </c>
      <c r="P35" s="100">
        <f t="shared" si="10"/>
        <v>28</v>
      </c>
      <c r="Q35" s="100">
        <f t="shared" si="10"/>
        <v>18</v>
      </c>
      <c r="R35" s="100">
        <f t="shared" si="10"/>
        <v>20</v>
      </c>
      <c r="S35" s="100">
        <f t="shared" si="10"/>
        <v>36</v>
      </c>
      <c r="T35" s="100">
        <f t="shared" si="10"/>
        <v>0</v>
      </c>
      <c r="U35" s="100">
        <f t="shared" si="10"/>
        <v>0</v>
      </c>
      <c r="V35" s="100">
        <f t="shared" si="10"/>
        <v>0</v>
      </c>
      <c r="W35" s="100">
        <f t="shared" si="10"/>
        <v>23</v>
      </c>
      <c r="X35" s="100">
        <f t="shared" si="10"/>
        <v>22</v>
      </c>
      <c r="Y35" s="100">
        <f t="shared" si="10"/>
        <v>6</v>
      </c>
      <c r="Z35" s="100">
        <f t="shared" si="10"/>
        <v>20</v>
      </c>
      <c r="AA35" s="100">
        <f t="shared" si="10"/>
        <v>0</v>
      </c>
      <c r="AB35" s="100">
        <f t="shared" si="10"/>
        <v>0</v>
      </c>
      <c r="AC35" s="100">
        <f t="shared" si="10"/>
        <v>0</v>
      </c>
      <c r="AD35" s="100">
        <f t="shared" si="10"/>
        <v>19</v>
      </c>
      <c r="AE35" s="100">
        <f t="shared" si="10"/>
        <v>15</v>
      </c>
      <c r="AF35" s="100">
        <f t="shared" si="10"/>
        <v>15</v>
      </c>
      <c r="AG35" s="93">
        <f t="shared" si="5"/>
        <v>377</v>
      </c>
      <c r="AH35" s="27"/>
      <c r="AI35" s="27"/>
      <c r="AJ35" s="73"/>
      <c r="AK35" s="28"/>
      <c r="AL35" s="77" t="s">
        <v>15</v>
      </c>
      <c r="AM35" s="75">
        <f t="shared" si="7"/>
        <v>377</v>
      </c>
      <c r="AN35" s="30"/>
    </row>
    <row r="36" spans="2:40" s="29" customFormat="1" ht="18" customHeight="1" x14ac:dyDescent="0.2">
      <c r="B36" s="100" t="s">
        <v>24</v>
      </c>
      <c r="C36" s="100">
        <f t="shared" ref="C36:AF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100">
        <f t="shared" si="11"/>
        <v>0</v>
      </c>
      <c r="AF36" s="100">
        <f t="shared" si="11"/>
        <v>0</v>
      </c>
      <c r="AG36" s="93">
        <f t="shared" si="5"/>
        <v>0</v>
      </c>
      <c r="AH36" s="27"/>
      <c r="AI36" s="27"/>
      <c r="AJ36" s="73"/>
      <c r="AK36" s="28"/>
      <c r="AL36" s="78" t="s">
        <v>34</v>
      </c>
      <c r="AM36" s="75">
        <f t="shared" si="7"/>
        <v>0</v>
      </c>
    </row>
    <row r="37" spans="2:40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100">
        <f t="shared" si="11"/>
        <v>0</v>
      </c>
      <c r="AF37" s="100">
        <f t="shared" si="11"/>
        <v>0</v>
      </c>
      <c r="AG37" s="93">
        <f t="shared" si="5"/>
        <v>0</v>
      </c>
      <c r="AH37" s="27"/>
      <c r="AI37" s="27"/>
      <c r="AJ37" s="73"/>
      <c r="AK37" s="28"/>
      <c r="AL37" s="79" t="s">
        <v>35</v>
      </c>
      <c r="AM37" s="75">
        <f t="shared" si="7"/>
        <v>0</v>
      </c>
    </row>
    <row r="38" spans="2:40" s="29" customFormat="1" ht="18" customHeight="1" x14ac:dyDescent="0.2">
      <c r="B38" s="104" t="s">
        <v>28</v>
      </c>
      <c r="C38" s="104">
        <f t="shared" ref="C38:AF39" si="12">C14/7500</f>
        <v>0</v>
      </c>
      <c r="D38" s="104">
        <f t="shared" si="12"/>
        <v>0</v>
      </c>
      <c r="E38" s="104">
        <f t="shared" si="12"/>
        <v>995</v>
      </c>
      <c r="F38" s="104">
        <f t="shared" si="12"/>
        <v>571</v>
      </c>
      <c r="G38" s="104">
        <f t="shared" si="12"/>
        <v>753</v>
      </c>
      <c r="H38" s="104">
        <f t="shared" si="12"/>
        <v>0</v>
      </c>
      <c r="I38" s="104">
        <f t="shared" si="12"/>
        <v>0</v>
      </c>
      <c r="J38" s="104">
        <f t="shared" si="12"/>
        <v>0</v>
      </c>
      <c r="K38" s="104">
        <f t="shared" si="12"/>
        <v>0</v>
      </c>
      <c r="L38" s="104">
        <f t="shared" si="12"/>
        <v>0</v>
      </c>
      <c r="M38" s="104">
        <f t="shared" si="12"/>
        <v>483</v>
      </c>
      <c r="N38" s="104">
        <f t="shared" si="12"/>
        <v>1051</v>
      </c>
      <c r="O38" s="104">
        <f t="shared" si="12"/>
        <v>0</v>
      </c>
      <c r="P38" s="104">
        <f t="shared" si="12"/>
        <v>0</v>
      </c>
      <c r="Q38" s="104">
        <f t="shared" si="12"/>
        <v>0</v>
      </c>
      <c r="R38" s="104">
        <f t="shared" si="12"/>
        <v>0</v>
      </c>
      <c r="S38" s="104">
        <f t="shared" si="12"/>
        <v>0</v>
      </c>
      <c r="T38" s="104">
        <f t="shared" si="12"/>
        <v>562</v>
      </c>
      <c r="U38" s="104">
        <f t="shared" si="12"/>
        <v>886</v>
      </c>
      <c r="V38" s="104">
        <f t="shared" si="12"/>
        <v>0</v>
      </c>
      <c r="W38" s="104">
        <f t="shared" si="12"/>
        <v>0</v>
      </c>
      <c r="X38" s="104">
        <f t="shared" si="12"/>
        <v>0</v>
      </c>
      <c r="Y38" s="104">
        <f t="shared" si="12"/>
        <v>0</v>
      </c>
      <c r="Z38" s="104">
        <f t="shared" si="12"/>
        <v>0</v>
      </c>
      <c r="AA38" s="104">
        <f t="shared" si="12"/>
        <v>547</v>
      </c>
      <c r="AB38" s="104">
        <f t="shared" si="12"/>
        <v>702</v>
      </c>
      <c r="AC38" s="104">
        <f t="shared" si="12"/>
        <v>0</v>
      </c>
      <c r="AD38" s="104">
        <f t="shared" si="12"/>
        <v>0</v>
      </c>
      <c r="AE38" s="104">
        <f t="shared" si="12"/>
        <v>0</v>
      </c>
      <c r="AF38" s="104">
        <f t="shared" si="12"/>
        <v>0</v>
      </c>
      <c r="AG38" s="93">
        <f t="shared" si="5"/>
        <v>6550</v>
      </c>
      <c r="AH38" s="27"/>
      <c r="AI38" s="27"/>
      <c r="AJ38" s="73"/>
      <c r="AK38" s="28"/>
      <c r="AL38" s="79" t="s">
        <v>36</v>
      </c>
      <c r="AM38" s="75">
        <f t="shared" si="7"/>
        <v>6550</v>
      </c>
    </row>
    <row r="39" spans="2:40" s="29" customFormat="1" ht="18" customHeight="1" x14ac:dyDescent="0.2">
      <c r="B39" s="104" t="s">
        <v>30</v>
      </c>
      <c r="C39" s="104">
        <f t="shared" si="12"/>
        <v>0</v>
      </c>
      <c r="D39" s="104">
        <f t="shared" si="12"/>
        <v>0</v>
      </c>
      <c r="E39" s="104">
        <f t="shared" si="12"/>
        <v>772</v>
      </c>
      <c r="F39" s="104">
        <f t="shared" si="12"/>
        <v>413</v>
      </c>
      <c r="G39" s="104">
        <f t="shared" si="12"/>
        <v>659</v>
      </c>
      <c r="H39" s="104">
        <f t="shared" si="12"/>
        <v>0</v>
      </c>
      <c r="I39" s="104">
        <f t="shared" si="12"/>
        <v>0</v>
      </c>
      <c r="J39" s="104">
        <f t="shared" si="12"/>
        <v>0</v>
      </c>
      <c r="K39" s="104">
        <f t="shared" si="12"/>
        <v>0</v>
      </c>
      <c r="L39" s="104">
        <f t="shared" si="12"/>
        <v>0</v>
      </c>
      <c r="M39" s="104">
        <f t="shared" si="12"/>
        <v>354</v>
      </c>
      <c r="N39" s="104">
        <f t="shared" si="12"/>
        <v>713</v>
      </c>
      <c r="O39" s="104">
        <f t="shared" si="12"/>
        <v>0</v>
      </c>
      <c r="P39" s="104">
        <f t="shared" si="12"/>
        <v>0</v>
      </c>
      <c r="Q39" s="104">
        <f t="shared" si="12"/>
        <v>0</v>
      </c>
      <c r="R39" s="104">
        <f t="shared" si="12"/>
        <v>0</v>
      </c>
      <c r="S39" s="104">
        <f t="shared" si="12"/>
        <v>0</v>
      </c>
      <c r="T39" s="104">
        <f t="shared" si="12"/>
        <v>374</v>
      </c>
      <c r="U39" s="104">
        <f t="shared" si="12"/>
        <v>632</v>
      </c>
      <c r="V39" s="104">
        <f t="shared" si="12"/>
        <v>0</v>
      </c>
      <c r="W39" s="104">
        <f t="shared" si="12"/>
        <v>0</v>
      </c>
      <c r="X39" s="104">
        <f t="shared" si="12"/>
        <v>0</v>
      </c>
      <c r="Y39" s="104">
        <f t="shared" si="12"/>
        <v>0</v>
      </c>
      <c r="Z39" s="104">
        <f t="shared" si="12"/>
        <v>0</v>
      </c>
      <c r="AA39" s="104">
        <f t="shared" si="12"/>
        <v>368</v>
      </c>
      <c r="AB39" s="104">
        <f t="shared" si="12"/>
        <v>543</v>
      </c>
      <c r="AC39" s="104">
        <f t="shared" si="12"/>
        <v>0</v>
      </c>
      <c r="AD39" s="104">
        <f t="shared" si="12"/>
        <v>0</v>
      </c>
      <c r="AE39" s="104">
        <f t="shared" si="12"/>
        <v>0</v>
      </c>
      <c r="AF39" s="104">
        <f t="shared" si="12"/>
        <v>0</v>
      </c>
      <c r="AG39" s="93">
        <f t="shared" si="5"/>
        <v>4828</v>
      </c>
      <c r="AH39" s="27"/>
      <c r="AI39" s="27"/>
      <c r="AJ39" s="73"/>
      <c r="AK39" s="28"/>
      <c r="AL39" s="79" t="s">
        <v>37</v>
      </c>
      <c r="AM39" s="75">
        <f t="shared" si="7"/>
        <v>4828</v>
      </c>
    </row>
    <row r="40" spans="2:40" s="29" customFormat="1" ht="18" customHeight="1" thickBot="1" x14ac:dyDescent="0.25">
      <c r="B40" s="104" t="s">
        <v>31</v>
      </c>
      <c r="C40" s="104">
        <f t="shared" ref="C40:AF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>
        <f t="shared" si="13"/>
        <v>0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>
        <f t="shared" si="13"/>
        <v>0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104">
        <f t="shared" si="13"/>
        <v>0</v>
      </c>
      <c r="AF40" s="104">
        <f t="shared" si="13"/>
        <v>0</v>
      </c>
      <c r="AG40" s="93">
        <f t="shared" si="5"/>
        <v>0</v>
      </c>
      <c r="AH40" s="27"/>
      <c r="AI40" s="27"/>
      <c r="AJ40" s="73"/>
      <c r="AK40" s="28"/>
      <c r="AL40" s="77" t="s">
        <v>15</v>
      </c>
      <c r="AM40" s="75">
        <f t="shared" si="7"/>
        <v>0</v>
      </c>
    </row>
    <row r="41" spans="2:40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104">
        <f t="shared" si="13"/>
        <v>0</v>
      </c>
      <c r="AF41" s="104">
        <f t="shared" si="13"/>
        <v>0</v>
      </c>
      <c r="AG41" s="93">
        <f t="shared" si="5"/>
        <v>0</v>
      </c>
      <c r="AH41" s="6"/>
      <c r="AI41" s="6"/>
      <c r="AJ41" s="14"/>
      <c r="AK41" s="28"/>
      <c r="AL41" s="70"/>
      <c r="AM41" s="80"/>
      <c r="AN41" s="30"/>
    </row>
    <row r="42" spans="2:40" s="25" customFormat="1" ht="18" customHeight="1" x14ac:dyDescent="0.2">
      <c r="B42" s="92" t="s">
        <v>6</v>
      </c>
      <c r="C42" s="92">
        <f t="shared" ref="C42:AF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2">
        <f t="shared" si="14"/>
        <v>0</v>
      </c>
      <c r="AF42" s="92">
        <f t="shared" si="14"/>
        <v>0</v>
      </c>
      <c r="AG42" s="93">
        <f t="shared" si="5"/>
        <v>0</v>
      </c>
      <c r="AH42" s="6"/>
      <c r="AI42" s="6"/>
      <c r="AJ42" s="14"/>
      <c r="AK42" s="28"/>
      <c r="AL42" s="70"/>
      <c r="AM42" s="29"/>
      <c r="AN42" s="30"/>
    </row>
    <row r="43" spans="2:40" s="17" customFormat="1" ht="18" customHeight="1" x14ac:dyDescent="0.2">
      <c r="B43" s="92" t="s">
        <v>7</v>
      </c>
      <c r="C43" s="92">
        <f t="shared" ref="C43:AF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2">
        <f t="shared" si="15"/>
        <v>0</v>
      </c>
      <c r="AF43" s="92">
        <f t="shared" si="15"/>
        <v>0</v>
      </c>
      <c r="AG43" s="93">
        <f t="shared" si="5"/>
        <v>0</v>
      </c>
      <c r="AH43" s="2"/>
      <c r="AI43" s="2"/>
      <c r="AJ43" s="14"/>
      <c r="AK43" s="15"/>
      <c r="AL43" s="16"/>
    </row>
    <row r="44" spans="2:40" s="17" customFormat="1" ht="18" customHeight="1" x14ac:dyDescent="0.2">
      <c r="B44" s="92" t="s">
        <v>8</v>
      </c>
      <c r="C44" s="92">
        <f t="shared" ref="C44:AF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2">
        <f t="shared" si="16"/>
        <v>0</v>
      </c>
      <c r="AF44" s="92">
        <f t="shared" si="16"/>
        <v>0</v>
      </c>
      <c r="AG44" s="93">
        <f t="shared" si="5"/>
        <v>0</v>
      </c>
      <c r="AH44" s="2"/>
      <c r="AI44" s="2"/>
      <c r="AJ44" s="14"/>
      <c r="AK44" s="15"/>
      <c r="AL44" s="16"/>
    </row>
    <row r="45" spans="2:40" s="17" customFormat="1" ht="18" customHeight="1" x14ac:dyDescent="0.2">
      <c r="B45" s="92" t="s">
        <v>9</v>
      </c>
      <c r="C45" s="92">
        <f t="shared" ref="C45:AF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2">
        <f t="shared" si="17"/>
        <v>0</v>
      </c>
      <c r="AF45" s="92">
        <f t="shared" si="17"/>
        <v>0</v>
      </c>
      <c r="AG45" s="93">
        <f t="shared" si="5"/>
        <v>0</v>
      </c>
      <c r="AH45" s="2"/>
      <c r="AI45" s="2"/>
      <c r="AJ45" s="14"/>
      <c r="AK45" s="15"/>
      <c r="AL45" s="16"/>
    </row>
    <row r="46" spans="2:40" s="17" customFormat="1" ht="18" customHeight="1" x14ac:dyDescent="0.2">
      <c r="B46" s="92" t="s">
        <v>10</v>
      </c>
      <c r="C46" s="92">
        <f t="shared" ref="C46:AF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2">
        <f t="shared" si="18"/>
        <v>0</v>
      </c>
      <c r="AF46" s="92">
        <f t="shared" si="18"/>
        <v>0</v>
      </c>
      <c r="AG46" s="93">
        <f t="shared" si="5"/>
        <v>0</v>
      </c>
      <c r="AH46" s="2"/>
      <c r="AI46" s="2"/>
      <c r="AJ46" s="14"/>
      <c r="AK46" s="15"/>
      <c r="AL46" s="16"/>
    </row>
    <row r="47" spans="2:40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2"/>
      <c r="AH47" s="2"/>
      <c r="AI47" s="2"/>
      <c r="AJ47" s="14"/>
      <c r="AK47" s="15"/>
      <c r="AL47" s="16"/>
    </row>
    <row r="48" spans="2:40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2"/>
      <c r="AH48" s="2"/>
      <c r="AI48" s="2"/>
      <c r="AJ48" s="14"/>
      <c r="AK48" s="15"/>
      <c r="AL48" s="16"/>
    </row>
    <row r="49" spans="2:39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2"/>
      <c r="AH49" s="2"/>
      <c r="AI49" s="2"/>
      <c r="AJ49" s="14"/>
      <c r="AK49" s="15"/>
      <c r="AL49" s="16"/>
    </row>
    <row r="50" spans="2:39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2"/>
      <c r="AH50" s="2"/>
      <c r="AI50" s="2"/>
      <c r="AJ50" s="14"/>
      <c r="AK50" s="15"/>
      <c r="AL50" s="81"/>
      <c r="AM50" s="17"/>
    </row>
    <row r="51" spans="2:39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2"/>
      <c r="AH51" s="2"/>
      <c r="AI51" s="2"/>
      <c r="AJ51" s="14"/>
      <c r="AK51" s="15"/>
      <c r="AL51" s="81"/>
      <c r="AM51" s="17"/>
    </row>
    <row r="52" spans="2:39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2"/>
      <c r="AH52" s="2"/>
      <c r="AI52" s="2"/>
      <c r="AJ52" s="14"/>
      <c r="AK52" s="15"/>
      <c r="AL52" s="81"/>
      <c r="AM52" s="17"/>
    </row>
    <row r="53" spans="2:39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2"/>
      <c r="AH53" s="2"/>
      <c r="AI53" s="2"/>
      <c r="AJ53" s="14"/>
      <c r="AK53" s="15"/>
      <c r="AL53" s="81"/>
      <c r="AM53" s="17"/>
    </row>
    <row r="54" spans="2:39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2"/>
      <c r="AH54" s="2"/>
      <c r="AI54" s="2"/>
      <c r="AJ54" s="14"/>
      <c r="AK54" s="15"/>
      <c r="AL54" s="81"/>
      <c r="AM54" s="17"/>
    </row>
    <row r="55" spans="2:39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2"/>
      <c r="AH55" s="2"/>
      <c r="AI55" s="2"/>
      <c r="AJ55" s="14"/>
      <c r="AK55" s="15"/>
      <c r="AL55" s="81"/>
      <c r="AM55" s="17"/>
    </row>
    <row r="56" spans="2:39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2"/>
      <c r="AH56" s="2"/>
      <c r="AI56" s="2"/>
      <c r="AJ56" s="14"/>
      <c r="AK56" s="15"/>
      <c r="AL56" s="81"/>
      <c r="AM56" s="17"/>
    </row>
    <row r="57" spans="2:39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2"/>
      <c r="AH57" s="2"/>
      <c r="AI57" s="2"/>
      <c r="AJ57" s="14"/>
      <c r="AK57" s="15"/>
      <c r="AL57" s="81"/>
      <c r="AM57" s="17"/>
    </row>
    <row r="58" spans="2:39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2"/>
      <c r="AH58" s="2"/>
      <c r="AI58" s="2"/>
      <c r="AJ58" s="14"/>
      <c r="AK58" s="15"/>
      <c r="AL58" s="81"/>
      <c r="AM58" s="17"/>
    </row>
    <row r="59" spans="2:39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2"/>
      <c r="AH59" s="2"/>
      <c r="AI59" s="2"/>
      <c r="AJ59" s="14"/>
      <c r="AK59" s="15"/>
      <c r="AL59" s="81"/>
      <c r="AM59" s="17"/>
    </row>
    <row r="60" spans="2:39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2"/>
      <c r="AH60" s="2"/>
      <c r="AI60" s="2"/>
      <c r="AJ60" s="14"/>
      <c r="AK60" s="15"/>
      <c r="AL60" s="81"/>
      <c r="AM60" s="17"/>
    </row>
    <row r="61" spans="2:39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2"/>
      <c r="AH61" s="2"/>
      <c r="AI61" s="2"/>
      <c r="AJ61" s="14"/>
      <c r="AK61" s="15"/>
      <c r="AL61" s="81"/>
      <c r="AM61" s="17"/>
    </row>
    <row r="62" spans="2:39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2"/>
      <c r="AH62" s="2"/>
      <c r="AI62" s="2"/>
      <c r="AJ62" s="14"/>
      <c r="AK62" s="15"/>
      <c r="AL62" s="81"/>
      <c r="AM62" s="17"/>
    </row>
    <row r="63" spans="2:39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2"/>
      <c r="AH63" s="2"/>
      <c r="AI63" s="2"/>
      <c r="AJ63" s="14"/>
      <c r="AK63" s="15"/>
      <c r="AL63" s="81"/>
      <c r="AM63" s="17"/>
    </row>
    <row r="64" spans="2:39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2"/>
      <c r="AH64" s="2"/>
      <c r="AI64" s="2"/>
      <c r="AJ64" s="14"/>
      <c r="AK64" s="15"/>
      <c r="AL64" s="81"/>
      <c r="AM64" s="17"/>
    </row>
    <row r="65" spans="2:39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2"/>
      <c r="AH65" s="2"/>
      <c r="AI65" s="2"/>
      <c r="AJ65" s="14"/>
      <c r="AK65" s="15"/>
      <c r="AL65" s="81"/>
      <c r="AM65" s="17"/>
    </row>
    <row r="66" spans="2:39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2"/>
      <c r="AH66" s="2"/>
      <c r="AI66" s="2"/>
      <c r="AJ66" s="14"/>
      <c r="AK66" s="15"/>
      <c r="AL66" s="81"/>
      <c r="AM66" s="17"/>
    </row>
    <row r="67" spans="2:39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  <c r="AH67" s="2"/>
      <c r="AI67" s="2"/>
      <c r="AJ67" s="14"/>
      <c r="AK67" s="15"/>
      <c r="AL67" s="81"/>
      <c r="AM67" s="17"/>
    </row>
    <row r="68" spans="2:39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2"/>
      <c r="AI68" s="2"/>
      <c r="AJ68" s="14"/>
      <c r="AK68" s="15"/>
      <c r="AL68" s="81"/>
      <c r="AM68" s="17"/>
    </row>
    <row r="69" spans="2:39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"/>
      <c r="AH69" s="2"/>
      <c r="AI69" s="2"/>
      <c r="AJ69" s="14"/>
      <c r="AK69" s="15"/>
      <c r="AL69" s="81"/>
      <c r="AM69" s="17"/>
    </row>
    <row r="70" spans="2:39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2"/>
      <c r="AH70" s="2"/>
      <c r="AI70" s="2"/>
      <c r="AJ70" s="14"/>
      <c r="AK70" s="15"/>
      <c r="AL70" s="81"/>
      <c r="AM70" s="17"/>
    </row>
    <row r="71" spans="2:39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2"/>
      <c r="AH71" s="2"/>
      <c r="AI71" s="2"/>
      <c r="AJ71" s="14"/>
      <c r="AK71" s="15"/>
      <c r="AL71" s="81"/>
      <c r="AM71" s="17"/>
    </row>
    <row r="72" spans="2:39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2"/>
      <c r="AH72" s="2"/>
      <c r="AI72" s="2"/>
      <c r="AJ72" s="14"/>
      <c r="AK72" s="15"/>
      <c r="AL72" s="81"/>
      <c r="AM72" s="17"/>
    </row>
    <row r="73" spans="2:39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2"/>
      <c r="AH73" s="2"/>
      <c r="AI73" s="2"/>
      <c r="AJ73" s="14"/>
      <c r="AK73" s="15"/>
      <c r="AL73" s="81"/>
      <c r="AM73" s="17"/>
    </row>
    <row r="74" spans="2:39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2"/>
      <c r="AH74" s="2"/>
      <c r="AI74" s="2"/>
      <c r="AJ74" s="14"/>
      <c r="AK74" s="15"/>
      <c r="AL74" s="81"/>
      <c r="AM74" s="17"/>
    </row>
    <row r="75" spans="2:39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2"/>
      <c r="AH75" s="2"/>
      <c r="AI75" s="2"/>
      <c r="AJ75" s="14"/>
      <c r="AK75" s="15"/>
      <c r="AL75" s="81"/>
      <c r="AM75" s="17"/>
    </row>
    <row r="76" spans="2:39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2"/>
      <c r="AH76" s="2"/>
      <c r="AI76" s="2"/>
      <c r="AJ76" s="14"/>
      <c r="AK76" s="15"/>
      <c r="AL76" s="81"/>
      <c r="AM76" s="17"/>
    </row>
    <row r="77" spans="2:39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2"/>
      <c r="AH77" s="2"/>
      <c r="AI77" s="2"/>
      <c r="AJ77" s="14"/>
      <c r="AK77" s="15"/>
      <c r="AL77" s="81"/>
      <c r="AM77" s="17"/>
    </row>
    <row r="78" spans="2:39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2"/>
      <c r="AH78" s="2"/>
      <c r="AI78" s="2"/>
      <c r="AJ78" s="14"/>
      <c r="AK78" s="15"/>
      <c r="AL78" s="81"/>
      <c r="AM78" s="17"/>
    </row>
    <row r="79" spans="2:39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"/>
      <c r="AH79" s="2"/>
      <c r="AI79" s="2"/>
      <c r="AJ79" s="14"/>
      <c r="AK79" s="15"/>
      <c r="AL79" s="81"/>
      <c r="AM79" s="17"/>
    </row>
    <row r="80" spans="2:39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"/>
      <c r="AH80" s="2"/>
      <c r="AI80" s="2"/>
      <c r="AJ80" s="14"/>
      <c r="AK80" s="15"/>
      <c r="AL80" s="81"/>
      <c r="AM80" s="17"/>
    </row>
    <row r="81" spans="2:40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2"/>
      <c r="AH81" s="2"/>
      <c r="AI81" s="2"/>
      <c r="AJ81" s="14"/>
      <c r="AK81" s="15"/>
      <c r="AL81" s="81"/>
      <c r="AM81" s="17"/>
    </row>
    <row r="82" spans="2:40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"/>
      <c r="AH82" s="2"/>
      <c r="AI82" s="2"/>
      <c r="AJ82" s="14"/>
      <c r="AK82" s="15"/>
      <c r="AL82" s="81"/>
      <c r="AM82" s="17"/>
    </row>
    <row r="83" spans="2:40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  <c r="AH83" s="2"/>
      <c r="AI83" s="2"/>
      <c r="AJ83" s="14"/>
      <c r="AK83" s="15"/>
      <c r="AL83" s="81"/>
      <c r="AM83" s="17"/>
    </row>
    <row r="84" spans="2:40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"/>
      <c r="AH84" s="2"/>
      <c r="AI84" s="2"/>
      <c r="AJ84" s="14"/>
      <c r="AK84" s="15"/>
      <c r="AL84" s="81"/>
      <c r="AM84" s="17"/>
    </row>
    <row r="85" spans="2:40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"/>
      <c r="AH85" s="2"/>
      <c r="AI85" s="2"/>
      <c r="AJ85" s="14"/>
      <c r="AK85" s="15"/>
      <c r="AL85" s="81"/>
      <c r="AM85" s="17"/>
    </row>
    <row r="86" spans="2:40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"/>
      <c r="AH86" s="2"/>
      <c r="AI86" s="2"/>
      <c r="AJ86" s="14"/>
      <c r="AK86" s="15"/>
      <c r="AL86" s="81"/>
      <c r="AM86" s="17"/>
    </row>
    <row r="87" spans="2:40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"/>
      <c r="AH87" s="2"/>
      <c r="AI87" s="2"/>
      <c r="AJ87" s="14"/>
      <c r="AK87" s="15"/>
      <c r="AL87" s="81"/>
      <c r="AM87" s="17"/>
    </row>
    <row r="88" spans="2:40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  <c r="AH88" s="2"/>
      <c r="AI88" s="2"/>
      <c r="AJ88" s="14"/>
      <c r="AK88" s="15"/>
      <c r="AL88" s="81"/>
      <c r="AM88" s="17"/>
    </row>
    <row r="89" spans="2:40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"/>
      <c r="AH89" s="2"/>
      <c r="AI89" s="2"/>
      <c r="AJ89" s="14"/>
      <c r="AK89" s="15"/>
      <c r="AL89" s="81"/>
      <c r="AM89" s="17"/>
    </row>
    <row r="90" spans="2:40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2"/>
      <c r="AH90" s="2"/>
      <c r="AI90" s="2"/>
      <c r="AJ90" s="14"/>
      <c r="AK90" s="15"/>
      <c r="AL90" s="81"/>
      <c r="AM90" s="17"/>
    </row>
    <row r="91" spans="2:40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2"/>
      <c r="AH91" s="2"/>
      <c r="AI91" s="2"/>
      <c r="AJ91" s="14"/>
      <c r="AK91" s="15"/>
      <c r="AL91" s="81"/>
      <c r="AM91" s="17"/>
    </row>
    <row r="92" spans="2:40" x14ac:dyDescent="0.2">
      <c r="AN92" s="19"/>
    </row>
  </sheetData>
  <mergeCells count="5">
    <mergeCell ref="A1:AG1"/>
    <mergeCell ref="A3:A4"/>
    <mergeCell ref="B3:B4"/>
    <mergeCell ref="C3:AF3"/>
    <mergeCell ref="AG3:AG4"/>
  </mergeCells>
  <pageMargins left="0.75" right="0.75" top="1" bottom="1" header="0.5" footer="0.5"/>
  <pageSetup paperSize="12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5E7F-36E1-43AC-B35F-FBF6344840C6}">
  <dimension ref="A1:AO92"/>
  <sheetViews>
    <sheetView zoomScaleNormal="100" workbookViewId="0">
      <pane xSplit="2" topLeftCell="AF1" activePane="topRight" state="frozen"/>
      <selection pane="topRight" activeCell="AL28" sqref="AL28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3" width="15.77734375" style="1" customWidth="1"/>
    <col min="34" max="34" width="15.77734375" style="2" customWidth="1"/>
    <col min="35" max="35" width="10.5546875" style="2" customWidth="1"/>
    <col min="36" max="36" width="14.21875" style="2" customWidth="1"/>
    <col min="37" max="37" width="12.88671875" style="14" customWidth="1"/>
    <col min="38" max="38" width="13.109375" style="15" bestFit="1" customWidth="1"/>
    <col min="39" max="39" width="27.21875" style="16" customWidth="1"/>
    <col min="40" max="40" width="14.44140625" style="17" bestFit="1" customWidth="1"/>
    <col min="41" max="41" width="11.77734375" style="18" bestFit="1" customWidth="1"/>
    <col min="42" max="44" width="8.88671875" style="19"/>
    <col min="45" max="45" width="13.44140625" style="19" bestFit="1" customWidth="1"/>
    <col min="46" max="256" width="8.88671875" style="19"/>
    <col min="257" max="257" width="5.109375" style="19" customWidth="1"/>
    <col min="258" max="258" width="49.33203125" style="19" customWidth="1"/>
    <col min="259" max="290" width="15.77734375" style="19" customWidth="1"/>
    <col min="291" max="292" width="10.5546875" style="19" customWidth="1"/>
    <col min="293" max="293" width="11" style="19" customWidth="1"/>
    <col min="294" max="294" width="13.109375" style="19" bestFit="1" customWidth="1"/>
    <col min="295" max="295" width="27.21875" style="19" customWidth="1"/>
    <col min="296" max="296" width="14.44140625" style="19" bestFit="1" customWidth="1"/>
    <col min="297" max="297" width="11.77734375" style="19" bestFit="1" customWidth="1"/>
    <col min="298" max="300" width="8.88671875" style="19"/>
    <col min="301" max="301" width="13.44140625" style="19" bestFit="1" customWidth="1"/>
    <col min="302" max="512" width="8.88671875" style="19"/>
    <col min="513" max="513" width="5.109375" style="19" customWidth="1"/>
    <col min="514" max="514" width="49.33203125" style="19" customWidth="1"/>
    <col min="515" max="546" width="15.77734375" style="19" customWidth="1"/>
    <col min="547" max="548" width="10.5546875" style="19" customWidth="1"/>
    <col min="549" max="549" width="11" style="19" customWidth="1"/>
    <col min="550" max="550" width="13.109375" style="19" bestFit="1" customWidth="1"/>
    <col min="551" max="551" width="27.21875" style="19" customWidth="1"/>
    <col min="552" max="552" width="14.44140625" style="19" bestFit="1" customWidth="1"/>
    <col min="553" max="553" width="11.77734375" style="19" bestFit="1" customWidth="1"/>
    <col min="554" max="556" width="8.88671875" style="19"/>
    <col min="557" max="557" width="13.44140625" style="19" bestFit="1" customWidth="1"/>
    <col min="558" max="768" width="8.88671875" style="19"/>
    <col min="769" max="769" width="5.109375" style="19" customWidth="1"/>
    <col min="770" max="770" width="49.33203125" style="19" customWidth="1"/>
    <col min="771" max="802" width="15.77734375" style="19" customWidth="1"/>
    <col min="803" max="804" width="10.5546875" style="19" customWidth="1"/>
    <col min="805" max="805" width="11" style="19" customWidth="1"/>
    <col min="806" max="806" width="13.109375" style="19" bestFit="1" customWidth="1"/>
    <col min="807" max="807" width="27.21875" style="19" customWidth="1"/>
    <col min="808" max="808" width="14.44140625" style="19" bestFit="1" customWidth="1"/>
    <col min="809" max="809" width="11.77734375" style="19" bestFit="1" customWidth="1"/>
    <col min="810" max="812" width="8.88671875" style="19"/>
    <col min="813" max="813" width="13.44140625" style="19" bestFit="1" customWidth="1"/>
    <col min="814" max="1024" width="8.88671875" style="19"/>
    <col min="1025" max="1025" width="5.109375" style="19" customWidth="1"/>
    <col min="1026" max="1026" width="49.33203125" style="19" customWidth="1"/>
    <col min="1027" max="1058" width="15.77734375" style="19" customWidth="1"/>
    <col min="1059" max="1060" width="10.5546875" style="19" customWidth="1"/>
    <col min="1061" max="1061" width="11" style="19" customWidth="1"/>
    <col min="1062" max="1062" width="13.109375" style="19" bestFit="1" customWidth="1"/>
    <col min="1063" max="1063" width="27.21875" style="19" customWidth="1"/>
    <col min="1064" max="1064" width="14.44140625" style="19" bestFit="1" customWidth="1"/>
    <col min="1065" max="1065" width="11.77734375" style="19" bestFit="1" customWidth="1"/>
    <col min="1066" max="1068" width="8.88671875" style="19"/>
    <col min="1069" max="1069" width="13.44140625" style="19" bestFit="1" customWidth="1"/>
    <col min="1070" max="1280" width="8.88671875" style="19"/>
    <col min="1281" max="1281" width="5.109375" style="19" customWidth="1"/>
    <col min="1282" max="1282" width="49.33203125" style="19" customWidth="1"/>
    <col min="1283" max="1314" width="15.77734375" style="19" customWidth="1"/>
    <col min="1315" max="1316" width="10.5546875" style="19" customWidth="1"/>
    <col min="1317" max="1317" width="11" style="19" customWidth="1"/>
    <col min="1318" max="1318" width="13.109375" style="19" bestFit="1" customWidth="1"/>
    <col min="1319" max="1319" width="27.21875" style="19" customWidth="1"/>
    <col min="1320" max="1320" width="14.44140625" style="19" bestFit="1" customWidth="1"/>
    <col min="1321" max="1321" width="11.77734375" style="19" bestFit="1" customWidth="1"/>
    <col min="1322" max="1324" width="8.88671875" style="19"/>
    <col min="1325" max="1325" width="13.44140625" style="19" bestFit="1" customWidth="1"/>
    <col min="1326" max="1536" width="8.88671875" style="19"/>
    <col min="1537" max="1537" width="5.109375" style="19" customWidth="1"/>
    <col min="1538" max="1538" width="49.33203125" style="19" customWidth="1"/>
    <col min="1539" max="1570" width="15.77734375" style="19" customWidth="1"/>
    <col min="1571" max="1572" width="10.5546875" style="19" customWidth="1"/>
    <col min="1573" max="1573" width="11" style="19" customWidth="1"/>
    <col min="1574" max="1574" width="13.109375" style="19" bestFit="1" customWidth="1"/>
    <col min="1575" max="1575" width="27.21875" style="19" customWidth="1"/>
    <col min="1576" max="1576" width="14.44140625" style="19" bestFit="1" customWidth="1"/>
    <col min="1577" max="1577" width="11.77734375" style="19" bestFit="1" customWidth="1"/>
    <col min="1578" max="1580" width="8.88671875" style="19"/>
    <col min="1581" max="1581" width="13.44140625" style="19" bestFit="1" customWidth="1"/>
    <col min="1582" max="1792" width="8.88671875" style="19"/>
    <col min="1793" max="1793" width="5.109375" style="19" customWidth="1"/>
    <col min="1794" max="1794" width="49.33203125" style="19" customWidth="1"/>
    <col min="1795" max="1826" width="15.77734375" style="19" customWidth="1"/>
    <col min="1827" max="1828" width="10.5546875" style="19" customWidth="1"/>
    <col min="1829" max="1829" width="11" style="19" customWidth="1"/>
    <col min="1830" max="1830" width="13.109375" style="19" bestFit="1" customWidth="1"/>
    <col min="1831" max="1831" width="27.21875" style="19" customWidth="1"/>
    <col min="1832" max="1832" width="14.44140625" style="19" bestFit="1" customWidth="1"/>
    <col min="1833" max="1833" width="11.77734375" style="19" bestFit="1" customWidth="1"/>
    <col min="1834" max="1836" width="8.88671875" style="19"/>
    <col min="1837" max="1837" width="13.44140625" style="19" bestFit="1" customWidth="1"/>
    <col min="1838" max="2048" width="8.88671875" style="19"/>
    <col min="2049" max="2049" width="5.109375" style="19" customWidth="1"/>
    <col min="2050" max="2050" width="49.33203125" style="19" customWidth="1"/>
    <col min="2051" max="2082" width="15.77734375" style="19" customWidth="1"/>
    <col min="2083" max="2084" width="10.5546875" style="19" customWidth="1"/>
    <col min="2085" max="2085" width="11" style="19" customWidth="1"/>
    <col min="2086" max="2086" width="13.109375" style="19" bestFit="1" customWidth="1"/>
    <col min="2087" max="2087" width="27.21875" style="19" customWidth="1"/>
    <col min="2088" max="2088" width="14.44140625" style="19" bestFit="1" customWidth="1"/>
    <col min="2089" max="2089" width="11.77734375" style="19" bestFit="1" customWidth="1"/>
    <col min="2090" max="2092" width="8.88671875" style="19"/>
    <col min="2093" max="2093" width="13.44140625" style="19" bestFit="1" customWidth="1"/>
    <col min="2094" max="2304" width="8.88671875" style="19"/>
    <col min="2305" max="2305" width="5.109375" style="19" customWidth="1"/>
    <col min="2306" max="2306" width="49.33203125" style="19" customWidth="1"/>
    <col min="2307" max="2338" width="15.77734375" style="19" customWidth="1"/>
    <col min="2339" max="2340" width="10.5546875" style="19" customWidth="1"/>
    <col min="2341" max="2341" width="11" style="19" customWidth="1"/>
    <col min="2342" max="2342" width="13.109375" style="19" bestFit="1" customWidth="1"/>
    <col min="2343" max="2343" width="27.21875" style="19" customWidth="1"/>
    <col min="2344" max="2344" width="14.44140625" style="19" bestFit="1" customWidth="1"/>
    <col min="2345" max="2345" width="11.77734375" style="19" bestFit="1" customWidth="1"/>
    <col min="2346" max="2348" width="8.88671875" style="19"/>
    <col min="2349" max="2349" width="13.44140625" style="19" bestFit="1" customWidth="1"/>
    <col min="2350" max="2560" width="8.88671875" style="19"/>
    <col min="2561" max="2561" width="5.109375" style="19" customWidth="1"/>
    <col min="2562" max="2562" width="49.33203125" style="19" customWidth="1"/>
    <col min="2563" max="2594" width="15.77734375" style="19" customWidth="1"/>
    <col min="2595" max="2596" width="10.5546875" style="19" customWidth="1"/>
    <col min="2597" max="2597" width="11" style="19" customWidth="1"/>
    <col min="2598" max="2598" width="13.109375" style="19" bestFit="1" customWidth="1"/>
    <col min="2599" max="2599" width="27.21875" style="19" customWidth="1"/>
    <col min="2600" max="2600" width="14.44140625" style="19" bestFit="1" customWidth="1"/>
    <col min="2601" max="2601" width="11.77734375" style="19" bestFit="1" customWidth="1"/>
    <col min="2602" max="2604" width="8.88671875" style="19"/>
    <col min="2605" max="2605" width="13.44140625" style="19" bestFit="1" customWidth="1"/>
    <col min="2606" max="2816" width="8.88671875" style="19"/>
    <col min="2817" max="2817" width="5.109375" style="19" customWidth="1"/>
    <col min="2818" max="2818" width="49.33203125" style="19" customWidth="1"/>
    <col min="2819" max="2850" width="15.77734375" style="19" customWidth="1"/>
    <col min="2851" max="2852" width="10.5546875" style="19" customWidth="1"/>
    <col min="2853" max="2853" width="11" style="19" customWidth="1"/>
    <col min="2854" max="2854" width="13.109375" style="19" bestFit="1" customWidth="1"/>
    <col min="2855" max="2855" width="27.21875" style="19" customWidth="1"/>
    <col min="2856" max="2856" width="14.44140625" style="19" bestFit="1" customWidth="1"/>
    <col min="2857" max="2857" width="11.77734375" style="19" bestFit="1" customWidth="1"/>
    <col min="2858" max="2860" width="8.88671875" style="19"/>
    <col min="2861" max="2861" width="13.44140625" style="19" bestFit="1" customWidth="1"/>
    <col min="2862" max="3072" width="8.88671875" style="19"/>
    <col min="3073" max="3073" width="5.109375" style="19" customWidth="1"/>
    <col min="3074" max="3074" width="49.33203125" style="19" customWidth="1"/>
    <col min="3075" max="3106" width="15.77734375" style="19" customWidth="1"/>
    <col min="3107" max="3108" width="10.5546875" style="19" customWidth="1"/>
    <col min="3109" max="3109" width="11" style="19" customWidth="1"/>
    <col min="3110" max="3110" width="13.109375" style="19" bestFit="1" customWidth="1"/>
    <col min="3111" max="3111" width="27.21875" style="19" customWidth="1"/>
    <col min="3112" max="3112" width="14.44140625" style="19" bestFit="1" customWidth="1"/>
    <col min="3113" max="3113" width="11.77734375" style="19" bestFit="1" customWidth="1"/>
    <col min="3114" max="3116" width="8.88671875" style="19"/>
    <col min="3117" max="3117" width="13.44140625" style="19" bestFit="1" customWidth="1"/>
    <col min="3118" max="3328" width="8.88671875" style="19"/>
    <col min="3329" max="3329" width="5.109375" style="19" customWidth="1"/>
    <col min="3330" max="3330" width="49.33203125" style="19" customWidth="1"/>
    <col min="3331" max="3362" width="15.77734375" style="19" customWidth="1"/>
    <col min="3363" max="3364" width="10.5546875" style="19" customWidth="1"/>
    <col min="3365" max="3365" width="11" style="19" customWidth="1"/>
    <col min="3366" max="3366" width="13.109375" style="19" bestFit="1" customWidth="1"/>
    <col min="3367" max="3367" width="27.21875" style="19" customWidth="1"/>
    <col min="3368" max="3368" width="14.44140625" style="19" bestFit="1" customWidth="1"/>
    <col min="3369" max="3369" width="11.77734375" style="19" bestFit="1" customWidth="1"/>
    <col min="3370" max="3372" width="8.88671875" style="19"/>
    <col min="3373" max="3373" width="13.44140625" style="19" bestFit="1" customWidth="1"/>
    <col min="3374" max="3584" width="8.88671875" style="19"/>
    <col min="3585" max="3585" width="5.109375" style="19" customWidth="1"/>
    <col min="3586" max="3586" width="49.33203125" style="19" customWidth="1"/>
    <col min="3587" max="3618" width="15.77734375" style="19" customWidth="1"/>
    <col min="3619" max="3620" width="10.5546875" style="19" customWidth="1"/>
    <col min="3621" max="3621" width="11" style="19" customWidth="1"/>
    <col min="3622" max="3622" width="13.109375" style="19" bestFit="1" customWidth="1"/>
    <col min="3623" max="3623" width="27.21875" style="19" customWidth="1"/>
    <col min="3624" max="3624" width="14.44140625" style="19" bestFit="1" customWidth="1"/>
    <col min="3625" max="3625" width="11.77734375" style="19" bestFit="1" customWidth="1"/>
    <col min="3626" max="3628" width="8.88671875" style="19"/>
    <col min="3629" max="3629" width="13.44140625" style="19" bestFit="1" customWidth="1"/>
    <col min="3630" max="3840" width="8.88671875" style="19"/>
    <col min="3841" max="3841" width="5.109375" style="19" customWidth="1"/>
    <col min="3842" max="3842" width="49.33203125" style="19" customWidth="1"/>
    <col min="3843" max="3874" width="15.77734375" style="19" customWidth="1"/>
    <col min="3875" max="3876" width="10.5546875" style="19" customWidth="1"/>
    <col min="3877" max="3877" width="11" style="19" customWidth="1"/>
    <col min="3878" max="3878" width="13.109375" style="19" bestFit="1" customWidth="1"/>
    <col min="3879" max="3879" width="27.21875" style="19" customWidth="1"/>
    <col min="3880" max="3880" width="14.44140625" style="19" bestFit="1" customWidth="1"/>
    <col min="3881" max="3881" width="11.77734375" style="19" bestFit="1" customWidth="1"/>
    <col min="3882" max="3884" width="8.88671875" style="19"/>
    <col min="3885" max="3885" width="13.44140625" style="19" bestFit="1" customWidth="1"/>
    <col min="3886" max="4096" width="8.88671875" style="19"/>
    <col min="4097" max="4097" width="5.109375" style="19" customWidth="1"/>
    <col min="4098" max="4098" width="49.33203125" style="19" customWidth="1"/>
    <col min="4099" max="4130" width="15.77734375" style="19" customWidth="1"/>
    <col min="4131" max="4132" width="10.5546875" style="19" customWidth="1"/>
    <col min="4133" max="4133" width="11" style="19" customWidth="1"/>
    <col min="4134" max="4134" width="13.109375" style="19" bestFit="1" customWidth="1"/>
    <col min="4135" max="4135" width="27.21875" style="19" customWidth="1"/>
    <col min="4136" max="4136" width="14.44140625" style="19" bestFit="1" customWidth="1"/>
    <col min="4137" max="4137" width="11.77734375" style="19" bestFit="1" customWidth="1"/>
    <col min="4138" max="4140" width="8.88671875" style="19"/>
    <col min="4141" max="4141" width="13.44140625" style="19" bestFit="1" customWidth="1"/>
    <col min="4142" max="4352" width="8.88671875" style="19"/>
    <col min="4353" max="4353" width="5.109375" style="19" customWidth="1"/>
    <col min="4354" max="4354" width="49.33203125" style="19" customWidth="1"/>
    <col min="4355" max="4386" width="15.77734375" style="19" customWidth="1"/>
    <col min="4387" max="4388" width="10.5546875" style="19" customWidth="1"/>
    <col min="4389" max="4389" width="11" style="19" customWidth="1"/>
    <col min="4390" max="4390" width="13.109375" style="19" bestFit="1" customWidth="1"/>
    <col min="4391" max="4391" width="27.21875" style="19" customWidth="1"/>
    <col min="4392" max="4392" width="14.44140625" style="19" bestFit="1" customWidth="1"/>
    <col min="4393" max="4393" width="11.77734375" style="19" bestFit="1" customWidth="1"/>
    <col min="4394" max="4396" width="8.88671875" style="19"/>
    <col min="4397" max="4397" width="13.44140625" style="19" bestFit="1" customWidth="1"/>
    <col min="4398" max="4608" width="8.88671875" style="19"/>
    <col min="4609" max="4609" width="5.109375" style="19" customWidth="1"/>
    <col min="4610" max="4610" width="49.33203125" style="19" customWidth="1"/>
    <col min="4611" max="4642" width="15.77734375" style="19" customWidth="1"/>
    <col min="4643" max="4644" width="10.5546875" style="19" customWidth="1"/>
    <col min="4645" max="4645" width="11" style="19" customWidth="1"/>
    <col min="4646" max="4646" width="13.109375" style="19" bestFit="1" customWidth="1"/>
    <col min="4647" max="4647" width="27.21875" style="19" customWidth="1"/>
    <col min="4648" max="4648" width="14.44140625" style="19" bestFit="1" customWidth="1"/>
    <col min="4649" max="4649" width="11.77734375" style="19" bestFit="1" customWidth="1"/>
    <col min="4650" max="4652" width="8.88671875" style="19"/>
    <col min="4653" max="4653" width="13.44140625" style="19" bestFit="1" customWidth="1"/>
    <col min="4654" max="4864" width="8.88671875" style="19"/>
    <col min="4865" max="4865" width="5.109375" style="19" customWidth="1"/>
    <col min="4866" max="4866" width="49.33203125" style="19" customWidth="1"/>
    <col min="4867" max="4898" width="15.77734375" style="19" customWidth="1"/>
    <col min="4899" max="4900" width="10.5546875" style="19" customWidth="1"/>
    <col min="4901" max="4901" width="11" style="19" customWidth="1"/>
    <col min="4902" max="4902" width="13.109375" style="19" bestFit="1" customWidth="1"/>
    <col min="4903" max="4903" width="27.21875" style="19" customWidth="1"/>
    <col min="4904" max="4904" width="14.44140625" style="19" bestFit="1" customWidth="1"/>
    <col min="4905" max="4905" width="11.77734375" style="19" bestFit="1" customWidth="1"/>
    <col min="4906" max="4908" width="8.88671875" style="19"/>
    <col min="4909" max="4909" width="13.44140625" style="19" bestFit="1" customWidth="1"/>
    <col min="4910" max="5120" width="8.88671875" style="19"/>
    <col min="5121" max="5121" width="5.109375" style="19" customWidth="1"/>
    <col min="5122" max="5122" width="49.33203125" style="19" customWidth="1"/>
    <col min="5123" max="5154" width="15.77734375" style="19" customWidth="1"/>
    <col min="5155" max="5156" width="10.5546875" style="19" customWidth="1"/>
    <col min="5157" max="5157" width="11" style="19" customWidth="1"/>
    <col min="5158" max="5158" width="13.109375" style="19" bestFit="1" customWidth="1"/>
    <col min="5159" max="5159" width="27.21875" style="19" customWidth="1"/>
    <col min="5160" max="5160" width="14.44140625" style="19" bestFit="1" customWidth="1"/>
    <col min="5161" max="5161" width="11.77734375" style="19" bestFit="1" customWidth="1"/>
    <col min="5162" max="5164" width="8.88671875" style="19"/>
    <col min="5165" max="5165" width="13.44140625" style="19" bestFit="1" customWidth="1"/>
    <col min="5166" max="5376" width="8.88671875" style="19"/>
    <col min="5377" max="5377" width="5.109375" style="19" customWidth="1"/>
    <col min="5378" max="5378" width="49.33203125" style="19" customWidth="1"/>
    <col min="5379" max="5410" width="15.77734375" style="19" customWidth="1"/>
    <col min="5411" max="5412" width="10.5546875" style="19" customWidth="1"/>
    <col min="5413" max="5413" width="11" style="19" customWidth="1"/>
    <col min="5414" max="5414" width="13.109375" style="19" bestFit="1" customWidth="1"/>
    <col min="5415" max="5415" width="27.21875" style="19" customWidth="1"/>
    <col min="5416" max="5416" width="14.44140625" style="19" bestFit="1" customWidth="1"/>
    <col min="5417" max="5417" width="11.77734375" style="19" bestFit="1" customWidth="1"/>
    <col min="5418" max="5420" width="8.88671875" style="19"/>
    <col min="5421" max="5421" width="13.44140625" style="19" bestFit="1" customWidth="1"/>
    <col min="5422" max="5632" width="8.88671875" style="19"/>
    <col min="5633" max="5633" width="5.109375" style="19" customWidth="1"/>
    <col min="5634" max="5634" width="49.33203125" style="19" customWidth="1"/>
    <col min="5635" max="5666" width="15.77734375" style="19" customWidth="1"/>
    <col min="5667" max="5668" width="10.5546875" style="19" customWidth="1"/>
    <col min="5669" max="5669" width="11" style="19" customWidth="1"/>
    <col min="5670" max="5670" width="13.109375" style="19" bestFit="1" customWidth="1"/>
    <col min="5671" max="5671" width="27.21875" style="19" customWidth="1"/>
    <col min="5672" max="5672" width="14.44140625" style="19" bestFit="1" customWidth="1"/>
    <col min="5673" max="5673" width="11.77734375" style="19" bestFit="1" customWidth="1"/>
    <col min="5674" max="5676" width="8.88671875" style="19"/>
    <col min="5677" max="5677" width="13.44140625" style="19" bestFit="1" customWidth="1"/>
    <col min="5678" max="5888" width="8.88671875" style="19"/>
    <col min="5889" max="5889" width="5.109375" style="19" customWidth="1"/>
    <col min="5890" max="5890" width="49.33203125" style="19" customWidth="1"/>
    <col min="5891" max="5922" width="15.77734375" style="19" customWidth="1"/>
    <col min="5923" max="5924" width="10.5546875" style="19" customWidth="1"/>
    <col min="5925" max="5925" width="11" style="19" customWidth="1"/>
    <col min="5926" max="5926" width="13.109375" style="19" bestFit="1" customWidth="1"/>
    <col min="5927" max="5927" width="27.21875" style="19" customWidth="1"/>
    <col min="5928" max="5928" width="14.44140625" style="19" bestFit="1" customWidth="1"/>
    <col min="5929" max="5929" width="11.77734375" style="19" bestFit="1" customWidth="1"/>
    <col min="5930" max="5932" width="8.88671875" style="19"/>
    <col min="5933" max="5933" width="13.44140625" style="19" bestFit="1" customWidth="1"/>
    <col min="5934" max="6144" width="8.88671875" style="19"/>
    <col min="6145" max="6145" width="5.109375" style="19" customWidth="1"/>
    <col min="6146" max="6146" width="49.33203125" style="19" customWidth="1"/>
    <col min="6147" max="6178" width="15.77734375" style="19" customWidth="1"/>
    <col min="6179" max="6180" width="10.5546875" style="19" customWidth="1"/>
    <col min="6181" max="6181" width="11" style="19" customWidth="1"/>
    <col min="6182" max="6182" width="13.109375" style="19" bestFit="1" customWidth="1"/>
    <col min="6183" max="6183" width="27.21875" style="19" customWidth="1"/>
    <col min="6184" max="6184" width="14.44140625" style="19" bestFit="1" customWidth="1"/>
    <col min="6185" max="6185" width="11.77734375" style="19" bestFit="1" customWidth="1"/>
    <col min="6186" max="6188" width="8.88671875" style="19"/>
    <col min="6189" max="6189" width="13.44140625" style="19" bestFit="1" customWidth="1"/>
    <col min="6190" max="6400" width="8.88671875" style="19"/>
    <col min="6401" max="6401" width="5.109375" style="19" customWidth="1"/>
    <col min="6402" max="6402" width="49.33203125" style="19" customWidth="1"/>
    <col min="6403" max="6434" width="15.77734375" style="19" customWidth="1"/>
    <col min="6435" max="6436" width="10.5546875" style="19" customWidth="1"/>
    <col min="6437" max="6437" width="11" style="19" customWidth="1"/>
    <col min="6438" max="6438" width="13.109375" style="19" bestFit="1" customWidth="1"/>
    <col min="6439" max="6439" width="27.21875" style="19" customWidth="1"/>
    <col min="6440" max="6440" width="14.44140625" style="19" bestFit="1" customWidth="1"/>
    <col min="6441" max="6441" width="11.77734375" style="19" bestFit="1" customWidth="1"/>
    <col min="6442" max="6444" width="8.88671875" style="19"/>
    <col min="6445" max="6445" width="13.44140625" style="19" bestFit="1" customWidth="1"/>
    <col min="6446" max="6656" width="8.88671875" style="19"/>
    <col min="6657" max="6657" width="5.109375" style="19" customWidth="1"/>
    <col min="6658" max="6658" width="49.33203125" style="19" customWidth="1"/>
    <col min="6659" max="6690" width="15.77734375" style="19" customWidth="1"/>
    <col min="6691" max="6692" width="10.5546875" style="19" customWidth="1"/>
    <col min="6693" max="6693" width="11" style="19" customWidth="1"/>
    <col min="6694" max="6694" width="13.109375" style="19" bestFit="1" customWidth="1"/>
    <col min="6695" max="6695" width="27.21875" style="19" customWidth="1"/>
    <col min="6696" max="6696" width="14.44140625" style="19" bestFit="1" customWidth="1"/>
    <col min="6697" max="6697" width="11.77734375" style="19" bestFit="1" customWidth="1"/>
    <col min="6698" max="6700" width="8.88671875" style="19"/>
    <col min="6701" max="6701" width="13.44140625" style="19" bestFit="1" customWidth="1"/>
    <col min="6702" max="6912" width="8.88671875" style="19"/>
    <col min="6913" max="6913" width="5.109375" style="19" customWidth="1"/>
    <col min="6914" max="6914" width="49.33203125" style="19" customWidth="1"/>
    <col min="6915" max="6946" width="15.77734375" style="19" customWidth="1"/>
    <col min="6947" max="6948" width="10.5546875" style="19" customWidth="1"/>
    <col min="6949" max="6949" width="11" style="19" customWidth="1"/>
    <col min="6950" max="6950" width="13.109375" style="19" bestFit="1" customWidth="1"/>
    <col min="6951" max="6951" width="27.21875" style="19" customWidth="1"/>
    <col min="6952" max="6952" width="14.44140625" style="19" bestFit="1" customWidth="1"/>
    <col min="6953" max="6953" width="11.77734375" style="19" bestFit="1" customWidth="1"/>
    <col min="6954" max="6956" width="8.88671875" style="19"/>
    <col min="6957" max="6957" width="13.44140625" style="19" bestFit="1" customWidth="1"/>
    <col min="6958" max="7168" width="8.88671875" style="19"/>
    <col min="7169" max="7169" width="5.109375" style="19" customWidth="1"/>
    <col min="7170" max="7170" width="49.33203125" style="19" customWidth="1"/>
    <col min="7171" max="7202" width="15.77734375" style="19" customWidth="1"/>
    <col min="7203" max="7204" width="10.5546875" style="19" customWidth="1"/>
    <col min="7205" max="7205" width="11" style="19" customWidth="1"/>
    <col min="7206" max="7206" width="13.109375" style="19" bestFit="1" customWidth="1"/>
    <col min="7207" max="7207" width="27.21875" style="19" customWidth="1"/>
    <col min="7208" max="7208" width="14.44140625" style="19" bestFit="1" customWidth="1"/>
    <col min="7209" max="7209" width="11.77734375" style="19" bestFit="1" customWidth="1"/>
    <col min="7210" max="7212" width="8.88671875" style="19"/>
    <col min="7213" max="7213" width="13.44140625" style="19" bestFit="1" customWidth="1"/>
    <col min="7214" max="7424" width="8.88671875" style="19"/>
    <col min="7425" max="7425" width="5.109375" style="19" customWidth="1"/>
    <col min="7426" max="7426" width="49.33203125" style="19" customWidth="1"/>
    <col min="7427" max="7458" width="15.77734375" style="19" customWidth="1"/>
    <col min="7459" max="7460" width="10.5546875" style="19" customWidth="1"/>
    <col min="7461" max="7461" width="11" style="19" customWidth="1"/>
    <col min="7462" max="7462" width="13.109375" style="19" bestFit="1" customWidth="1"/>
    <col min="7463" max="7463" width="27.21875" style="19" customWidth="1"/>
    <col min="7464" max="7464" width="14.44140625" style="19" bestFit="1" customWidth="1"/>
    <col min="7465" max="7465" width="11.77734375" style="19" bestFit="1" customWidth="1"/>
    <col min="7466" max="7468" width="8.88671875" style="19"/>
    <col min="7469" max="7469" width="13.44140625" style="19" bestFit="1" customWidth="1"/>
    <col min="7470" max="7680" width="8.88671875" style="19"/>
    <col min="7681" max="7681" width="5.109375" style="19" customWidth="1"/>
    <col min="7682" max="7682" width="49.33203125" style="19" customWidth="1"/>
    <col min="7683" max="7714" width="15.77734375" style="19" customWidth="1"/>
    <col min="7715" max="7716" width="10.5546875" style="19" customWidth="1"/>
    <col min="7717" max="7717" width="11" style="19" customWidth="1"/>
    <col min="7718" max="7718" width="13.109375" style="19" bestFit="1" customWidth="1"/>
    <col min="7719" max="7719" width="27.21875" style="19" customWidth="1"/>
    <col min="7720" max="7720" width="14.44140625" style="19" bestFit="1" customWidth="1"/>
    <col min="7721" max="7721" width="11.77734375" style="19" bestFit="1" customWidth="1"/>
    <col min="7722" max="7724" width="8.88671875" style="19"/>
    <col min="7725" max="7725" width="13.44140625" style="19" bestFit="1" customWidth="1"/>
    <col min="7726" max="7936" width="8.88671875" style="19"/>
    <col min="7937" max="7937" width="5.109375" style="19" customWidth="1"/>
    <col min="7938" max="7938" width="49.33203125" style="19" customWidth="1"/>
    <col min="7939" max="7970" width="15.77734375" style="19" customWidth="1"/>
    <col min="7971" max="7972" width="10.5546875" style="19" customWidth="1"/>
    <col min="7973" max="7973" width="11" style="19" customWidth="1"/>
    <col min="7974" max="7974" width="13.109375" style="19" bestFit="1" customWidth="1"/>
    <col min="7975" max="7975" width="27.21875" style="19" customWidth="1"/>
    <col min="7976" max="7976" width="14.44140625" style="19" bestFit="1" customWidth="1"/>
    <col min="7977" max="7977" width="11.77734375" style="19" bestFit="1" customWidth="1"/>
    <col min="7978" max="7980" width="8.88671875" style="19"/>
    <col min="7981" max="7981" width="13.44140625" style="19" bestFit="1" customWidth="1"/>
    <col min="7982" max="8192" width="8.88671875" style="19"/>
    <col min="8193" max="8193" width="5.109375" style="19" customWidth="1"/>
    <col min="8194" max="8194" width="49.33203125" style="19" customWidth="1"/>
    <col min="8195" max="8226" width="15.77734375" style="19" customWidth="1"/>
    <col min="8227" max="8228" width="10.5546875" style="19" customWidth="1"/>
    <col min="8229" max="8229" width="11" style="19" customWidth="1"/>
    <col min="8230" max="8230" width="13.109375" style="19" bestFit="1" customWidth="1"/>
    <col min="8231" max="8231" width="27.21875" style="19" customWidth="1"/>
    <col min="8232" max="8232" width="14.44140625" style="19" bestFit="1" customWidth="1"/>
    <col min="8233" max="8233" width="11.77734375" style="19" bestFit="1" customWidth="1"/>
    <col min="8234" max="8236" width="8.88671875" style="19"/>
    <col min="8237" max="8237" width="13.44140625" style="19" bestFit="1" customWidth="1"/>
    <col min="8238" max="8448" width="8.88671875" style="19"/>
    <col min="8449" max="8449" width="5.109375" style="19" customWidth="1"/>
    <col min="8450" max="8450" width="49.33203125" style="19" customWidth="1"/>
    <col min="8451" max="8482" width="15.77734375" style="19" customWidth="1"/>
    <col min="8483" max="8484" width="10.5546875" style="19" customWidth="1"/>
    <col min="8485" max="8485" width="11" style="19" customWidth="1"/>
    <col min="8486" max="8486" width="13.109375" style="19" bestFit="1" customWidth="1"/>
    <col min="8487" max="8487" width="27.21875" style="19" customWidth="1"/>
    <col min="8488" max="8488" width="14.44140625" style="19" bestFit="1" customWidth="1"/>
    <col min="8489" max="8489" width="11.77734375" style="19" bestFit="1" customWidth="1"/>
    <col min="8490" max="8492" width="8.88671875" style="19"/>
    <col min="8493" max="8493" width="13.44140625" style="19" bestFit="1" customWidth="1"/>
    <col min="8494" max="8704" width="8.88671875" style="19"/>
    <col min="8705" max="8705" width="5.109375" style="19" customWidth="1"/>
    <col min="8706" max="8706" width="49.33203125" style="19" customWidth="1"/>
    <col min="8707" max="8738" width="15.77734375" style="19" customWidth="1"/>
    <col min="8739" max="8740" width="10.5546875" style="19" customWidth="1"/>
    <col min="8741" max="8741" width="11" style="19" customWidth="1"/>
    <col min="8742" max="8742" width="13.109375" style="19" bestFit="1" customWidth="1"/>
    <col min="8743" max="8743" width="27.21875" style="19" customWidth="1"/>
    <col min="8744" max="8744" width="14.44140625" style="19" bestFit="1" customWidth="1"/>
    <col min="8745" max="8745" width="11.77734375" style="19" bestFit="1" customWidth="1"/>
    <col min="8746" max="8748" width="8.88671875" style="19"/>
    <col min="8749" max="8749" width="13.44140625" style="19" bestFit="1" customWidth="1"/>
    <col min="8750" max="8960" width="8.88671875" style="19"/>
    <col min="8961" max="8961" width="5.109375" style="19" customWidth="1"/>
    <col min="8962" max="8962" width="49.33203125" style="19" customWidth="1"/>
    <col min="8963" max="8994" width="15.77734375" style="19" customWidth="1"/>
    <col min="8995" max="8996" width="10.5546875" style="19" customWidth="1"/>
    <col min="8997" max="8997" width="11" style="19" customWidth="1"/>
    <col min="8998" max="8998" width="13.109375" style="19" bestFit="1" customWidth="1"/>
    <col min="8999" max="8999" width="27.21875" style="19" customWidth="1"/>
    <col min="9000" max="9000" width="14.44140625" style="19" bestFit="1" customWidth="1"/>
    <col min="9001" max="9001" width="11.77734375" style="19" bestFit="1" customWidth="1"/>
    <col min="9002" max="9004" width="8.88671875" style="19"/>
    <col min="9005" max="9005" width="13.44140625" style="19" bestFit="1" customWidth="1"/>
    <col min="9006" max="9216" width="8.88671875" style="19"/>
    <col min="9217" max="9217" width="5.109375" style="19" customWidth="1"/>
    <col min="9218" max="9218" width="49.33203125" style="19" customWidth="1"/>
    <col min="9219" max="9250" width="15.77734375" style="19" customWidth="1"/>
    <col min="9251" max="9252" width="10.5546875" style="19" customWidth="1"/>
    <col min="9253" max="9253" width="11" style="19" customWidth="1"/>
    <col min="9254" max="9254" width="13.109375" style="19" bestFit="1" customWidth="1"/>
    <col min="9255" max="9255" width="27.21875" style="19" customWidth="1"/>
    <col min="9256" max="9256" width="14.44140625" style="19" bestFit="1" customWidth="1"/>
    <col min="9257" max="9257" width="11.77734375" style="19" bestFit="1" customWidth="1"/>
    <col min="9258" max="9260" width="8.88671875" style="19"/>
    <col min="9261" max="9261" width="13.44140625" style="19" bestFit="1" customWidth="1"/>
    <col min="9262" max="9472" width="8.88671875" style="19"/>
    <col min="9473" max="9473" width="5.109375" style="19" customWidth="1"/>
    <col min="9474" max="9474" width="49.33203125" style="19" customWidth="1"/>
    <col min="9475" max="9506" width="15.77734375" style="19" customWidth="1"/>
    <col min="9507" max="9508" width="10.5546875" style="19" customWidth="1"/>
    <col min="9509" max="9509" width="11" style="19" customWidth="1"/>
    <col min="9510" max="9510" width="13.109375" style="19" bestFit="1" customWidth="1"/>
    <col min="9511" max="9511" width="27.21875" style="19" customWidth="1"/>
    <col min="9512" max="9512" width="14.44140625" style="19" bestFit="1" customWidth="1"/>
    <col min="9513" max="9513" width="11.77734375" style="19" bestFit="1" customWidth="1"/>
    <col min="9514" max="9516" width="8.88671875" style="19"/>
    <col min="9517" max="9517" width="13.44140625" style="19" bestFit="1" customWidth="1"/>
    <col min="9518" max="9728" width="8.88671875" style="19"/>
    <col min="9729" max="9729" width="5.109375" style="19" customWidth="1"/>
    <col min="9730" max="9730" width="49.33203125" style="19" customWidth="1"/>
    <col min="9731" max="9762" width="15.77734375" style="19" customWidth="1"/>
    <col min="9763" max="9764" width="10.5546875" style="19" customWidth="1"/>
    <col min="9765" max="9765" width="11" style="19" customWidth="1"/>
    <col min="9766" max="9766" width="13.109375" style="19" bestFit="1" customWidth="1"/>
    <col min="9767" max="9767" width="27.21875" style="19" customWidth="1"/>
    <col min="9768" max="9768" width="14.44140625" style="19" bestFit="1" customWidth="1"/>
    <col min="9769" max="9769" width="11.77734375" style="19" bestFit="1" customWidth="1"/>
    <col min="9770" max="9772" width="8.88671875" style="19"/>
    <col min="9773" max="9773" width="13.44140625" style="19" bestFit="1" customWidth="1"/>
    <col min="9774" max="9984" width="8.88671875" style="19"/>
    <col min="9985" max="9985" width="5.109375" style="19" customWidth="1"/>
    <col min="9986" max="9986" width="49.33203125" style="19" customWidth="1"/>
    <col min="9987" max="10018" width="15.77734375" style="19" customWidth="1"/>
    <col min="10019" max="10020" width="10.5546875" style="19" customWidth="1"/>
    <col min="10021" max="10021" width="11" style="19" customWidth="1"/>
    <col min="10022" max="10022" width="13.109375" style="19" bestFit="1" customWidth="1"/>
    <col min="10023" max="10023" width="27.21875" style="19" customWidth="1"/>
    <col min="10024" max="10024" width="14.44140625" style="19" bestFit="1" customWidth="1"/>
    <col min="10025" max="10025" width="11.77734375" style="19" bestFit="1" customWidth="1"/>
    <col min="10026" max="10028" width="8.88671875" style="19"/>
    <col min="10029" max="10029" width="13.44140625" style="19" bestFit="1" customWidth="1"/>
    <col min="10030" max="10240" width="8.88671875" style="19"/>
    <col min="10241" max="10241" width="5.109375" style="19" customWidth="1"/>
    <col min="10242" max="10242" width="49.33203125" style="19" customWidth="1"/>
    <col min="10243" max="10274" width="15.77734375" style="19" customWidth="1"/>
    <col min="10275" max="10276" width="10.5546875" style="19" customWidth="1"/>
    <col min="10277" max="10277" width="11" style="19" customWidth="1"/>
    <col min="10278" max="10278" width="13.109375" style="19" bestFit="1" customWidth="1"/>
    <col min="10279" max="10279" width="27.21875" style="19" customWidth="1"/>
    <col min="10280" max="10280" width="14.44140625" style="19" bestFit="1" customWidth="1"/>
    <col min="10281" max="10281" width="11.77734375" style="19" bestFit="1" customWidth="1"/>
    <col min="10282" max="10284" width="8.88671875" style="19"/>
    <col min="10285" max="10285" width="13.44140625" style="19" bestFit="1" customWidth="1"/>
    <col min="10286" max="10496" width="8.88671875" style="19"/>
    <col min="10497" max="10497" width="5.109375" style="19" customWidth="1"/>
    <col min="10498" max="10498" width="49.33203125" style="19" customWidth="1"/>
    <col min="10499" max="10530" width="15.77734375" style="19" customWidth="1"/>
    <col min="10531" max="10532" width="10.5546875" style="19" customWidth="1"/>
    <col min="10533" max="10533" width="11" style="19" customWidth="1"/>
    <col min="10534" max="10534" width="13.109375" style="19" bestFit="1" customWidth="1"/>
    <col min="10535" max="10535" width="27.21875" style="19" customWidth="1"/>
    <col min="10536" max="10536" width="14.44140625" style="19" bestFit="1" customWidth="1"/>
    <col min="10537" max="10537" width="11.77734375" style="19" bestFit="1" customWidth="1"/>
    <col min="10538" max="10540" width="8.88671875" style="19"/>
    <col min="10541" max="10541" width="13.44140625" style="19" bestFit="1" customWidth="1"/>
    <col min="10542" max="10752" width="8.88671875" style="19"/>
    <col min="10753" max="10753" width="5.109375" style="19" customWidth="1"/>
    <col min="10754" max="10754" width="49.33203125" style="19" customWidth="1"/>
    <col min="10755" max="10786" width="15.77734375" style="19" customWidth="1"/>
    <col min="10787" max="10788" width="10.5546875" style="19" customWidth="1"/>
    <col min="10789" max="10789" width="11" style="19" customWidth="1"/>
    <col min="10790" max="10790" width="13.109375" style="19" bestFit="1" customWidth="1"/>
    <col min="10791" max="10791" width="27.21875" style="19" customWidth="1"/>
    <col min="10792" max="10792" width="14.44140625" style="19" bestFit="1" customWidth="1"/>
    <col min="10793" max="10793" width="11.77734375" style="19" bestFit="1" customWidth="1"/>
    <col min="10794" max="10796" width="8.88671875" style="19"/>
    <col min="10797" max="10797" width="13.44140625" style="19" bestFit="1" customWidth="1"/>
    <col min="10798" max="11008" width="8.88671875" style="19"/>
    <col min="11009" max="11009" width="5.109375" style="19" customWidth="1"/>
    <col min="11010" max="11010" width="49.33203125" style="19" customWidth="1"/>
    <col min="11011" max="11042" width="15.77734375" style="19" customWidth="1"/>
    <col min="11043" max="11044" width="10.5546875" style="19" customWidth="1"/>
    <col min="11045" max="11045" width="11" style="19" customWidth="1"/>
    <col min="11046" max="11046" width="13.109375" style="19" bestFit="1" customWidth="1"/>
    <col min="11047" max="11047" width="27.21875" style="19" customWidth="1"/>
    <col min="11048" max="11048" width="14.44140625" style="19" bestFit="1" customWidth="1"/>
    <col min="11049" max="11049" width="11.77734375" style="19" bestFit="1" customWidth="1"/>
    <col min="11050" max="11052" width="8.88671875" style="19"/>
    <col min="11053" max="11053" width="13.44140625" style="19" bestFit="1" customWidth="1"/>
    <col min="11054" max="11264" width="8.88671875" style="19"/>
    <col min="11265" max="11265" width="5.109375" style="19" customWidth="1"/>
    <col min="11266" max="11266" width="49.33203125" style="19" customWidth="1"/>
    <col min="11267" max="11298" width="15.77734375" style="19" customWidth="1"/>
    <col min="11299" max="11300" width="10.5546875" style="19" customWidth="1"/>
    <col min="11301" max="11301" width="11" style="19" customWidth="1"/>
    <col min="11302" max="11302" width="13.109375" style="19" bestFit="1" customWidth="1"/>
    <col min="11303" max="11303" width="27.21875" style="19" customWidth="1"/>
    <col min="11304" max="11304" width="14.44140625" style="19" bestFit="1" customWidth="1"/>
    <col min="11305" max="11305" width="11.77734375" style="19" bestFit="1" customWidth="1"/>
    <col min="11306" max="11308" width="8.88671875" style="19"/>
    <col min="11309" max="11309" width="13.44140625" style="19" bestFit="1" customWidth="1"/>
    <col min="11310" max="11520" width="8.88671875" style="19"/>
    <col min="11521" max="11521" width="5.109375" style="19" customWidth="1"/>
    <col min="11522" max="11522" width="49.33203125" style="19" customWidth="1"/>
    <col min="11523" max="11554" width="15.77734375" style="19" customWidth="1"/>
    <col min="11555" max="11556" width="10.5546875" style="19" customWidth="1"/>
    <col min="11557" max="11557" width="11" style="19" customWidth="1"/>
    <col min="11558" max="11558" width="13.109375" style="19" bestFit="1" customWidth="1"/>
    <col min="11559" max="11559" width="27.21875" style="19" customWidth="1"/>
    <col min="11560" max="11560" width="14.44140625" style="19" bestFit="1" customWidth="1"/>
    <col min="11561" max="11561" width="11.77734375" style="19" bestFit="1" customWidth="1"/>
    <col min="11562" max="11564" width="8.88671875" style="19"/>
    <col min="11565" max="11565" width="13.44140625" style="19" bestFit="1" customWidth="1"/>
    <col min="11566" max="11776" width="8.88671875" style="19"/>
    <col min="11777" max="11777" width="5.109375" style="19" customWidth="1"/>
    <col min="11778" max="11778" width="49.33203125" style="19" customWidth="1"/>
    <col min="11779" max="11810" width="15.77734375" style="19" customWidth="1"/>
    <col min="11811" max="11812" width="10.5546875" style="19" customWidth="1"/>
    <col min="11813" max="11813" width="11" style="19" customWidth="1"/>
    <col min="11814" max="11814" width="13.109375" style="19" bestFit="1" customWidth="1"/>
    <col min="11815" max="11815" width="27.21875" style="19" customWidth="1"/>
    <col min="11816" max="11816" width="14.44140625" style="19" bestFit="1" customWidth="1"/>
    <col min="11817" max="11817" width="11.77734375" style="19" bestFit="1" customWidth="1"/>
    <col min="11818" max="11820" width="8.88671875" style="19"/>
    <col min="11821" max="11821" width="13.44140625" style="19" bestFit="1" customWidth="1"/>
    <col min="11822" max="12032" width="8.88671875" style="19"/>
    <col min="12033" max="12033" width="5.109375" style="19" customWidth="1"/>
    <col min="12034" max="12034" width="49.33203125" style="19" customWidth="1"/>
    <col min="12035" max="12066" width="15.77734375" style="19" customWidth="1"/>
    <col min="12067" max="12068" width="10.5546875" style="19" customWidth="1"/>
    <col min="12069" max="12069" width="11" style="19" customWidth="1"/>
    <col min="12070" max="12070" width="13.109375" style="19" bestFit="1" customWidth="1"/>
    <col min="12071" max="12071" width="27.21875" style="19" customWidth="1"/>
    <col min="12072" max="12072" width="14.44140625" style="19" bestFit="1" customWidth="1"/>
    <col min="12073" max="12073" width="11.77734375" style="19" bestFit="1" customWidth="1"/>
    <col min="12074" max="12076" width="8.88671875" style="19"/>
    <col min="12077" max="12077" width="13.44140625" style="19" bestFit="1" customWidth="1"/>
    <col min="12078" max="12288" width="8.88671875" style="19"/>
    <col min="12289" max="12289" width="5.109375" style="19" customWidth="1"/>
    <col min="12290" max="12290" width="49.33203125" style="19" customWidth="1"/>
    <col min="12291" max="12322" width="15.77734375" style="19" customWidth="1"/>
    <col min="12323" max="12324" width="10.5546875" style="19" customWidth="1"/>
    <col min="12325" max="12325" width="11" style="19" customWidth="1"/>
    <col min="12326" max="12326" width="13.109375" style="19" bestFit="1" customWidth="1"/>
    <col min="12327" max="12327" width="27.21875" style="19" customWidth="1"/>
    <col min="12328" max="12328" width="14.44140625" style="19" bestFit="1" customWidth="1"/>
    <col min="12329" max="12329" width="11.77734375" style="19" bestFit="1" customWidth="1"/>
    <col min="12330" max="12332" width="8.88671875" style="19"/>
    <col min="12333" max="12333" width="13.44140625" style="19" bestFit="1" customWidth="1"/>
    <col min="12334" max="12544" width="8.88671875" style="19"/>
    <col min="12545" max="12545" width="5.109375" style="19" customWidth="1"/>
    <col min="12546" max="12546" width="49.33203125" style="19" customWidth="1"/>
    <col min="12547" max="12578" width="15.77734375" style="19" customWidth="1"/>
    <col min="12579" max="12580" width="10.5546875" style="19" customWidth="1"/>
    <col min="12581" max="12581" width="11" style="19" customWidth="1"/>
    <col min="12582" max="12582" width="13.109375" style="19" bestFit="1" customWidth="1"/>
    <col min="12583" max="12583" width="27.21875" style="19" customWidth="1"/>
    <col min="12584" max="12584" width="14.44140625" style="19" bestFit="1" customWidth="1"/>
    <col min="12585" max="12585" width="11.77734375" style="19" bestFit="1" customWidth="1"/>
    <col min="12586" max="12588" width="8.88671875" style="19"/>
    <col min="12589" max="12589" width="13.44140625" style="19" bestFit="1" customWidth="1"/>
    <col min="12590" max="12800" width="8.88671875" style="19"/>
    <col min="12801" max="12801" width="5.109375" style="19" customWidth="1"/>
    <col min="12802" max="12802" width="49.33203125" style="19" customWidth="1"/>
    <col min="12803" max="12834" width="15.77734375" style="19" customWidth="1"/>
    <col min="12835" max="12836" width="10.5546875" style="19" customWidth="1"/>
    <col min="12837" max="12837" width="11" style="19" customWidth="1"/>
    <col min="12838" max="12838" width="13.109375" style="19" bestFit="1" customWidth="1"/>
    <col min="12839" max="12839" width="27.21875" style="19" customWidth="1"/>
    <col min="12840" max="12840" width="14.44140625" style="19" bestFit="1" customWidth="1"/>
    <col min="12841" max="12841" width="11.77734375" style="19" bestFit="1" customWidth="1"/>
    <col min="12842" max="12844" width="8.88671875" style="19"/>
    <col min="12845" max="12845" width="13.44140625" style="19" bestFit="1" customWidth="1"/>
    <col min="12846" max="13056" width="8.88671875" style="19"/>
    <col min="13057" max="13057" width="5.109375" style="19" customWidth="1"/>
    <col min="13058" max="13058" width="49.33203125" style="19" customWidth="1"/>
    <col min="13059" max="13090" width="15.77734375" style="19" customWidth="1"/>
    <col min="13091" max="13092" width="10.5546875" style="19" customWidth="1"/>
    <col min="13093" max="13093" width="11" style="19" customWidth="1"/>
    <col min="13094" max="13094" width="13.109375" style="19" bestFit="1" customWidth="1"/>
    <col min="13095" max="13095" width="27.21875" style="19" customWidth="1"/>
    <col min="13096" max="13096" width="14.44140625" style="19" bestFit="1" customWidth="1"/>
    <col min="13097" max="13097" width="11.77734375" style="19" bestFit="1" customWidth="1"/>
    <col min="13098" max="13100" width="8.88671875" style="19"/>
    <col min="13101" max="13101" width="13.44140625" style="19" bestFit="1" customWidth="1"/>
    <col min="13102" max="13312" width="8.88671875" style="19"/>
    <col min="13313" max="13313" width="5.109375" style="19" customWidth="1"/>
    <col min="13314" max="13314" width="49.33203125" style="19" customWidth="1"/>
    <col min="13315" max="13346" width="15.77734375" style="19" customWidth="1"/>
    <col min="13347" max="13348" width="10.5546875" style="19" customWidth="1"/>
    <col min="13349" max="13349" width="11" style="19" customWidth="1"/>
    <col min="13350" max="13350" width="13.109375" style="19" bestFit="1" customWidth="1"/>
    <col min="13351" max="13351" width="27.21875" style="19" customWidth="1"/>
    <col min="13352" max="13352" width="14.44140625" style="19" bestFit="1" customWidth="1"/>
    <col min="13353" max="13353" width="11.77734375" style="19" bestFit="1" customWidth="1"/>
    <col min="13354" max="13356" width="8.88671875" style="19"/>
    <col min="13357" max="13357" width="13.44140625" style="19" bestFit="1" customWidth="1"/>
    <col min="13358" max="13568" width="8.88671875" style="19"/>
    <col min="13569" max="13569" width="5.109375" style="19" customWidth="1"/>
    <col min="13570" max="13570" width="49.33203125" style="19" customWidth="1"/>
    <col min="13571" max="13602" width="15.77734375" style="19" customWidth="1"/>
    <col min="13603" max="13604" width="10.5546875" style="19" customWidth="1"/>
    <col min="13605" max="13605" width="11" style="19" customWidth="1"/>
    <col min="13606" max="13606" width="13.109375" style="19" bestFit="1" customWidth="1"/>
    <col min="13607" max="13607" width="27.21875" style="19" customWidth="1"/>
    <col min="13608" max="13608" width="14.44140625" style="19" bestFit="1" customWidth="1"/>
    <col min="13609" max="13609" width="11.77734375" style="19" bestFit="1" customWidth="1"/>
    <col min="13610" max="13612" width="8.88671875" style="19"/>
    <col min="13613" max="13613" width="13.44140625" style="19" bestFit="1" customWidth="1"/>
    <col min="13614" max="13824" width="8.88671875" style="19"/>
    <col min="13825" max="13825" width="5.109375" style="19" customWidth="1"/>
    <col min="13826" max="13826" width="49.33203125" style="19" customWidth="1"/>
    <col min="13827" max="13858" width="15.77734375" style="19" customWidth="1"/>
    <col min="13859" max="13860" width="10.5546875" style="19" customWidth="1"/>
    <col min="13861" max="13861" width="11" style="19" customWidth="1"/>
    <col min="13862" max="13862" width="13.109375" style="19" bestFit="1" customWidth="1"/>
    <col min="13863" max="13863" width="27.21875" style="19" customWidth="1"/>
    <col min="13864" max="13864" width="14.44140625" style="19" bestFit="1" customWidth="1"/>
    <col min="13865" max="13865" width="11.77734375" style="19" bestFit="1" customWidth="1"/>
    <col min="13866" max="13868" width="8.88671875" style="19"/>
    <col min="13869" max="13869" width="13.44140625" style="19" bestFit="1" customWidth="1"/>
    <col min="13870" max="14080" width="8.88671875" style="19"/>
    <col min="14081" max="14081" width="5.109375" style="19" customWidth="1"/>
    <col min="14082" max="14082" width="49.33203125" style="19" customWidth="1"/>
    <col min="14083" max="14114" width="15.77734375" style="19" customWidth="1"/>
    <col min="14115" max="14116" width="10.5546875" style="19" customWidth="1"/>
    <col min="14117" max="14117" width="11" style="19" customWidth="1"/>
    <col min="14118" max="14118" width="13.109375" style="19" bestFit="1" customWidth="1"/>
    <col min="14119" max="14119" width="27.21875" style="19" customWidth="1"/>
    <col min="14120" max="14120" width="14.44140625" style="19" bestFit="1" customWidth="1"/>
    <col min="14121" max="14121" width="11.77734375" style="19" bestFit="1" customWidth="1"/>
    <col min="14122" max="14124" width="8.88671875" style="19"/>
    <col min="14125" max="14125" width="13.44140625" style="19" bestFit="1" customWidth="1"/>
    <col min="14126" max="14336" width="8.88671875" style="19"/>
    <col min="14337" max="14337" width="5.109375" style="19" customWidth="1"/>
    <col min="14338" max="14338" width="49.33203125" style="19" customWidth="1"/>
    <col min="14339" max="14370" width="15.77734375" style="19" customWidth="1"/>
    <col min="14371" max="14372" width="10.5546875" style="19" customWidth="1"/>
    <col min="14373" max="14373" width="11" style="19" customWidth="1"/>
    <col min="14374" max="14374" width="13.109375" style="19" bestFit="1" customWidth="1"/>
    <col min="14375" max="14375" width="27.21875" style="19" customWidth="1"/>
    <col min="14376" max="14376" width="14.44140625" style="19" bestFit="1" customWidth="1"/>
    <col min="14377" max="14377" width="11.77734375" style="19" bestFit="1" customWidth="1"/>
    <col min="14378" max="14380" width="8.88671875" style="19"/>
    <col min="14381" max="14381" width="13.44140625" style="19" bestFit="1" customWidth="1"/>
    <col min="14382" max="14592" width="8.88671875" style="19"/>
    <col min="14593" max="14593" width="5.109375" style="19" customWidth="1"/>
    <col min="14594" max="14594" width="49.33203125" style="19" customWidth="1"/>
    <col min="14595" max="14626" width="15.77734375" style="19" customWidth="1"/>
    <col min="14627" max="14628" width="10.5546875" style="19" customWidth="1"/>
    <col min="14629" max="14629" width="11" style="19" customWidth="1"/>
    <col min="14630" max="14630" width="13.109375" style="19" bestFit="1" customWidth="1"/>
    <col min="14631" max="14631" width="27.21875" style="19" customWidth="1"/>
    <col min="14632" max="14632" width="14.44140625" style="19" bestFit="1" customWidth="1"/>
    <col min="14633" max="14633" width="11.77734375" style="19" bestFit="1" customWidth="1"/>
    <col min="14634" max="14636" width="8.88671875" style="19"/>
    <col min="14637" max="14637" width="13.44140625" style="19" bestFit="1" customWidth="1"/>
    <col min="14638" max="14848" width="8.88671875" style="19"/>
    <col min="14849" max="14849" width="5.109375" style="19" customWidth="1"/>
    <col min="14850" max="14850" width="49.33203125" style="19" customWidth="1"/>
    <col min="14851" max="14882" width="15.77734375" style="19" customWidth="1"/>
    <col min="14883" max="14884" width="10.5546875" style="19" customWidth="1"/>
    <col min="14885" max="14885" width="11" style="19" customWidth="1"/>
    <col min="14886" max="14886" width="13.109375" style="19" bestFit="1" customWidth="1"/>
    <col min="14887" max="14887" width="27.21875" style="19" customWidth="1"/>
    <col min="14888" max="14888" width="14.44140625" style="19" bestFit="1" customWidth="1"/>
    <col min="14889" max="14889" width="11.77734375" style="19" bestFit="1" customWidth="1"/>
    <col min="14890" max="14892" width="8.88671875" style="19"/>
    <col min="14893" max="14893" width="13.44140625" style="19" bestFit="1" customWidth="1"/>
    <col min="14894" max="15104" width="8.88671875" style="19"/>
    <col min="15105" max="15105" width="5.109375" style="19" customWidth="1"/>
    <col min="15106" max="15106" width="49.33203125" style="19" customWidth="1"/>
    <col min="15107" max="15138" width="15.77734375" style="19" customWidth="1"/>
    <col min="15139" max="15140" width="10.5546875" style="19" customWidth="1"/>
    <col min="15141" max="15141" width="11" style="19" customWidth="1"/>
    <col min="15142" max="15142" width="13.109375" style="19" bestFit="1" customWidth="1"/>
    <col min="15143" max="15143" width="27.21875" style="19" customWidth="1"/>
    <col min="15144" max="15144" width="14.44140625" style="19" bestFit="1" customWidth="1"/>
    <col min="15145" max="15145" width="11.77734375" style="19" bestFit="1" customWidth="1"/>
    <col min="15146" max="15148" width="8.88671875" style="19"/>
    <col min="15149" max="15149" width="13.44140625" style="19" bestFit="1" customWidth="1"/>
    <col min="15150" max="15360" width="8.88671875" style="19"/>
    <col min="15361" max="15361" width="5.109375" style="19" customWidth="1"/>
    <col min="15362" max="15362" width="49.33203125" style="19" customWidth="1"/>
    <col min="15363" max="15394" width="15.77734375" style="19" customWidth="1"/>
    <col min="15395" max="15396" width="10.5546875" style="19" customWidth="1"/>
    <col min="15397" max="15397" width="11" style="19" customWidth="1"/>
    <col min="15398" max="15398" width="13.109375" style="19" bestFit="1" customWidth="1"/>
    <col min="15399" max="15399" width="27.21875" style="19" customWidth="1"/>
    <col min="15400" max="15400" width="14.44140625" style="19" bestFit="1" customWidth="1"/>
    <col min="15401" max="15401" width="11.77734375" style="19" bestFit="1" customWidth="1"/>
    <col min="15402" max="15404" width="8.88671875" style="19"/>
    <col min="15405" max="15405" width="13.44140625" style="19" bestFit="1" customWidth="1"/>
    <col min="15406" max="15616" width="8.88671875" style="19"/>
    <col min="15617" max="15617" width="5.109375" style="19" customWidth="1"/>
    <col min="15618" max="15618" width="49.33203125" style="19" customWidth="1"/>
    <col min="15619" max="15650" width="15.77734375" style="19" customWidth="1"/>
    <col min="15651" max="15652" width="10.5546875" style="19" customWidth="1"/>
    <col min="15653" max="15653" width="11" style="19" customWidth="1"/>
    <col min="15654" max="15654" width="13.109375" style="19" bestFit="1" customWidth="1"/>
    <col min="15655" max="15655" width="27.21875" style="19" customWidth="1"/>
    <col min="15656" max="15656" width="14.44140625" style="19" bestFit="1" customWidth="1"/>
    <col min="15657" max="15657" width="11.77734375" style="19" bestFit="1" customWidth="1"/>
    <col min="15658" max="15660" width="8.88671875" style="19"/>
    <col min="15661" max="15661" width="13.44140625" style="19" bestFit="1" customWidth="1"/>
    <col min="15662" max="15872" width="8.88671875" style="19"/>
    <col min="15873" max="15873" width="5.109375" style="19" customWidth="1"/>
    <col min="15874" max="15874" width="49.33203125" style="19" customWidth="1"/>
    <col min="15875" max="15906" width="15.77734375" style="19" customWidth="1"/>
    <col min="15907" max="15908" width="10.5546875" style="19" customWidth="1"/>
    <col min="15909" max="15909" width="11" style="19" customWidth="1"/>
    <col min="15910" max="15910" width="13.109375" style="19" bestFit="1" customWidth="1"/>
    <col min="15911" max="15911" width="27.21875" style="19" customWidth="1"/>
    <col min="15912" max="15912" width="14.44140625" style="19" bestFit="1" customWidth="1"/>
    <col min="15913" max="15913" width="11.77734375" style="19" bestFit="1" customWidth="1"/>
    <col min="15914" max="15916" width="8.88671875" style="19"/>
    <col min="15917" max="15917" width="13.44140625" style="19" bestFit="1" customWidth="1"/>
    <col min="15918" max="16128" width="8.88671875" style="19"/>
    <col min="16129" max="16129" width="5.109375" style="19" customWidth="1"/>
    <col min="16130" max="16130" width="49.33203125" style="19" customWidth="1"/>
    <col min="16131" max="16162" width="15.77734375" style="19" customWidth="1"/>
    <col min="16163" max="16164" width="10.5546875" style="19" customWidth="1"/>
    <col min="16165" max="16165" width="11" style="19" customWidth="1"/>
    <col min="16166" max="16166" width="13.109375" style="19" bestFit="1" customWidth="1"/>
    <col min="16167" max="16167" width="27.21875" style="19" customWidth="1"/>
    <col min="16168" max="16168" width="14.44140625" style="19" bestFit="1" customWidth="1"/>
    <col min="16169" max="16169" width="11.77734375" style="19" bestFit="1" customWidth="1"/>
    <col min="16170" max="16172" width="8.88671875" style="19"/>
    <col min="16173" max="16173" width="13.44140625" style="19" bestFit="1" customWidth="1"/>
    <col min="16174" max="16384" width="8.88671875" style="19"/>
  </cols>
  <sheetData>
    <row r="1" spans="1:41" ht="15.75" customHeight="1" x14ac:dyDescent="0.2">
      <c r="A1" s="115" t="s">
        <v>56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41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41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1"/>
      <c r="AH3" s="122" t="s">
        <v>18</v>
      </c>
      <c r="AI3" s="20"/>
      <c r="AJ3" s="20"/>
      <c r="AK3" s="21"/>
      <c r="AL3" s="22"/>
      <c r="AM3" s="23" t="s">
        <v>0</v>
      </c>
      <c r="AN3" s="24"/>
      <c r="AO3" s="24"/>
    </row>
    <row r="4" spans="1:41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26">
        <v>31</v>
      </c>
      <c r="AH4" s="122"/>
      <c r="AI4" s="27"/>
      <c r="AJ4" s="27"/>
      <c r="AK4" s="14"/>
      <c r="AL4" s="28"/>
      <c r="AM4" s="23" t="s">
        <v>19</v>
      </c>
      <c r="AN4" s="29"/>
      <c r="AO4" s="30"/>
    </row>
    <row r="5" spans="1:41" s="25" customFormat="1" ht="18" customHeight="1" x14ac:dyDescent="0.2">
      <c r="A5" s="31">
        <v>1</v>
      </c>
      <c r="B5" s="32" t="s">
        <v>2</v>
      </c>
      <c r="C5" s="32">
        <v>25024000</v>
      </c>
      <c r="D5" s="32">
        <v>30080000</v>
      </c>
      <c r="E5" s="32">
        <v>35416000</v>
      </c>
      <c r="F5" s="33"/>
      <c r="G5" s="34">
        <v>6988000</v>
      </c>
      <c r="H5" s="32">
        <v>6340000</v>
      </c>
      <c r="I5" s="32">
        <v>6372000</v>
      </c>
      <c r="J5" s="32">
        <v>6368000</v>
      </c>
      <c r="K5" s="32">
        <v>23968000</v>
      </c>
      <c r="L5" s="32">
        <v>31836000</v>
      </c>
      <c r="M5" s="33"/>
      <c r="N5" s="32">
        <v>7132000</v>
      </c>
      <c r="O5" s="32">
        <v>6692000</v>
      </c>
      <c r="P5" s="32">
        <v>31184000</v>
      </c>
      <c r="Q5" s="32">
        <v>18428000</v>
      </c>
      <c r="R5" s="32">
        <v>25404000</v>
      </c>
      <c r="S5" s="32">
        <v>31092000</v>
      </c>
      <c r="T5" s="33"/>
      <c r="U5" s="32">
        <v>5968000</v>
      </c>
      <c r="V5" s="32">
        <v>4564000</v>
      </c>
      <c r="W5" s="32">
        <v>4820000</v>
      </c>
      <c r="X5" s="32">
        <v>4212000</v>
      </c>
      <c r="Y5" s="32">
        <v>17236000</v>
      </c>
      <c r="Z5" s="32">
        <v>20424000</v>
      </c>
      <c r="AA5" s="33"/>
      <c r="AB5" s="32">
        <v>4108000</v>
      </c>
      <c r="AC5" s="32">
        <v>17612000</v>
      </c>
      <c r="AD5" s="32">
        <v>21396000</v>
      </c>
      <c r="AE5" s="32">
        <v>6960000</v>
      </c>
      <c r="AF5" s="32">
        <v>23232000</v>
      </c>
      <c r="AG5" s="32">
        <v>34548000</v>
      </c>
      <c r="AH5" s="35">
        <f>SUM(C5:AG5)</f>
        <v>457404000</v>
      </c>
      <c r="AI5" s="107">
        <f>AH5/4000</f>
        <v>114351</v>
      </c>
      <c r="AJ5" s="109">
        <v>301028000</v>
      </c>
      <c r="AK5" s="111">
        <f>AH5+AJ5</f>
        <v>758432000</v>
      </c>
      <c r="AL5" s="38"/>
      <c r="AM5" s="3" t="s">
        <v>2</v>
      </c>
      <c r="AN5" s="39">
        <f t="shared" ref="AN5:AN23" si="0">AH5</f>
        <v>457404000</v>
      </c>
      <c r="AO5" s="30"/>
    </row>
    <row r="6" spans="1:41" s="25" customFormat="1" ht="18" customHeight="1" x14ac:dyDescent="0.2">
      <c r="A6" s="40">
        <v>2</v>
      </c>
      <c r="B6" s="41" t="s">
        <v>3</v>
      </c>
      <c r="C6" s="41">
        <v>5646000</v>
      </c>
      <c r="D6" s="41">
        <v>7203000</v>
      </c>
      <c r="E6" s="41">
        <v>7905000</v>
      </c>
      <c r="F6" s="42"/>
      <c r="G6" s="41">
        <v>1026000</v>
      </c>
      <c r="H6" s="41">
        <v>972000</v>
      </c>
      <c r="I6" s="41">
        <v>1062000</v>
      </c>
      <c r="J6" s="41">
        <v>1059000</v>
      </c>
      <c r="K6" s="41">
        <v>4920000</v>
      </c>
      <c r="L6" s="41">
        <v>6489000</v>
      </c>
      <c r="M6" s="42"/>
      <c r="N6" s="41">
        <v>810000</v>
      </c>
      <c r="O6" s="41">
        <v>870000</v>
      </c>
      <c r="P6" s="41">
        <v>7275000</v>
      </c>
      <c r="Q6" s="41">
        <v>4668000</v>
      </c>
      <c r="R6" s="41">
        <v>6300000</v>
      </c>
      <c r="S6" s="41">
        <v>7062000</v>
      </c>
      <c r="T6" s="42"/>
      <c r="U6" s="41">
        <v>813000</v>
      </c>
      <c r="V6" s="41">
        <v>591000</v>
      </c>
      <c r="W6" s="41">
        <v>654000</v>
      </c>
      <c r="X6" s="41">
        <v>537000</v>
      </c>
      <c r="Y6" s="41">
        <v>3147000</v>
      </c>
      <c r="Z6" s="41">
        <v>4008000</v>
      </c>
      <c r="AA6" s="42"/>
      <c r="AB6" s="41">
        <v>639000</v>
      </c>
      <c r="AC6" s="41">
        <v>3783000</v>
      </c>
      <c r="AD6" s="41">
        <v>5571000</v>
      </c>
      <c r="AE6" s="41">
        <v>1155000</v>
      </c>
      <c r="AF6" s="41">
        <v>5388000</v>
      </c>
      <c r="AG6" s="41">
        <v>7929000</v>
      </c>
      <c r="AH6" s="84">
        <f t="shared" ref="AH6:AH22" si="1">SUM(C6:AG6)</f>
        <v>97482000</v>
      </c>
      <c r="AI6" s="107">
        <f>AH6/3000</f>
        <v>32494</v>
      </c>
      <c r="AJ6" s="109">
        <v>49170000</v>
      </c>
      <c r="AK6" s="111">
        <f t="shared" ref="AK6:AK22" si="2">AH6+AJ6</f>
        <v>146652000</v>
      </c>
      <c r="AL6" s="38"/>
      <c r="AM6" s="3" t="s">
        <v>3</v>
      </c>
      <c r="AN6" s="39">
        <f t="shared" si="0"/>
        <v>97482000</v>
      </c>
      <c r="AO6" s="30"/>
    </row>
    <row r="7" spans="1:41" s="25" customFormat="1" ht="18" customHeight="1" x14ac:dyDescent="0.2">
      <c r="A7" s="40">
        <v>3</v>
      </c>
      <c r="B7" s="41" t="s">
        <v>4</v>
      </c>
      <c r="C7" s="41"/>
      <c r="D7" s="41"/>
      <c r="E7" s="41"/>
      <c r="F7" s="42"/>
      <c r="G7" s="41"/>
      <c r="H7" s="41"/>
      <c r="I7" s="41"/>
      <c r="J7" s="41"/>
      <c r="K7" s="41"/>
      <c r="L7" s="41"/>
      <c r="M7" s="42"/>
      <c r="N7" s="41"/>
      <c r="O7" s="41"/>
      <c r="P7" s="41"/>
      <c r="Q7" s="41"/>
      <c r="R7" s="41"/>
      <c r="S7" s="41"/>
      <c r="T7" s="42"/>
      <c r="U7" s="41"/>
      <c r="V7" s="41"/>
      <c r="W7" s="41"/>
      <c r="X7" s="41"/>
      <c r="Y7" s="41"/>
      <c r="Z7" s="41"/>
      <c r="AA7" s="42"/>
      <c r="AB7" s="41"/>
      <c r="AC7" s="41"/>
      <c r="AD7" s="41"/>
      <c r="AE7" s="41"/>
      <c r="AF7" s="41"/>
      <c r="AG7" s="41"/>
      <c r="AH7" s="84">
        <f t="shared" si="1"/>
        <v>0</v>
      </c>
      <c r="AI7" s="107">
        <f>AH7/3000</f>
        <v>0</v>
      </c>
      <c r="AJ7" s="109"/>
      <c r="AK7" s="111">
        <f t="shared" si="2"/>
        <v>0</v>
      </c>
      <c r="AL7" s="38"/>
      <c r="AM7" s="3" t="s">
        <v>4</v>
      </c>
      <c r="AN7" s="39">
        <f t="shared" si="0"/>
        <v>0</v>
      </c>
      <c r="AO7" s="30"/>
    </row>
    <row r="8" spans="1:41" s="25" customFormat="1" ht="18" customHeight="1" x14ac:dyDescent="0.2">
      <c r="A8" s="40">
        <v>4</v>
      </c>
      <c r="B8" s="41" t="s">
        <v>5</v>
      </c>
      <c r="C8" s="41"/>
      <c r="D8" s="41"/>
      <c r="E8" s="41"/>
      <c r="F8" s="42"/>
      <c r="G8" s="41"/>
      <c r="H8" s="41"/>
      <c r="I8" s="41"/>
      <c r="J8" s="41"/>
      <c r="K8" s="41"/>
      <c r="L8" s="41"/>
      <c r="M8" s="42"/>
      <c r="N8" s="41"/>
      <c r="O8" s="41"/>
      <c r="P8" s="41"/>
      <c r="Q8" s="41"/>
      <c r="R8" s="41"/>
      <c r="S8" s="41"/>
      <c r="T8" s="42"/>
      <c r="U8" s="41"/>
      <c r="V8" s="41"/>
      <c r="W8" s="41"/>
      <c r="X8" s="41"/>
      <c r="Y8" s="41"/>
      <c r="Z8" s="41"/>
      <c r="AA8" s="42"/>
      <c r="AB8" s="41"/>
      <c r="AC8" s="41"/>
      <c r="AD8" s="41"/>
      <c r="AE8" s="41"/>
      <c r="AF8" s="41"/>
      <c r="AG8" s="41"/>
      <c r="AH8" s="84">
        <f t="shared" si="1"/>
        <v>0</v>
      </c>
      <c r="AI8" s="107">
        <f>AH8/2250</f>
        <v>0</v>
      </c>
      <c r="AJ8" s="109"/>
      <c r="AK8" s="111">
        <f t="shared" si="2"/>
        <v>0</v>
      </c>
      <c r="AL8" s="38"/>
      <c r="AM8" s="3" t="s">
        <v>5</v>
      </c>
      <c r="AN8" s="39">
        <f t="shared" si="0"/>
        <v>0</v>
      </c>
      <c r="AO8" s="30"/>
    </row>
    <row r="9" spans="1:41" s="25" customFormat="1" ht="18" customHeight="1" x14ac:dyDescent="0.2">
      <c r="A9" s="40">
        <v>5</v>
      </c>
      <c r="B9" s="43" t="s">
        <v>20</v>
      </c>
      <c r="C9" s="41">
        <v>677500</v>
      </c>
      <c r="D9" s="41">
        <v>830000</v>
      </c>
      <c r="E9" s="41">
        <v>1325000</v>
      </c>
      <c r="F9" s="42"/>
      <c r="G9" s="41">
        <v>37500</v>
      </c>
      <c r="H9" s="41">
        <v>157500</v>
      </c>
      <c r="I9" s="41">
        <v>87500</v>
      </c>
      <c r="J9" s="41">
        <v>42500</v>
      </c>
      <c r="K9" s="41">
        <v>662500</v>
      </c>
      <c r="L9" s="41">
        <v>1000000</v>
      </c>
      <c r="M9" s="42"/>
      <c r="N9" s="41">
        <v>102500</v>
      </c>
      <c r="O9" s="41">
        <v>40000</v>
      </c>
      <c r="P9" s="41">
        <v>1055000</v>
      </c>
      <c r="Q9" s="41">
        <v>392500</v>
      </c>
      <c r="R9" s="41">
        <v>687500</v>
      </c>
      <c r="S9" s="41">
        <v>1100000</v>
      </c>
      <c r="T9" s="42"/>
      <c r="U9" s="41">
        <v>5000</v>
      </c>
      <c r="V9" s="41">
        <v>30000</v>
      </c>
      <c r="W9" s="41">
        <v>47500</v>
      </c>
      <c r="X9" s="41">
        <v>15000</v>
      </c>
      <c r="Y9" s="41">
        <v>472500</v>
      </c>
      <c r="Z9" s="41">
        <v>625000</v>
      </c>
      <c r="AA9" s="42"/>
      <c r="AB9" s="41">
        <v>117500</v>
      </c>
      <c r="AC9" s="41">
        <v>412500</v>
      </c>
      <c r="AD9" s="41">
        <v>520000</v>
      </c>
      <c r="AE9" s="41">
        <v>42500</v>
      </c>
      <c r="AF9" s="41">
        <v>540000</v>
      </c>
      <c r="AG9" s="41">
        <v>1265000</v>
      </c>
      <c r="AH9" s="84">
        <f t="shared" si="1"/>
        <v>12290000</v>
      </c>
      <c r="AI9" s="107">
        <f>AH9/2500</f>
        <v>4916</v>
      </c>
      <c r="AJ9" s="109">
        <v>30565000</v>
      </c>
      <c r="AK9" s="111">
        <f t="shared" si="2"/>
        <v>42855000</v>
      </c>
      <c r="AL9" s="38"/>
      <c r="AM9" s="3"/>
      <c r="AN9" s="39"/>
      <c r="AO9" s="30"/>
    </row>
    <row r="10" spans="1:41" s="25" customFormat="1" ht="18" customHeight="1" x14ac:dyDescent="0.2">
      <c r="A10" s="40">
        <v>6</v>
      </c>
      <c r="B10" s="44" t="s">
        <v>21</v>
      </c>
      <c r="C10" s="44"/>
      <c r="D10" s="44"/>
      <c r="E10" s="44"/>
      <c r="F10" s="42"/>
      <c r="G10" s="44">
        <v>420000</v>
      </c>
      <c r="H10" s="44">
        <v>396000</v>
      </c>
      <c r="I10" s="44">
        <v>498000</v>
      </c>
      <c r="J10" s="44">
        <v>390000</v>
      </c>
      <c r="K10" s="44"/>
      <c r="L10" s="44"/>
      <c r="M10" s="42"/>
      <c r="N10" s="44">
        <v>378000</v>
      </c>
      <c r="O10" s="44">
        <v>456000</v>
      </c>
      <c r="P10" s="44"/>
      <c r="Q10" s="44"/>
      <c r="R10" s="44"/>
      <c r="S10" s="44"/>
      <c r="T10" s="42"/>
      <c r="U10" s="44">
        <v>426000</v>
      </c>
      <c r="V10" s="44">
        <v>318000</v>
      </c>
      <c r="W10" s="44">
        <v>396000</v>
      </c>
      <c r="X10" s="44">
        <v>222000</v>
      </c>
      <c r="Y10" s="44"/>
      <c r="Z10" s="44"/>
      <c r="AA10" s="42"/>
      <c r="AB10" s="44">
        <v>264000</v>
      </c>
      <c r="AC10" s="44"/>
      <c r="AD10" s="44"/>
      <c r="AE10" s="44">
        <v>738000</v>
      </c>
      <c r="AF10" s="44"/>
      <c r="AG10" s="44"/>
      <c r="AH10" s="84">
        <f t="shared" si="1"/>
        <v>4902000</v>
      </c>
      <c r="AI10" s="107">
        <f>AH10/6000</f>
        <v>817</v>
      </c>
      <c r="AJ10" s="109">
        <v>13542000</v>
      </c>
      <c r="AK10" s="111">
        <f t="shared" si="2"/>
        <v>18444000</v>
      </c>
      <c r="AL10" s="38"/>
      <c r="AM10" s="3" t="s">
        <v>10</v>
      </c>
      <c r="AN10" s="39">
        <f t="shared" si="0"/>
        <v>4902000</v>
      </c>
      <c r="AO10" s="30"/>
    </row>
    <row r="11" spans="1:41" s="50" customFormat="1" ht="18" customHeight="1" x14ac:dyDescent="0.2">
      <c r="A11" s="40">
        <v>7</v>
      </c>
      <c r="B11" s="44" t="s">
        <v>22</v>
      </c>
      <c r="C11" s="44"/>
      <c r="D11" s="44"/>
      <c r="E11" s="44"/>
      <c r="F11" s="42"/>
      <c r="G11" s="46">
        <v>276000</v>
      </c>
      <c r="H11" s="44">
        <v>288000</v>
      </c>
      <c r="I11" s="44">
        <v>294000</v>
      </c>
      <c r="J11" s="44">
        <v>210000</v>
      </c>
      <c r="K11" s="44"/>
      <c r="L11" s="44"/>
      <c r="M11" s="42"/>
      <c r="N11" s="44">
        <v>282000</v>
      </c>
      <c r="O11" s="44">
        <v>336000</v>
      </c>
      <c r="P11" s="44"/>
      <c r="Q11" s="44"/>
      <c r="R11" s="44"/>
      <c r="S11" s="44"/>
      <c r="T11" s="42"/>
      <c r="U11" s="44">
        <v>354000</v>
      </c>
      <c r="V11" s="44">
        <v>204000</v>
      </c>
      <c r="W11" s="44">
        <v>264000</v>
      </c>
      <c r="X11" s="44">
        <v>120000</v>
      </c>
      <c r="Y11" s="44"/>
      <c r="Z11" s="44"/>
      <c r="AA11" s="42"/>
      <c r="AB11" s="44">
        <v>198000</v>
      </c>
      <c r="AC11" s="44"/>
      <c r="AD11" s="44"/>
      <c r="AE11" s="44">
        <v>426000</v>
      </c>
      <c r="AF11" s="44"/>
      <c r="AG11" s="44"/>
      <c r="AH11" s="84">
        <f t="shared" si="1"/>
        <v>3252000</v>
      </c>
      <c r="AI11" s="107">
        <f>AH11/6000</f>
        <v>542</v>
      </c>
      <c r="AJ11" s="109">
        <v>3144000</v>
      </c>
      <c r="AK11" s="111">
        <f t="shared" si="2"/>
        <v>6396000</v>
      </c>
      <c r="AL11" s="47"/>
      <c r="AM11" s="48" t="s">
        <v>23</v>
      </c>
      <c r="AN11" s="39">
        <f t="shared" si="0"/>
        <v>3252000</v>
      </c>
      <c r="AO11" s="49"/>
    </row>
    <row r="12" spans="1:41" s="50" customFormat="1" ht="18" customHeight="1" x14ac:dyDescent="0.2">
      <c r="A12" s="40">
        <v>8</v>
      </c>
      <c r="B12" s="44" t="s">
        <v>24</v>
      </c>
      <c r="C12" s="44"/>
      <c r="D12" s="44"/>
      <c r="E12" s="51"/>
      <c r="F12" s="42"/>
      <c r="G12" s="44"/>
      <c r="H12" s="44"/>
      <c r="I12" s="44"/>
      <c r="J12" s="44"/>
      <c r="K12" s="44"/>
      <c r="L12" s="44"/>
      <c r="M12" s="42"/>
      <c r="N12" s="44"/>
      <c r="O12" s="44"/>
      <c r="P12" s="44"/>
      <c r="Q12" s="44"/>
      <c r="R12" s="44"/>
      <c r="S12" s="44"/>
      <c r="T12" s="42"/>
      <c r="U12" s="44"/>
      <c r="V12" s="44"/>
      <c r="W12" s="44"/>
      <c r="X12" s="44"/>
      <c r="Y12" s="44"/>
      <c r="Z12" s="44"/>
      <c r="AA12" s="42"/>
      <c r="AB12" s="44"/>
      <c r="AC12" s="44"/>
      <c r="AD12" s="44"/>
      <c r="AE12" s="44"/>
      <c r="AF12" s="44"/>
      <c r="AG12" s="44"/>
      <c r="AH12" s="84">
        <f t="shared" si="1"/>
        <v>0</v>
      </c>
      <c r="AI12" s="107">
        <f>AH12/4500</f>
        <v>0</v>
      </c>
      <c r="AJ12" s="109"/>
      <c r="AK12" s="111">
        <f t="shared" si="2"/>
        <v>0</v>
      </c>
      <c r="AL12" s="47"/>
      <c r="AM12" s="48" t="s">
        <v>25</v>
      </c>
      <c r="AN12" s="39">
        <f t="shared" si="0"/>
        <v>0</v>
      </c>
      <c r="AO12" s="49"/>
    </row>
    <row r="13" spans="1:41" s="50" customFormat="1" ht="18" customHeight="1" x14ac:dyDescent="0.2">
      <c r="A13" s="40">
        <v>9</v>
      </c>
      <c r="B13" s="44" t="s">
        <v>26</v>
      </c>
      <c r="C13" s="44"/>
      <c r="D13" s="44"/>
      <c r="E13" s="44"/>
      <c r="F13" s="42"/>
      <c r="G13" s="44"/>
      <c r="H13" s="44"/>
      <c r="I13" s="44"/>
      <c r="J13" s="44"/>
      <c r="K13" s="44"/>
      <c r="L13" s="44"/>
      <c r="M13" s="42"/>
      <c r="N13" s="44"/>
      <c r="O13" s="44"/>
      <c r="P13" s="44"/>
      <c r="Q13" s="44"/>
      <c r="R13" s="44"/>
      <c r="S13" s="44"/>
      <c r="T13" s="42"/>
      <c r="U13" s="44"/>
      <c r="V13" s="44"/>
      <c r="W13" s="44"/>
      <c r="X13" s="44"/>
      <c r="Y13" s="44"/>
      <c r="Z13" s="44"/>
      <c r="AA13" s="42"/>
      <c r="AB13" s="44"/>
      <c r="AC13" s="44"/>
      <c r="AD13" s="44"/>
      <c r="AE13" s="44"/>
      <c r="AF13" s="44"/>
      <c r="AG13" s="44"/>
      <c r="AH13" s="84">
        <f t="shared" si="1"/>
        <v>0</v>
      </c>
      <c r="AI13" s="107">
        <f>AH13/4500</f>
        <v>0</v>
      </c>
      <c r="AJ13" s="109"/>
      <c r="AK13" s="111">
        <f t="shared" si="2"/>
        <v>0</v>
      </c>
      <c r="AL13" s="47"/>
      <c r="AM13" s="48" t="s">
        <v>27</v>
      </c>
      <c r="AN13" s="39">
        <f t="shared" si="0"/>
        <v>0</v>
      </c>
      <c r="AO13" s="49"/>
    </row>
    <row r="14" spans="1:41" s="50" customFormat="1" ht="18" customHeight="1" x14ac:dyDescent="0.2">
      <c r="A14" s="40">
        <v>10</v>
      </c>
      <c r="B14" s="52" t="s">
        <v>28</v>
      </c>
      <c r="C14" s="52">
        <v>5377500</v>
      </c>
      <c r="D14" s="52">
        <v>8197500</v>
      </c>
      <c r="E14" s="52">
        <v>9015000</v>
      </c>
      <c r="F14" s="42"/>
      <c r="G14" s="52"/>
      <c r="H14" s="52"/>
      <c r="I14" s="52"/>
      <c r="J14" s="52"/>
      <c r="K14" s="52">
        <v>5655000</v>
      </c>
      <c r="L14" s="52">
        <v>9525000</v>
      </c>
      <c r="M14" s="42"/>
      <c r="N14" s="52"/>
      <c r="O14" s="52"/>
      <c r="P14" s="52">
        <v>8077500</v>
      </c>
      <c r="Q14" s="52">
        <v>3990000</v>
      </c>
      <c r="R14" s="52">
        <v>6172500</v>
      </c>
      <c r="S14" s="52">
        <v>7620000</v>
      </c>
      <c r="T14" s="42"/>
      <c r="U14" s="52"/>
      <c r="V14" s="52"/>
      <c r="W14" s="52"/>
      <c r="X14" s="52"/>
      <c r="Y14" s="52">
        <v>3337500</v>
      </c>
      <c r="Z14" s="52">
        <v>4155000</v>
      </c>
      <c r="AA14" s="42"/>
      <c r="AB14" s="52"/>
      <c r="AC14" s="52">
        <v>3780000</v>
      </c>
      <c r="AD14" s="52">
        <v>4500000</v>
      </c>
      <c r="AE14" s="52"/>
      <c r="AF14" s="52">
        <v>5407500</v>
      </c>
      <c r="AG14" s="52">
        <v>11070000</v>
      </c>
      <c r="AH14" s="84">
        <f t="shared" si="1"/>
        <v>95880000</v>
      </c>
      <c r="AI14" s="107">
        <f>AH14/7500</f>
        <v>12784</v>
      </c>
      <c r="AJ14" s="109">
        <v>141435000</v>
      </c>
      <c r="AK14" s="111">
        <f t="shared" si="2"/>
        <v>237315000</v>
      </c>
      <c r="AL14" s="47"/>
      <c r="AM14" s="48" t="s">
        <v>29</v>
      </c>
      <c r="AN14" s="39">
        <f t="shared" si="0"/>
        <v>95880000</v>
      </c>
      <c r="AO14" s="49"/>
    </row>
    <row r="15" spans="1:41" s="11" customFormat="1" ht="18" customHeight="1" x14ac:dyDescent="0.2">
      <c r="A15" s="40">
        <v>11</v>
      </c>
      <c r="B15" s="52" t="s">
        <v>30</v>
      </c>
      <c r="C15" s="52">
        <v>3705000</v>
      </c>
      <c r="D15" s="52">
        <v>5362500</v>
      </c>
      <c r="E15" s="52">
        <v>6360000</v>
      </c>
      <c r="F15" s="42"/>
      <c r="G15" s="52"/>
      <c r="H15" s="52"/>
      <c r="I15" s="52"/>
      <c r="J15" s="52"/>
      <c r="K15" s="52">
        <v>3802500</v>
      </c>
      <c r="L15" s="52">
        <v>6772500</v>
      </c>
      <c r="M15" s="42"/>
      <c r="N15" s="52"/>
      <c r="O15" s="52"/>
      <c r="P15" s="52">
        <v>5497500</v>
      </c>
      <c r="Q15" s="52">
        <v>2700000</v>
      </c>
      <c r="R15" s="52">
        <v>4372500</v>
      </c>
      <c r="S15" s="52">
        <v>5392500</v>
      </c>
      <c r="T15" s="42"/>
      <c r="U15" s="52"/>
      <c r="V15" s="52"/>
      <c r="W15" s="52"/>
      <c r="X15" s="52"/>
      <c r="Y15" s="52">
        <v>2302500</v>
      </c>
      <c r="Z15" s="52">
        <v>3202500</v>
      </c>
      <c r="AA15" s="42"/>
      <c r="AB15" s="52"/>
      <c r="AC15" s="52">
        <v>2437500</v>
      </c>
      <c r="AD15" s="52">
        <v>3397500</v>
      </c>
      <c r="AE15" s="52"/>
      <c r="AF15" s="52">
        <v>3877500</v>
      </c>
      <c r="AG15" s="52">
        <v>7312500</v>
      </c>
      <c r="AH15" s="84">
        <f t="shared" si="1"/>
        <v>66495000</v>
      </c>
      <c r="AI15" s="107">
        <f>AH15/7500</f>
        <v>8866</v>
      </c>
      <c r="AJ15" s="109">
        <v>32760000</v>
      </c>
      <c r="AK15" s="111">
        <f t="shared" si="2"/>
        <v>99255000</v>
      </c>
      <c r="AL15" s="38"/>
      <c r="AM15" s="54" t="s">
        <v>21</v>
      </c>
      <c r="AN15" s="39">
        <f t="shared" si="0"/>
        <v>66495000</v>
      </c>
      <c r="AO15" s="29"/>
    </row>
    <row r="16" spans="1:41" s="11" customFormat="1" ht="18" customHeight="1" x14ac:dyDescent="0.2">
      <c r="A16" s="40">
        <v>12</v>
      </c>
      <c r="B16" s="55" t="s">
        <v>31</v>
      </c>
      <c r="C16" s="52"/>
      <c r="D16" s="52"/>
      <c r="E16" s="52"/>
      <c r="F16" s="42"/>
      <c r="G16" s="52"/>
      <c r="H16" s="52"/>
      <c r="I16" s="52"/>
      <c r="J16" s="52"/>
      <c r="K16" s="52"/>
      <c r="L16" s="52"/>
      <c r="M16" s="42"/>
      <c r="N16" s="52"/>
      <c r="O16" s="52"/>
      <c r="P16" s="52"/>
      <c r="Q16" s="52"/>
      <c r="R16" s="52"/>
      <c r="S16" s="52"/>
      <c r="T16" s="42"/>
      <c r="U16" s="52"/>
      <c r="V16" s="52"/>
      <c r="W16" s="52"/>
      <c r="X16" s="52"/>
      <c r="Y16" s="52"/>
      <c r="Z16" s="52"/>
      <c r="AA16" s="42"/>
      <c r="AB16" s="52"/>
      <c r="AC16" s="52"/>
      <c r="AD16" s="52"/>
      <c r="AE16" s="52"/>
      <c r="AF16" s="52"/>
      <c r="AG16" s="52" t="s">
        <v>58</v>
      </c>
      <c r="AH16" s="84">
        <f t="shared" si="1"/>
        <v>0</v>
      </c>
      <c r="AI16" s="107">
        <f>AH16/5625</f>
        <v>0</v>
      </c>
      <c r="AJ16" s="109"/>
      <c r="AK16" s="111">
        <f t="shared" si="2"/>
        <v>0</v>
      </c>
      <c r="AL16" s="38"/>
      <c r="AM16" s="54" t="s">
        <v>22</v>
      </c>
      <c r="AN16" s="39">
        <f t="shared" si="0"/>
        <v>0</v>
      </c>
      <c r="AO16" s="29"/>
    </row>
    <row r="17" spans="1:41" s="11" customFormat="1" ht="18" customHeight="1" x14ac:dyDescent="0.2">
      <c r="A17" s="40">
        <v>13</v>
      </c>
      <c r="B17" s="52" t="s">
        <v>32</v>
      </c>
      <c r="C17" s="52"/>
      <c r="D17" s="52"/>
      <c r="E17" s="52"/>
      <c r="F17" s="42"/>
      <c r="G17" s="52"/>
      <c r="H17" s="52"/>
      <c r="I17" s="52"/>
      <c r="J17" s="52"/>
      <c r="K17" s="52"/>
      <c r="L17" s="52"/>
      <c r="M17" s="42"/>
      <c r="N17" s="52"/>
      <c r="O17" s="52"/>
      <c r="P17" s="52"/>
      <c r="Q17" s="52"/>
      <c r="R17" s="52"/>
      <c r="S17" s="52"/>
      <c r="T17" s="42"/>
      <c r="U17" s="52"/>
      <c r="V17" s="52"/>
      <c r="W17" s="52"/>
      <c r="X17" s="52"/>
      <c r="Y17" s="52"/>
      <c r="Z17" s="52"/>
      <c r="AA17" s="42"/>
      <c r="AB17" s="52"/>
      <c r="AC17" s="52"/>
      <c r="AD17" s="52"/>
      <c r="AE17" s="52"/>
      <c r="AF17" s="52"/>
      <c r="AG17" s="52"/>
      <c r="AH17" s="84">
        <f t="shared" si="1"/>
        <v>0</v>
      </c>
      <c r="AI17" s="107">
        <f>AH17/5625</f>
        <v>0</v>
      </c>
      <c r="AJ17" s="109"/>
      <c r="AK17" s="111">
        <f t="shared" si="2"/>
        <v>0</v>
      </c>
      <c r="AL17" s="38"/>
      <c r="AM17" s="54" t="s">
        <v>24</v>
      </c>
      <c r="AN17" s="39">
        <f t="shared" si="0"/>
        <v>0</v>
      </c>
      <c r="AO17" s="29"/>
    </row>
    <row r="18" spans="1:41" s="11" customFormat="1" ht="18" customHeight="1" x14ac:dyDescent="0.2">
      <c r="A18" s="40">
        <v>14</v>
      </c>
      <c r="B18" s="41" t="s">
        <v>6</v>
      </c>
      <c r="C18" s="41"/>
      <c r="D18" s="41"/>
      <c r="E18" s="41"/>
      <c r="F18" s="42"/>
      <c r="G18" s="41"/>
      <c r="H18" s="41"/>
      <c r="I18" s="41"/>
      <c r="J18" s="41"/>
      <c r="K18" s="41"/>
      <c r="L18" s="41"/>
      <c r="M18" s="42"/>
      <c r="N18" s="41"/>
      <c r="O18" s="41"/>
      <c r="P18" s="41"/>
      <c r="Q18" s="41"/>
      <c r="R18" s="41"/>
      <c r="S18" s="41"/>
      <c r="T18" s="42"/>
      <c r="U18" s="41"/>
      <c r="V18" s="41"/>
      <c r="W18" s="41"/>
      <c r="X18" s="41"/>
      <c r="Y18" s="41"/>
      <c r="Z18" s="41"/>
      <c r="AA18" s="42"/>
      <c r="AB18" s="41"/>
      <c r="AC18" s="41"/>
      <c r="AD18" s="41"/>
      <c r="AE18" s="41"/>
      <c r="AF18" s="41"/>
      <c r="AG18" s="41"/>
      <c r="AH18" s="84">
        <f t="shared" si="1"/>
        <v>0</v>
      </c>
      <c r="AI18" s="107">
        <f>AH18/15000</f>
        <v>0</v>
      </c>
      <c r="AJ18" s="110">
        <v>1590000</v>
      </c>
      <c r="AK18" s="111">
        <f t="shared" si="2"/>
        <v>1590000</v>
      </c>
      <c r="AL18" s="38"/>
      <c r="AM18" s="54" t="s">
        <v>26</v>
      </c>
      <c r="AN18" s="39">
        <f t="shared" si="0"/>
        <v>0</v>
      </c>
      <c r="AO18" s="29"/>
    </row>
    <row r="19" spans="1:41" s="11" customFormat="1" ht="18" customHeight="1" x14ac:dyDescent="0.2">
      <c r="A19" s="40">
        <v>15</v>
      </c>
      <c r="B19" s="41" t="s">
        <v>7</v>
      </c>
      <c r="C19" s="41"/>
      <c r="D19" s="41"/>
      <c r="E19" s="41"/>
      <c r="F19" s="42"/>
      <c r="G19" s="41"/>
      <c r="H19" s="41"/>
      <c r="I19" s="41"/>
      <c r="J19" s="41"/>
      <c r="K19" s="41"/>
      <c r="L19" s="41"/>
      <c r="M19" s="42"/>
      <c r="N19" s="41"/>
      <c r="O19" s="41"/>
      <c r="P19" s="41"/>
      <c r="Q19" s="41"/>
      <c r="R19" s="41"/>
      <c r="S19" s="41"/>
      <c r="T19" s="42"/>
      <c r="U19" s="41"/>
      <c r="V19" s="41"/>
      <c r="W19" s="41"/>
      <c r="X19" s="41"/>
      <c r="Y19" s="41"/>
      <c r="Z19" s="41"/>
      <c r="AA19" s="42"/>
      <c r="AB19" s="41"/>
      <c r="AC19" s="41"/>
      <c r="AD19" s="41"/>
      <c r="AE19" s="41"/>
      <c r="AF19" s="41"/>
      <c r="AG19" s="41"/>
      <c r="AH19" s="84">
        <f>SUM(C19:AG19)</f>
        <v>0</v>
      </c>
      <c r="AI19" s="107">
        <f>AH19/12500</f>
        <v>0</v>
      </c>
      <c r="AJ19" s="110">
        <v>1200000</v>
      </c>
      <c r="AK19" s="111">
        <f t="shared" si="2"/>
        <v>1200000</v>
      </c>
      <c r="AL19" s="38"/>
      <c r="AM19" s="58" t="s">
        <v>28</v>
      </c>
      <c r="AN19" s="39">
        <f t="shared" si="0"/>
        <v>0</v>
      </c>
      <c r="AO19" s="29"/>
    </row>
    <row r="20" spans="1:41" s="11" customFormat="1" ht="18" customHeight="1" x14ac:dyDescent="0.2">
      <c r="A20" s="40">
        <v>16</v>
      </c>
      <c r="B20" s="41" t="s">
        <v>8</v>
      </c>
      <c r="C20" s="41"/>
      <c r="D20" s="41"/>
      <c r="E20" s="41"/>
      <c r="F20" s="42"/>
      <c r="G20" s="41"/>
      <c r="H20" s="41"/>
      <c r="I20" s="41"/>
      <c r="J20" s="41"/>
      <c r="K20" s="41"/>
      <c r="L20" s="41"/>
      <c r="M20" s="42"/>
      <c r="N20" s="41"/>
      <c r="O20" s="41"/>
      <c r="P20" s="41"/>
      <c r="Q20" s="41"/>
      <c r="R20" s="41"/>
      <c r="S20" s="41"/>
      <c r="T20" s="42"/>
      <c r="U20" s="41"/>
      <c r="V20" s="41"/>
      <c r="W20" s="41"/>
      <c r="X20" s="41"/>
      <c r="Y20" s="41"/>
      <c r="Z20" s="41"/>
      <c r="AA20" s="42"/>
      <c r="AB20" s="41"/>
      <c r="AC20" s="41"/>
      <c r="AD20" s="41"/>
      <c r="AE20" s="41"/>
      <c r="AF20" s="41"/>
      <c r="AG20" s="41"/>
      <c r="AH20" s="84">
        <f t="shared" si="1"/>
        <v>0</v>
      </c>
      <c r="AI20" s="107">
        <f>AH20/6000</f>
        <v>0</v>
      </c>
      <c r="AJ20" s="110">
        <v>29664000</v>
      </c>
      <c r="AK20" s="111">
        <f t="shared" si="2"/>
        <v>29664000</v>
      </c>
      <c r="AL20" s="38"/>
      <c r="AM20" s="58" t="s">
        <v>30</v>
      </c>
      <c r="AN20" s="39">
        <f t="shared" si="0"/>
        <v>0</v>
      </c>
      <c r="AO20" s="29"/>
    </row>
    <row r="21" spans="1:41" s="11" customFormat="1" ht="18" customHeight="1" x14ac:dyDescent="0.2">
      <c r="A21" s="40">
        <v>17</v>
      </c>
      <c r="B21" s="41" t="s">
        <v>9</v>
      </c>
      <c r="C21" s="41"/>
      <c r="D21" s="41"/>
      <c r="E21" s="41"/>
      <c r="F21" s="42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41"/>
      <c r="T21" s="42"/>
      <c r="U21" s="41"/>
      <c r="V21" s="41"/>
      <c r="W21" s="41"/>
      <c r="X21" s="41"/>
      <c r="Y21" s="41"/>
      <c r="Z21" s="41"/>
      <c r="AA21" s="42"/>
      <c r="AB21" s="41"/>
      <c r="AC21" s="41"/>
      <c r="AD21" s="41"/>
      <c r="AE21" s="41"/>
      <c r="AF21" s="41"/>
      <c r="AG21" s="41"/>
      <c r="AH21" s="84">
        <f t="shared" si="1"/>
        <v>0</v>
      </c>
      <c r="AI21" s="107">
        <f>AH21/3000</f>
        <v>0</v>
      </c>
      <c r="AJ21" s="110">
        <v>28908000</v>
      </c>
      <c r="AK21" s="111">
        <f t="shared" si="2"/>
        <v>28908000</v>
      </c>
      <c r="AL21" s="38"/>
      <c r="AM21" s="58" t="s">
        <v>31</v>
      </c>
      <c r="AN21" s="39">
        <f t="shared" si="0"/>
        <v>0</v>
      </c>
      <c r="AO21" s="29"/>
    </row>
    <row r="22" spans="1:41" s="11" customFormat="1" ht="18" customHeight="1" thickBot="1" x14ac:dyDescent="0.25">
      <c r="A22" s="40">
        <v>18</v>
      </c>
      <c r="B22" s="59" t="s">
        <v>10</v>
      </c>
      <c r="C22" s="59"/>
      <c r="D22" s="59"/>
      <c r="E22" s="59"/>
      <c r="F22" s="60"/>
      <c r="G22" s="61"/>
      <c r="H22" s="59"/>
      <c r="I22" s="59"/>
      <c r="J22" s="59"/>
      <c r="K22" s="59"/>
      <c r="L22" s="59"/>
      <c r="M22" s="60"/>
      <c r="N22" s="59"/>
      <c r="O22" s="59"/>
      <c r="P22" s="59"/>
      <c r="Q22" s="59"/>
      <c r="R22" s="59"/>
      <c r="S22" s="59"/>
      <c r="T22" s="60"/>
      <c r="U22" s="59"/>
      <c r="V22" s="59"/>
      <c r="W22" s="59"/>
      <c r="X22" s="59"/>
      <c r="Y22" s="59"/>
      <c r="Z22" s="59"/>
      <c r="AA22" s="60"/>
      <c r="AB22" s="59"/>
      <c r="AC22" s="59"/>
      <c r="AD22" s="59"/>
      <c r="AE22" s="59"/>
      <c r="AF22" s="59"/>
      <c r="AG22" s="59"/>
      <c r="AH22" s="83">
        <f t="shared" si="1"/>
        <v>0</v>
      </c>
      <c r="AI22" s="107">
        <f>AH22/1000</f>
        <v>0</v>
      </c>
      <c r="AJ22" s="110">
        <v>1645000</v>
      </c>
      <c r="AK22" s="111">
        <f t="shared" si="2"/>
        <v>1645000</v>
      </c>
      <c r="AL22" s="38"/>
      <c r="AM22" s="58" t="s">
        <v>32</v>
      </c>
      <c r="AN22" s="39">
        <f t="shared" si="0"/>
        <v>0</v>
      </c>
      <c r="AO22" s="29"/>
    </row>
    <row r="23" spans="1:41" s="67" customFormat="1" ht="18" customHeight="1" x14ac:dyDescent="0.25">
      <c r="A23" s="63"/>
      <c r="B23" s="64" t="s">
        <v>11</v>
      </c>
      <c r="C23" s="65">
        <f t="shared" ref="C23:AJ23" si="3">SUM(C5:C22)</f>
        <v>40430000</v>
      </c>
      <c r="D23" s="65">
        <f t="shared" si="3"/>
        <v>51673000</v>
      </c>
      <c r="E23" s="65">
        <f t="shared" si="3"/>
        <v>60021000</v>
      </c>
      <c r="F23" s="65">
        <f t="shared" si="3"/>
        <v>0</v>
      </c>
      <c r="G23" s="65">
        <f t="shared" si="3"/>
        <v>8747500</v>
      </c>
      <c r="H23" s="65">
        <f t="shared" si="3"/>
        <v>8153500</v>
      </c>
      <c r="I23" s="65">
        <f t="shared" si="3"/>
        <v>8313500</v>
      </c>
      <c r="J23" s="65">
        <f t="shared" si="3"/>
        <v>8069500</v>
      </c>
      <c r="K23" s="65">
        <f t="shared" si="3"/>
        <v>39008000</v>
      </c>
      <c r="L23" s="65">
        <f t="shared" si="3"/>
        <v>55622500</v>
      </c>
      <c r="M23" s="65">
        <f t="shared" si="3"/>
        <v>0</v>
      </c>
      <c r="N23" s="65">
        <f t="shared" si="3"/>
        <v>8704500</v>
      </c>
      <c r="O23" s="65">
        <f t="shared" si="3"/>
        <v>8394000</v>
      </c>
      <c r="P23" s="65">
        <f t="shared" si="3"/>
        <v>53089000</v>
      </c>
      <c r="Q23" s="65">
        <f t="shared" si="3"/>
        <v>30178500</v>
      </c>
      <c r="R23" s="65">
        <f t="shared" si="3"/>
        <v>42936500</v>
      </c>
      <c r="S23" s="65">
        <f t="shared" si="3"/>
        <v>52266500</v>
      </c>
      <c r="T23" s="65">
        <f t="shared" si="3"/>
        <v>0</v>
      </c>
      <c r="U23" s="65">
        <f t="shared" si="3"/>
        <v>7566000</v>
      </c>
      <c r="V23" s="65">
        <f t="shared" si="3"/>
        <v>5707000</v>
      </c>
      <c r="W23" s="65">
        <f t="shared" si="3"/>
        <v>6181500</v>
      </c>
      <c r="X23" s="65">
        <f t="shared" si="3"/>
        <v>5106000</v>
      </c>
      <c r="Y23" s="65">
        <f t="shared" si="3"/>
        <v>26495500</v>
      </c>
      <c r="Z23" s="65">
        <f>SUM(Z5:Z22)</f>
        <v>32414500</v>
      </c>
      <c r="AA23" s="65">
        <f t="shared" si="3"/>
        <v>0</v>
      </c>
      <c r="AB23" s="65">
        <f t="shared" si="3"/>
        <v>5326500</v>
      </c>
      <c r="AC23" s="65">
        <f t="shared" si="3"/>
        <v>28025000</v>
      </c>
      <c r="AD23" s="65">
        <f t="shared" si="3"/>
        <v>35384500</v>
      </c>
      <c r="AE23" s="65">
        <f t="shared" si="3"/>
        <v>9321500</v>
      </c>
      <c r="AF23" s="65">
        <f t="shared" si="3"/>
        <v>38445000</v>
      </c>
      <c r="AG23" s="65">
        <f t="shared" si="3"/>
        <v>62124500</v>
      </c>
      <c r="AH23" s="65">
        <f t="shared" si="3"/>
        <v>737705000</v>
      </c>
      <c r="AI23" s="65"/>
      <c r="AJ23" s="65">
        <f t="shared" si="3"/>
        <v>634651000</v>
      </c>
      <c r="AK23" s="108"/>
      <c r="AL23" s="38"/>
      <c r="AM23" s="66" t="s">
        <v>11</v>
      </c>
      <c r="AN23" s="39">
        <f t="shared" si="0"/>
        <v>737705000</v>
      </c>
    </row>
    <row r="24" spans="1:41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6"/>
      <c r="AI24" s="6"/>
      <c r="AJ24" s="6"/>
      <c r="AK24" s="7"/>
      <c r="AL24" s="28"/>
      <c r="AM24" s="69"/>
      <c r="AN24" s="29"/>
      <c r="AO24" s="39"/>
    </row>
    <row r="25" spans="1:41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6"/>
      <c r="AI25" s="6"/>
      <c r="AJ25" s="6"/>
      <c r="AK25" s="7"/>
      <c r="AL25" s="28"/>
      <c r="AM25" s="69"/>
      <c r="AN25" s="29"/>
      <c r="AO25" s="39"/>
    </row>
    <row r="26" spans="1:41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6"/>
      <c r="AI26" s="6"/>
      <c r="AJ26" s="6"/>
      <c r="AK26" s="37"/>
      <c r="AL26" s="28"/>
      <c r="AM26" s="69"/>
      <c r="AN26" s="29"/>
      <c r="AO26" s="30"/>
    </row>
    <row r="27" spans="1:41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6"/>
      <c r="AI27" s="6"/>
      <c r="AJ27" s="6"/>
      <c r="AK27" s="14"/>
      <c r="AL27" s="28"/>
      <c r="AM27" s="70" t="s">
        <v>13</v>
      </c>
      <c r="AN27" s="29"/>
      <c r="AO27" s="30"/>
    </row>
    <row r="28" spans="1:41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6">
        <v>31</v>
      </c>
      <c r="AH28" s="87" t="s">
        <v>1</v>
      </c>
      <c r="AI28" s="20"/>
      <c r="AJ28" s="20"/>
      <c r="AK28" s="21"/>
      <c r="AL28" s="28"/>
      <c r="AM28" s="71" t="s">
        <v>14</v>
      </c>
      <c r="AN28" s="72"/>
      <c r="AO28" s="30"/>
    </row>
    <row r="29" spans="1:41" s="25" customFormat="1" ht="18" customHeight="1" x14ac:dyDescent="0.2">
      <c r="B29" s="92" t="s">
        <v>2</v>
      </c>
      <c r="C29" s="92">
        <f t="shared" ref="C29:AG29" si="4">C5/4000</f>
        <v>6256</v>
      </c>
      <c r="D29" s="92">
        <f t="shared" si="4"/>
        <v>7520</v>
      </c>
      <c r="E29" s="92">
        <f t="shared" si="4"/>
        <v>8854</v>
      </c>
      <c r="F29" s="92">
        <f t="shared" si="4"/>
        <v>0</v>
      </c>
      <c r="G29" s="92">
        <f t="shared" si="4"/>
        <v>1747</v>
      </c>
      <c r="H29" s="92">
        <f t="shared" si="4"/>
        <v>1585</v>
      </c>
      <c r="I29" s="92">
        <f t="shared" si="4"/>
        <v>1593</v>
      </c>
      <c r="J29" s="92">
        <f t="shared" si="4"/>
        <v>1592</v>
      </c>
      <c r="K29" s="92">
        <f t="shared" si="4"/>
        <v>5992</v>
      </c>
      <c r="L29" s="92">
        <f t="shared" si="4"/>
        <v>7959</v>
      </c>
      <c r="M29" s="92">
        <f t="shared" si="4"/>
        <v>0</v>
      </c>
      <c r="N29" s="92">
        <f t="shared" si="4"/>
        <v>1783</v>
      </c>
      <c r="O29" s="92">
        <f t="shared" si="4"/>
        <v>1673</v>
      </c>
      <c r="P29" s="92">
        <f t="shared" si="4"/>
        <v>7796</v>
      </c>
      <c r="Q29" s="92">
        <f t="shared" si="4"/>
        <v>4607</v>
      </c>
      <c r="R29" s="92">
        <f t="shared" si="4"/>
        <v>6351</v>
      </c>
      <c r="S29" s="92">
        <f t="shared" si="4"/>
        <v>7773</v>
      </c>
      <c r="T29" s="92">
        <f t="shared" si="4"/>
        <v>0</v>
      </c>
      <c r="U29" s="92">
        <f t="shared" si="4"/>
        <v>1492</v>
      </c>
      <c r="V29" s="92">
        <f t="shared" si="4"/>
        <v>1141</v>
      </c>
      <c r="W29" s="92">
        <f t="shared" si="4"/>
        <v>1205</v>
      </c>
      <c r="X29" s="92">
        <f t="shared" si="4"/>
        <v>1053</v>
      </c>
      <c r="Y29" s="92">
        <f t="shared" si="4"/>
        <v>4309</v>
      </c>
      <c r="Z29" s="92">
        <f>Z5/4000</f>
        <v>5106</v>
      </c>
      <c r="AA29" s="92">
        <f t="shared" si="4"/>
        <v>0</v>
      </c>
      <c r="AB29" s="92">
        <f t="shared" si="4"/>
        <v>1027</v>
      </c>
      <c r="AC29" s="92">
        <f t="shared" si="4"/>
        <v>4403</v>
      </c>
      <c r="AD29" s="92">
        <f t="shared" si="4"/>
        <v>5349</v>
      </c>
      <c r="AE29" s="92">
        <f t="shared" si="4"/>
        <v>1740</v>
      </c>
      <c r="AF29" s="92">
        <f t="shared" si="4"/>
        <v>5808</v>
      </c>
      <c r="AG29" s="92">
        <f t="shared" si="4"/>
        <v>8637</v>
      </c>
      <c r="AH29" s="93">
        <f>SUM(C29:AG29)</f>
        <v>114351</v>
      </c>
      <c r="AI29" s="27"/>
      <c r="AJ29" s="27"/>
      <c r="AK29" s="73"/>
      <c r="AL29" s="28"/>
      <c r="AM29" s="74" t="s">
        <v>2</v>
      </c>
      <c r="AN29" s="75">
        <f>AH29</f>
        <v>114351</v>
      </c>
      <c r="AO29" s="30"/>
    </row>
    <row r="30" spans="1:41" s="25" customFormat="1" ht="18" customHeight="1" x14ac:dyDescent="0.2">
      <c r="B30" s="92" t="s">
        <v>3</v>
      </c>
      <c r="C30" s="92">
        <f t="shared" ref="C30:AG31" si="5">C6/3000</f>
        <v>1882</v>
      </c>
      <c r="D30" s="92">
        <f t="shared" si="5"/>
        <v>2401</v>
      </c>
      <c r="E30" s="92">
        <f t="shared" si="5"/>
        <v>2635</v>
      </c>
      <c r="F30" s="92">
        <f t="shared" si="5"/>
        <v>0</v>
      </c>
      <c r="G30" s="92">
        <f t="shared" si="5"/>
        <v>342</v>
      </c>
      <c r="H30" s="92">
        <f t="shared" si="5"/>
        <v>324</v>
      </c>
      <c r="I30" s="92">
        <f t="shared" si="5"/>
        <v>354</v>
      </c>
      <c r="J30" s="92">
        <f t="shared" si="5"/>
        <v>353</v>
      </c>
      <c r="K30" s="92">
        <f t="shared" si="5"/>
        <v>1640</v>
      </c>
      <c r="L30" s="92">
        <f t="shared" si="5"/>
        <v>2163</v>
      </c>
      <c r="M30" s="92">
        <f t="shared" si="5"/>
        <v>0</v>
      </c>
      <c r="N30" s="92">
        <f t="shared" si="5"/>
        <v>270</v>
      </c>
      <c r="O30" s="92">
        <f t="shared" si="5"/>
        <v>290</v>
      </c>
      <c r="P30" s="92">
        <f t="shared" si="5"/>
        <v>2425</v>
      </c>
      <c r="Q30" s="92">
        <f t="shared" si="5"/>
        <v>1556</v>
      </c>
      <c r="R30" s="92">
        <f t="shared" si="5"/>
        <v>2100</v>
      </c>
      <c r="S30" s="92">
        <f t="shared" si="5"/>
        <v>2354</v>
      </c>
      <c r="T30" s="92">
        <f t="shared" si="5"/>
        <v>0</v>
      </c>
      <c r="U30" s="92">
        <f t="shared" si="5"/>
        <v>271</v>
      </c>
      <c r="V30" s="92">
        <f t="shared" si="5"/>
        <v>197</v>
      </c>
      <c r="W30" s="92">
        <f t="shared" si="5"/>
        <v>218</v>
      </c>
      <c r="X30" s="92">
        <f t="shared" si="5"/>
        <v>179</v>
      </c>
      <c r="Y30" s="92">
        <f t="shared" si="5"/>
        <v>1049</v>
      </c>
      <c r="Z30" s="92">
        <f t="shared" si="5"/>
        <v>1336</v>
      </c>
      <c r="AA30" s="92">
        <f t="shared" si="5"/>
        <v>0</v>
      </c>
      <c r="AB30" s="92">
        <f t="shared" si="5"/>
        <v>213</v>
      </c>
      <c r="AC30" s="92">
        <f t="shared" si="5"/>
        <v>1261</v>
      </c>
      <c r="AD30" s="92">
        <f t="shared" si="5"/>
        <v>1857</v>
      </c>
      <c r="AE30" s="92">
        <f t="shared" si="5"/>
        <v>385</v>
      </c>
      <c r="AF30" s="92">
        <f t="shared" si="5"/>
        <v>1796</v>
      </c>
      <c r="AG30" s="92">
        <f t="shared" si="5"/>
        <v>2643</v>
      </c>
      <c r="AH30" s="93">
        <f t="shared" ref="AH30:AH46" si="6">SUM(C30:AG30)</f>
        <v>32494</v>
      </c>
      <c r="AI30" s="27"/>
      <c r="AJ30" s="27"/>
      <c r="AK30" s="73"/>
      <c r="AL30" s="28"/>
      <c r="AM30" s="74" t="s">
        <v>3</v>
      </c>
      <c r="AN30" s="75">
        <f t="shared" ref="AN30:AN40" si="7">AH30</f>
        <v>32494</v>
      </c>
      <c r="AO30" s="76"/>
    </row>
    <row r="31" spans="1:41" s="25" customFormat="1" ht="18" customHeight="1" x14ac:dyDescent="0.2">
      <c r="B31" s="92" t="s">
        <v>4</v>
      </c>
      <c r="C31" s="92">
        <f t="shared" si="5"/>
        <v>0</v>
      </c>
      <c r="D31" s="92">
        <f t="shared" si="5"/>
        <v>0</v>
      </c>
      <c r="E31" s="92">
        <f t="shared" si="5"/>
        <v>0</v>
      </c>
      <c r="F31" s="92">
        <f t="shared" si="5"/>
        <v>0</v>
      </c>
      <c r="G31" s="92">
        <f t="shared" si="5"/>
        <v>0</v>
      </c>
      <c r="H31" s="92">
        <f t="shared" si="5"/>
        <v>0</v>
      </c>
      <c r="I31" s="92">
        <f t="shared" si="5"/>
        <v>0</v>
      </c>
      <c r="J31" s="92">
        <f t="shared" si="5"/>
        <v>0</v>
      </c>
      <c r="K31" s="92">
        <f t="shared" si="5"/>
        <v>0</v>
      </c>
      <c r="L31" s="92">
        <f t="shared" si="5"/>
        <v>0</v>
      </c>
      <c r="M31" s="92">
        <f t="shared" si="5"/>
        <v>0</v>
      </c>
      <c r="N31" s="92">
        <f t="shared" si="5"/>
        <v>0</v>
      </c>
      <c r="O31" s="92">
        <f t="shared" si="5"/>
        <v>0</v>
      </c>
      <c r="P31" s="92">
        <f t="shared" si="5"/>
        <v>0</v>
      </c>
      <c r="Q31" s="92">
        <f t="shared" si="5"/>
        <v>0</v>
      </c>
      <c r="R31" s="92">
        <f t="shared" si="5"/>
        <v>0</v>
      </c>
      <c r="S31" s="92">
        <f t="shared" si="5"/>
        <v>0</v>
      </c>
      <c r="T31" s="92">
        <f t="shared" si="5"/>
        <v>0</v>
      </c>
      <c r="U31" s="92">
        <f t="shared" si="5"/>
        <v>0</v>
      </c>
      <c r="V31" s="92">
        <f t="shared" si="5"/>
        <v>0</v>
      </c>
      <c r="W31" s="92">
        <f t="shared" si="5"/>
        <v>0</v>
      </c>
      <c r="X31" s="92">
        <f t="shared" si="5"/>
        <v>0</v>
      </c>
      <c r="Y31" s="92">
        <f t="shared" si="5"/>
        <v>0</v>
      </c>
      <c r="Z31" s="92">
        <f t="shared" si="5"/>
        <v>0</v>
      </c>
      <c r="AA31" s="92">
        <f t="shared" si="5"/>
        <v>0</v>
      </c>
      <c r="AB31" s="92">
        <f t="shared" si="5"/>
        <v>0</v>
      </c>
      <c r="AC31" s="92">
        <f t="shared" si="5"/>
        <v>0</v>
      </c>
      <c r="AD31" s="92">
        <f t="shared" si="5"/>
        <v>0</v>
      </c>
      <c r="AE31" s="92">
        <f t="shared" si="5"/>
        <v>0</v>
      </c>
      <c r="AF31" s="92">
        <f t="shared" si="5"/>
        <v>0</v>
      </c>
      <c r="AG31" s="92">
        <f t="shared" si="5"/>
        <v>0</v>
      </c>
      <c r="AH31" s="93">
        <f t="shared" si="6"/>
        <v>0</v>
      </c>
      <c r="AI31" s="27"/>
      <c r="AJ31" s="27"/>
      <c r="AK31" s="73"/>
      <c r="AL31" s="28"/>
      <c r="AM31" s="3" t="s">
        <v>4</v>
      </c>
      <c r="AN31" s="75">
        <f t="shared" si="7"/>
        <v>0</v>
      </c>
      <c r="AO31" s="30"/>
    </row>
    <row r="32" spans="1:41" s="25" customFormat="1" ht="18" customHeight="1" x14ac:dyDescent="0.2">
      <c r="B32" s="92" t="s">
        <v>5</v>
      </c>
      <c r="C32" s="92">
        <f t="shared" ref="C32:AG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2">
        <f t="shared" si="8"/>
        <v>0</v>
      </c>
      <c r="AF32" s="92">
        <f t="shared" si="8"/>
        <v>0</v>
      </c>
      <c r="AG32" s="92">
        <f t="shared" si="8"/>
        <v>0</v>
      </c>
      <c r="AH32" s="93">
        <f t="shared" si="6"/>
        <v>0</v>
      </c>
      <c r="AI32" s="27"/>
      <c r="AJ32" s="27"/>
      <c r="AK32" s="73"/>
      <c r="AL32" s="28"/>
      <c r="AM32" s="3" t="s">
        <v>5</v>
      </c>
      <c r="AN32" s="75">
        <f t="shared" si="7"/>
        <v>0</v>
      </c>
      <c r="AO32" s="30"/>
    </row>
    <row r="33" spans="2:41" s="25" customFormat="1" ht="18" customHeight="1" x14ac:dyDescent="0.2">
      <c r="B33" s="92" t="s">
        <v>33</v>
      </c>
      <c r="C33" s="92">
        <f>C9/2500</f>
        <v>271</v>
      </c>
      <c r="D33" s="92">
        <f t="shared" ref="D33:AG33" si="9">D9/2500</f>
        <v>332</v>
      </c>
      <c r="E33" s="92">
        <f t="shared" si="9"/>
        <v>530</v>
      </c>
      <c r="F33" s="92">
        <f t="shared" si="9"/>
        <v>0</v>
      </c>
      <c r="G33" s="92">
        <f t="shared" si="9"/>
        <v>15</v>
      </c>
      <c r="H33" s="92">
        <f t="shared" si="9"/>
        <v>63</v>
      </c>
      <c r="I33" s="92">
        <f t="shared" si="9"/>
        <v>35</v>
      </c>
      <c r="J33" s="92">
        <f t="shared" si="9"/>
        <v>17</v>
      </c>
      <c r="K33" s="92">
        <f t="shared" si="9"/>
        <v>265</v>
      </c>
      <c r="L33" s="92">
        <f t="shared" si="9"/>
        <v>400</v>
      </c>
      <c r="M33" s="92">
        <f t="shared" si="9"/>
        <v>0</v>
      </c>
      <c r="N33" s="92">
        <f t="shared" si="9"/>
        <v>41</v>
      </c>
      <c r="O33" s="92">
        <f t="shared" si="9"/>
        <v>16</v>
      </c>
      <c r="P33" s="92">
        <f t="shared" si="9"/>
        <v>422</v>
      </c>
      <c r="Q33" s="92">
        <f t="shared" si="9"/>
        <v>157</v>
      </c>
      <c r="R33" s="92">
        <f t="shared" si="9"/>
        <v>275</v>
      </c>
      <c r="S33" s="92">
        <f t="shared" si="9"/>
        <v>440</v>
      </c>
      <c r="T33" s="92">
        <f t="shared" si="9"/>
        <v>0</v>
      </c>
      <c r="U33" s="92">
        <f t="shared" si="9"/>
        <v>2</v>
      </c>
      <c r="V33" s="92">
        <f t="shared" si="9"/>
        <v>12</v>
      </c>
      <c r="W33" s="92">
        <f t="shared" si="9"/>
        <v>19</v>
      </c>
      <c r="X33" s="92">
        <f t="shared" si="9"/>
        <v>6</v>
      </c>
      <c r="Y33" s="92">
        <f t="shared" si="9"/>
        <v>189</v>
      </c>
      <c r="Z33" s="92">
        <f t="shared" si="9"/>
        <v>250</v>
      </c>
      <c r="AA33" s="92">
        <f t="shared" si="9"/>
        <v>0</v>
      </c>
      <c r="AB33" s="92">
        <f t="shared" si="9"/>
        <v>47</v>
      </c>
      <c r="AC33" s="92">
        <f t="shared" si="9"/>
        <v>165</v>
      </c>
      <c r="AD33" s="92">
        <f t="shared" si="9"/>
        <v>208</v>
      </c>
      <c r="AE33" s="92">
        <f t="shared" si="9"/>
        <v>17</v>
      </c>
      <c r="AF33" s="92">
        <f t="shared" si="9"/>
        <v>216</v>
      </c>
      <c r="AG33" s="92">
        <f t="shared" si="9"/>
        <v>506</v>
      </c>
      <c r="AH33" s="93">
        <f t="shared" si="6"/>
        <v>4916</v>
      </c>
      <c r="AI33" s="27"/>
      <c r="AJ33" s="27"/>
      <c r="AK33" s="73"/>
      <c r="AL33" s="28"/>
      <c r="AM33" s="3"/>
      <c r="AN33" s="75"/>
      <c r="AO33" s="30"/>
    </row>
    <row r="34" spans="2:41" s="25" customFormat="1" ht="18" customHeight="1" x14ac:dyDescent="0.2">
      <c r="B34" s="100" t="s">
        <v>21</v>
      </c>
      <c r="C34" s="100">
        <f t="shared" ref="C34:AG35" si="10">C10/6000</f>
        <v>0</v>
      </c>
      <c r="D34" s="100">
        <f t="shared" si="10"/>
        <v>0</v>
      </c>
      <c r="E34" s="100">
        <f t="shared" si="10"/>
        <v>0</v>
      </c>
      <c r="F34" s="100">
        <f t="shared" si="10"/>
        <v>0</v>
      </c>
      <c r="G34" s="100">
        <f t="shared" si="10"/>
        <v>70</v>
      </c>
      <c r="H34" s="100">
        <f t="shared" si="10"/>
        <v>66</v>
      </c>
      <c r="I34" s="100">
        <f t="shared" si="10"/>
        <v>83</v>
      </c>
      <c r="J34" s="100">
        <f t="shared" si="10"/>
        <v>65</v>
      </c>
      <c r="K34" s="100">
        <f t="shared" si="10"/>
        <v>0</v>
      </c>
      <c r="L34" s="100">
        <f t="shared" si="10"/>
        <v>0</v>
      </c>
      <c r="M34" s="100">
        <f t="shared" si="10"/>
        <v>0</v>
      </c>
      <c r="N34" s="100">
        <f t="shared" si="10"/>
        <v>63</v>
      </c>
      <c r="O34" s="100">
        <f t="shared" si="10"/>
        <v>76</v>
      </c>
      <c r="P34" s="100">
        <f t="shared" si="10"/>
        <v>0</v>
      </c>
      <c r="Q34" s="100">
        <f t="shared" si="10"/>
        <v>0</v>
      </c>
      <c r="R34" s="100">
        <f t="shared" si="10"/>
        <v>0</v>
      </c>
      <c r="S34" s="100">
        <f t="shared" si="10"/>
        <v>0</v>
      </c>
      <c r="T34" s="100">
        <f t="shared" si="10"/>
        <v>0</v>
      </c>
      <c r="U34" s="100">
        <f t="shared" si="10"/>
        <v>71</v>
      </c>
      <c r="V34" s="100">
        <f t="shared" si="10"/>
        <v>53</v>
      </c>
      <c r="W34" s="100">
        <f t="shared" si="10"/>
        <v>66</v>
      </c>
      <c r="X34" s="100">
        <f t="shared" si="10"/>
        <v>37</v>
      </c>
      <c r="Y34" s="100">
        <f t="shared" si="10"/>
        <v>0</v>
      </c>
      <c r="Z34" s="100">
        <f t="shared" si="10"/>
        <v>0</v>
      </c>
      <c r="AA34" s="100">
        <f t="shared" si="10"/>
        <v>0</v>
      </c>
      <c r="AB34" s="100">
        <f t="shared" si="10"/>
        <v>44</v>
      </c>
      <c r="AC34" s="100">
        <f t="shared" si="10"/>
        <v>0</v>
      </c>
      <c r="AD34" s="100">
        <f t="shared" si="10"/>
        <v>0</v>
      </c>
      <c r="AE34" s="100">
        <f t="shared" si="10"/>
        <v>123</v>
      </c>
      <c r="AF34" s="100">
        <f t="shared" si="10"/>
        <v>0</v>
      </c>
      <c r="AG34" s="100">
        <f t="shared" si="10"/>
        <v>0</v>
      </c>
      <c r="AH34" s="93">
        <f t="shared" si="6"/>
        <v>817</v>
      </c>
      <c r="AI34" s="27"/>
      <c r="AJ34" s="27"/>
      <c r="AK34" s="73"/>
      <c r="AL34" s="28"/>
      <c r="AM34" s="3" t="s">
        <v>10</v>
      </c>
      <c r="AN34" s="75">
        <f t="shared" si="7"/>
        <v>817</v>
      </c>
      <c r="AO34" s="30"/>
    </row>
    <row r="35" spans="2:41" s="25" customFormat="1" ht="18" customHeight="1" thickBot="1" x14ac:dyDescent="0.25">
      <c r="B35" s="100" t="s">
        <v>22</v>
      </c>
      <c r="C35" s="100">
        <f t="shared" si="10"/>
        <v>0</v>
      </c>
      <c r="D35" s="100">
        <f t="shared" si="10"/>
        <v>0</v>
      </c>
      <c r="E35" s="100">
        <f t="shared" si="10"/>
        <v>0</v>
      </c>
      <c r="F35" s="100">
        <f t="shared" si="10"/>
        <v>0</v>
      </c>
      <c r="G35" s="100">
        <f t="shared" si="10"/>
        <v>46</v>
      </c>
      <c r="H35" s="100">
        <f t="shared" si="10"/>
        <v>48</v>
      </c>
      <c r="I35" s="100">
        <f t="shared" si="10"/>
        <v>49</v>
      </c>
      <c r="J35" s="100">
        <f t="shared" si="10"/>
        <v>35</v>
      </c>
      <c r="K35" s="100">
        <f t="shared" si="10"/>
        <v>0</v>
      </c>
      <c r="L35" s="100">
        <f t="shared" si="10"/>
        <v>0</v>
      </c>
      <c r="M35" s="100">
        <f t="shared" si="10"/>
        <v>0</v>
      </c>
      <c r="N35" s="100">
        <f t="shared" si="10"/>
        <v>47</v>
      </c>
      <c r="O35" s="100">
        <f t="shared" si="10"/>
        <v>56</v>
      </c>
      <c r="P35" s="100">
        <f t="shared" si="10"/>
        <v>0</v>
      </c>
      <c r="Q35" s="100">
        <f t="shared" si="10"/>
        <v>0</v>
      </c>
      <c r="R35" s="100">
        <f t="shared" si="10"/>
        <v>0</v>
      </c>
      <c r="S35" s="100">
        <f t="shared" si="10"/>
        <v>0</v>
      </c>
      <c r="T35" s="100">
        <f t="shared" si="10"/>
        <v>0</v>
      </c>
      <c r="U35" s="100">
        <f t="shared" si="10"/>
        <v>59</v>
      </c>
      <c r="V35" s="100">
        <f t="shared" si="10"/>
        <v>34</v>
      </c>
      <c r="W35" s="100">
        <f t="shared" si="10"/>
        <v>44</v>
      </c>
      <c r="X35" s="100">
        <f t="shared" si="10"/>
        <v>20</v>
      </c>
      <c r="Y35" s="100">
        <f t="shared" si="10"/>
        <v>0</v>
      </c>
      <c r="Z35" s="100">
        <f t="shared" si="10"/>
        <v>0</v>
      </c>
      <c r="AA35" s="100">
        <f t="shared" si="10"/>
        <v>0</v>
      </c>
      <c r="AB35" s="100">
        <f t="shared" si="10"/>
        <v>33</v>
      </c>
      <c r="AC35" s="100">
        <f t="shared" si="10"/>
        <v>0</v>
      </c>
      <c r="AD35" s="100">
        <f t="shared" si="10"/>
        <v>0</v>
      </c>
      <c r="AE35" s="100">
        <f t="shared" si="10"/>
        <v>71</v>
      </c>
      <c r="AF35" s="100">
        <f t="shared" si="10"/>
        <v>0</v>
      </c>
      <c r="AG35" s="100">
        <f t="shared" si="10"/>
        <v>0</v>
      </c>
      <c r="AH35" s="93">
        <f t="shared" si="6"/>
        <v>542</v>
      </c>
      <c r="AI35" s="27"/>
      <c r="AJ35" s="27"/>
      <c r="AK35" s="73"/>
      <c r="AL35" s="28"/>
      <c r="AM35" s="77" t="s">
        <v>15</v>
      </c>
      <c r="AN35" s="75">
        <f t="shared" si="7"/>
        <v>542</v>
      </c>
      <c r="AO35" s="30"/>
    </row>
    <row r="36" spans="2:41" s="29" customFormat="1" ht="18" customHeight="1" x14ac:dyDescent="0.2">
      <c r="B36" s="100" t="s">
        <v>24</v>
      </c>
      <c r="C36" s="100">
        <f t="shared" ref="C36:AG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100">
        <f t="shared" si="11"/>
        <v>0</v>
      </c>
      <c r="AF36" s="100">
        <f t="shared" si="11"/>
        <v>0</v>
      </c>
      <c r="AG36" s="100">
        <f t="shared" si="11"/>
        <v>0</v>
      </c>
      <c r="AH36" s="93">
        <f t="shared" si="6"/>
        <v>0</v>
      </c>
      <c r="AI36" s="27"/>
      <c r="AJ36" s="27"/>
      <c r="AK36" s="73"/>
      <c r="AL36" s="28"/>
      <c r="AM36" s="78" t="s">
        <v>34</v>
      </c>
      <c r="AN36" s="75">
        <f t="shared" si="7"/>
        <v>0</v>
      </c>
    </row>
    <row r="37" spans="2:41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100">
        <f t="shared" si="11"/>
        <v>0</v>
      </c>
      <c r="AF37" s="100">
        <f t="shared" si="11"/>
        <v>0</v>
      </c>
      <c r="AG37" s="100">
        <f t="shared" si="11"/>
        <v>0</v>
      </c>
      <c r="AH37" s="93">
        <f t="shared" si="6"/>
        <v>0</v>
      </c>
      <c r="AI37" s="27"/>
      <c r="AJ37" s="27"/>
      <c r="AK37" s="73"/>
      <c r="AL37" s="28"/>
      <c r="AM37" s="79" t="s">
        <v>35</v>
      </c>
      <c r="AN37" s="75">
        <f t="shared" si="7"/>
        <v>0</v>
      </c>
    </row>
    <row r="38" spans="2:41" s="29" customFormat="1" ht="18" customHeight="1" x14ac:dyDescent="0.2">
      <c r="B38" s="104" t="s">
        <v>28</v>
      </c>
      <c r="C38" s="104">
        <f t="shared" ref="C38:AG39" si="12">C14/7500</f>
        <v>717</v>
      </c>
      <c r="D38" s="104">
        <f t="shared" si="12"/>
        <v>1093</v>
      </c>
      <c r="E38" s="104">
        <f t="shared" si="12"/>
        <v>1202</v>
      </c>
      <c r="F38" s="104">
        <f t="shared" si="12"/>
        <v>0</v>
      </c>
      <c r="G38" s="104">
        <f t="shared" si="12"/>
        <v>0</v>
      </c>
      <c r="H38" s="104">
        <f t="shared" si="12"/>
        <v>0</v>
      </c>
      <c r="I38" s="104">
        <f t="shared" si="12"/>
        <v>0</v>
      </c>
      <c r="J38" s="104">
        <f t="shared" si="12"/>
        <v>0</v>
      </c>
      <c r="K38" s="104">
        <f t="shared" si="12"/>
        <v>754</v>
      </c>
      <c r="L38" s="104">
        <f t="shared" si="12"/>
        <v>1270</v>
      </c>
      <c r="M38" s="104">
        <f t="shared" si="12"/>
        <v>0</v>
      </c>
      <c r="N38" s="104">
        <f t="shared" si="12"/>
        <v>0</v>
      </c>
      <c r="O38" s="104">
        <f t="shared" si="12"/>
        <v>0</v>
      </c>
      <c r="P38" s="104">
        <f t="shared" si="12"/>
        <v>1077</v>
      </c>
      <c r="Q38" s="104">
        <f t="shared" si="12"/>
        <v>532</v>
      </c>
      <c r="R38" s="104">
        <f t="shared" si="12"/>
        <v>823</v>
      </c>
      <c r="S38" s="104">
        <f t="shared" si="12"/>
        <v>1016</v>
      </c>
      <c r="T38" s="104">
        <f t="shared" si="12"/>
        <v>0</v>
      </c>
      <c r="U38" s="104">
        <f t="shared" si="12"/>
        <v>0</v>
      </c>
      <c r="V38" s="104">
        <f t="shared" si="12"/>
        <v>0</v>
      </c>
      <c r="W38" s="104">
        <f t="shared" si="12"/>
        <v>0</v>
      </c>
      <c r="X38" s="104">
        <f t="shared" si="12"/>
        <v>0</v>
      </c>
      <c r="Y38" s="104">
        <f t="shared" si="12"/>
        <v>445</v>
      </c>
      <c r="Z38" s="104">
        <f t="shared" si="12"/>
        <v>554</v>
      </c>
      <c r="AA38" s="104">
        <f t="shared" si="12"/>
        <v>0</v>
      </c>
      <c r="AB38" s="104">
        <f t="shared" si="12"/>
        <v>0</v>
      </c>
      <c r="AC38" s="104">
        <f t="shared" si="12"/>
        <v>504</v>
      </c>
      <c r="AD38" s="104">
        <f t="shared" si="12"/>
        <v>600</v>
      </c>
      <c r="AE38" s="104">
        <f t="shared" si="12"/>
        <v>0</v>
      </c>
      <c r="AF38" s="104">
        <f t="shared" si="12"/>
        <v>721</v>
      </c>
      <c r="AG38" s="104">
        <f t="shared" si="12"/>
        <v>1476</v>
      </c>
      <c r="AH38" s="93">
        <f t="shared" si="6"/>
        <v>12784</v>
      </c>
      <c r="AI38" s="27"/>
      <c r="AJ38" s="27"/>
      <c r="AK38" s="73"/>
      <c r="AL38" s="28"/>
      <c r="AM38" s="79" t="s">
        <v>36</v>
      </c>
      <c r="AN38" s="75">
        <f t="shared" si="7"/>
        <v>12784</v>
      </c>
    </row>
    <row r="39" spans="2:41" s="29" customFormat="1" ht="18" customHeight="1" x14ac:dyDescent="0.2">
      <c r="B39" s="104" t="s">
        <v>30</v>
      </c>
      <c r="C39" s="104">
        <f t="shared" si="12"/>
        <v>494</v>
      </c>
      <c r="D39" s="104">
        <f t="shared" si="12"/>
        <v>715</v>
      </c>
      <c r="E39" s="104">
        <f t="shared" si="12"/>
        <v>848</v>
      </c>
      <c r="F39" s="104">
        <f t="shared" si="12"/>
        <v>0</v>
      </c>
      <c r="G39" s="104">
        <f t="shared" si="12"/>
        <v>0</v>
      </c>
      <c r="H39" s="104">
        <f t="shared" si="12"/>
        <v>0</v>
      </c>
      <c r="I39" s="104">
        <f t="shared" si="12"/>
        <v>0</v>
      </c>
      <c r="J39" s="104">
        <f t="shared" si="12"/>
        <v>0</v>
      </c>
      <c r="K39" s="104">
        <f t="shared" si="12"/>
        <v>507</v>
      </c>
      <c r="L39" s="104">
        <f t="shared" si="12"/>
        <v>903</v>
      </c>
      <c r="M39" s="104">
        <f t="shared" si="12"/>
        <v>0</v>
      </c>
      <c r="N39" s="104">
        <f t="shared" si="12"/>
        <v>0</v>
      </c>
      <c r="O39" s="104">
        <f t="shared" si="12"/>
        <v>0</v>
      </c>
      <c r="P39" s="104">
        <f t="shared" si="12"/>
        <v>733</v>
      </c>
      <c r="Q39" s="104">
        <f t="shared" si="12"/>
        <v>360</v>
      </c>
      <c r="R39" s="104">
        <f t="shared" si="12"/>
        <v>583</v>
      </c>
      <c r="S39" s="104">
        <f t="shared" si="12"/>
        <v>719</v>
      </c>
      <c r="T39" s="104">
        <f t="shared" si="12"/>
        <v>0</v>
      </c>
      <c r="U39" s="104">
        <f t="shared" si="12"/>
        <v>0</v>
      </c>
      <c r="V39" s="104">
        <f t="shared" si="12"/>
        <v>0</v>
      </c>
      <c r="W39" s="104">
        <f t="shared" si="12"/>
        <v>0</v>
      </c>
      <c r="X39" s="104">
        <f t="shared" si="12"/>
        <v>0</v>
      </c>
      <c r="Y39" s="104">
        <f t="shared" si="12"/>
        <v>307</v>
      </c>
      <c r="Z39" s="104">
        <f t="shared" si="12"/>
        <v>427</v>
      </c>
      <c r="AA39" s="104">
        <f t="shared" si="12"/>
        <v>0</v>
      </c>
      <c r="AB39" s="104">
        <f t="shared" si="12"/>
        <v>0</v>
      </c>
      <c r="AC39" s="104">
        <f t="shared" si="12"/>
        <v>325</v>
      </c>
      <c r="AD39" s="104">
        <f t="shared" si="12"/>
        <v>453</v>
      </c>
      <c r="AE39" s="104">
        <f t="shared" si="12"/>
        <v>0</v>
      </c>
      <c r="AF39" s="104">
        <f t="shared" si="12"/>
        <v>517</v>
      </c>
      <c r="AG39" s="104">
        <f t="shared" si="12"/>
        <v>975</v>
      </c>
      <c r="AH39" s="93">
        <f t="shared" si="6"/>
        <v>8866</v>
      </c>
      <c r="AI39" s="27"/>
      <c r="AJ39" s="27"/>
      <c r="AK39" s="73"/>
      <c r="AL39" s="28"/>
      <c r="AM39" s="79" t="s">
        <v>37</v>
      </c>
      <c r="AN39" s="75">
        <f t="shared" si="7"/>
        <v>8866</v>
      </c>
    </row>
    <row r="40" spans="2:41" s="29" customFormat="1" ht="18" customHeight="1" thickBot="1" x14ac:dyDescent="0.25">
      <c r="B40" s="104" t="s">
        <v>31</v>
      </c>
      <c r="C40" s="104">
        <f t="shared" ref="C40:AG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>
        <f t="shared" si="13"/>
        <v>0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>
        <f t="shared" si="13"/>
        <v>0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104">
        <f t="shared" si="13"/>
        <v>0</v>
      </c>
      <c r="AF40" s="104">
        <f t="shared" si="13"/>
        <v>0</v>
      </c>
      <c r="AG40" s="104" t="e">
        <f t="shared" si="13"/>
        <v>#VALUE!</v>
      </c>
      <c r="AH40" s="93" t="e">
        <f t="shared" si="6"/>
        <v>#VALUE!</v>
      </c>
      <c r="AI40" s="27"/>
      <c r="AJ40" s="27"/>
      <c r="AK40" s="73"/>
      <c r="AL40" s="28"/>
      <c r="AM40" s="77" t="s">
        <v>15</v>
      </c>
      <c r="AN40" s="75" t="e">
        <f t="shared" si="7"/>
        <v>#VALUE!</v>
      </c>
    </row>
    <row r="41" spans="2:41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104">
        <f t="shared" si="13"/>
        <v>0</v>
      </c>
      <c r="AF41" s="104">
        <f t="shared" si="13"/>
        <v>0</v>
      </c>
      <c r="AG41" s="104">
        <f t="shared" si="13"/>
        <v>0</v>
      </c>
      <c r="AH41" s="93">
        <f t="shared" si="6"/>
        <v>0</v>
      </c>
      <c r="AI41" s="6"/>
      <c r="AJ41" s="6"/>
      <c r="AK41" s="14"/>
      <c r="AL41" s="28"/>
      <c r="AM41" s="70"/>
      <c r="AN41" s="80"/>
      <c r="AO41" s="30"/>
    </row>
    <row r="42" spans="2:41" s="25" customFormat="1" ht="18" customHeight="1" x14ac:dyDescent="0.2">
      <c r="B42" s="92" t="s">
        <v>6</v>
      </c>
      <c r="C42" s="92">
        <f t="shared" ref="C42:AG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2">
        <f t="shared" si="14"/>
        <v>0</v>
      </c>
      <c r="AF42" s="92">
        <f t="shared" si="14"/>
        <v>0</v>
      </c>
      <c r="AG42" s="92">
        <f t="shared" si="14"/>
        <v>0</v>
      </c>
      <c r="AH42" s="93">
        <f t="shared" si="6"/>
        <v>0</v>
      </c>
      <c r="AI42" s="6"/>
      <c r="AJ42" s="6"/>
      <c r="AK42" s="14"/>
      <c r="AL42" s="28"/>
      <c r="AM42" s="70"/>
      <c r="AN42" s="29"/>
      <c r="AO42" s="30"/>
    </row>
    <row r="43" spans="2:41" s="17" customFormat="1" ht="18" customHeight="1" x14ac:dyDescent="0.2">
      <c r="B43" s="92" t="s">
        <v>7</v>
      </c>
      <c r="C43" s="92">
        <f t="shared" ref="C43:AG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2">
        <f t="shared" si="15"/>
        <v>0</v>
      </c>
      <c r="AF43" s="92">
        <f t="shared" si="15"/>
        <v>0</v>
      </c>
      <c r="AG43" s="92">
        <f t="shared" si="15"/>
        <v>0</v>
      </c>
      <c r="AH43" s="93">
        <f t="shared" si="6"/>
        <v>0</v>
      </c>
      <c r="AI43" s="2"/>
      <c r="AJ43" s="2"/>
      <c r="AK43" s="14"/>
      <c r="AL43" s="15"/>
      <c r="AM43" s="16"/>
    </row>
    <row r="44" spans="2:41" s="17" customFormat="1" ht="18" customHeight="1" x14ac:dyDescent="0.2">
      <c r="B44" s="92" t="s">
        <v>8</v>
      </c>
      <c r="C44" s="92">
        <f t="shared" ref="C44:AG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2">
        <f t="shared" si="16"/>
        <v>0</v>
      </c>
      <c r="AF44" s="92">
        <f t="shared" si="16"/>
        <v>0</v>
      </c>
      <c r="AG44" s="92">
        <f t="shared" si="16"/>
        <v>0</v>
      </c>
      <c r="AH44" s="93">
        <f t="shared" si="6"/>
        <v>0</v>
      </c>
      <c r="AI44" s="2"/>
      <c r="AJ44" s="2"/>
      <c r="AK44" s="14"/>
      <c r="AL44" s="15"/>
      <c r="AM44" s="16"/>
    </row>
    <row r="45" spans="2:41" s="17" customFormat="1" ht="18" customHeight="1" x14ac:dyDescent="0.2">
      <c r="B45" s="92" t="s">
        <v>9</v>
      </c>
      <c r="C45" s="92">
        <f t="shared" ref="C45:AG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2">
        <f t="shared" si="17"/>
        <v>0</v>
      </c>
      <c r="AF45" s="92">
        <f t="shared" si="17"/>
        <v>0</v>
      </c>
      <c r="AG45" s="92">
        <f t="shared" si="17"/>
        <v>0</v>
      </c>
      <c r="AH45" s="93">
        <f t="shared" si="6"/>
        <v>0</v>
      </c>
      <c r="AI45" s="2"/>
      <c r="AJ45" s="2"/>
      <c r="AK45" s="14"/>
      <c r="AL45" s="15"/>
      <c r="AM45" s="16"/>
    </row>
    <row r="46" spans="2:41" s="17" customFormat="1" ht="18" customHeight="1" x14ac:dyDescent="0.2">
      <c r="B46" s="92" t="s">
        <v>10</v>
      </c>
      <c r="C46" s="92">
        <f t="shared" ref="C46:AG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2">
        <f t="shared" si="18"/>
        <v>0</v>
      </c>
      <c r="AF46" s="92">
        <f t="shared" si="18"/>
        <v>0</v>
      </c>
      <c r="AG46" s="92">
        <f t="shared" si="18"/>
        <v>0</v>
      </c>
      <c r="AH46" s="93">
        <f t="shared" si="6"/>
        <v>0</v>
      </c>
      <c r="AI46" s="2"/>
      <c r="AJ46" s="2"/>
      <c r="AK46" s="14"/>
      <c r="AL46" s="15"/>
      <c r="AM46" s="16"/>
    </row>
    <row r="47" spans="2:41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2"/>
      <c r="AI47" s="2"/>
      <c r="AJ47" s="2"/>
      <c r="AK47" s="14"/>
      <c r="AL47" s="15"/>
      <c r="AM47" s="16"/>
    </row>
    <row r="48" spans="2:41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2"/>
      <c r="AI48" s="2"/>
      <c r="AJ48" s="2"/>
      <c r="AK48" s="14"/>
      <c r="AL48" s="15"/>
      <c r="AM48" s="16"/>
    </row>
    <row r="49" spans="2:40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2"/>
      <c r="AI49" s="2"/>
      <c r="AJ49" s="2"/>
      <c r="AK49" s="14"/>
      <c r="AL49" s="15"/>
      <c r="AM49" s="16"/>
    </row>
    <row r="50" spans="2:40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2"/>
      <c r="AI50" s="2"/>
      <c r="AJ50" s="2"/>
      <c r="AK50" s="14"/>
      <c r="AL50" s="15"/>
      <c r="AM50" s="81"/>
      <c r="AN50" s="17"/>
    </row>
    <row r="51" spans="2:40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"/>
      <c r="AI51" s="2"/>
      <c r="AJ51" s="2"/>
      <c r="AK51" s="14"/>
      <c r="AL51" s="15"/>
      <c r="AM51" s="81"/>
      <c r="AN51" s="17"/>
    </row>
    <row r="52" spans="2:40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2"/>
      <c r="AI52" s="2"/>
      <c r="AJ52" s="2"/>
      <c r="AK52" s="14"/>
      <c r="AL52" s="15"/>
      <c r="AM52" s="81"/>
      <c r="AN52" s="17"/>
    </row>
    <row r="53" spans="2:40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2"/>
      <c r="AJ53" s="2"/>
      <c r="AK53" s="14"/>
      <c r="AL53" s="15"/>
      <c r="AM53" s="81"/>
      <c r="AN53" s="17"/>
    </row>
    <row r="54" spans="2:40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2"/>
      <c r="AI54" s="2"/>
      <c r="AJ54" s="2"/>
      <c r="AK54" s="14"/>
      <c r="AL54" s="15"/>
      <c r="AM54" s="81"/>
      <c r="AN54" s="17"/>
    </row>
    <row r="55" spans="2:40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2"/>
      <c r="AI55" s="2"/>
      <c r="AJ55" s="2"/>
      <c r="AK55" s="14"/>
      <c r="AL55" s="15"/>
      <c r="AM55" s="81"/>
      <c r="AN55" s="17"/>
    </row>
    <row r="56" spans="2:40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2"/>
      <c r="AI56" s="2"/>
      <c r="AJ56" s="2"/>
      <c r="AK56" s="14"/>
      <c r="AL56" s="15"/>
      <c r="AM56" s="81"/>
      <c r="AN56" s="17"/>
    </row>
    <row r="57" spans="2:40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"/>
      <c r="AI57" s="2"/>
      <c r="AJ57" s="2"/>
      <c r="AK57" s="14"/>
      <c r="AL57" s="15"/>
      <c r="AM57" s="81"/>
      <c r="AN57" s="17"/>
    </row>
    <row r="58" spans="2:40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2"/>
      <c r="AI58" s="2"/>
      <c r="AJ58" s="2"/>
      <c r="AK58" s="14"/>
      <c r="AL58" s="15"/>
      <c r="AM58" s="81"/>
      <c r="AN58" s="17"/>
    </row>
    <row r="59" spans="2:40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2"/>
      <c r="AI59" s="2"/>
      <c r="AJ59" s="2"/>
      <c r="AK59" s="14"/>
      <c r="AL59" s="15"/>
      <c r="AM59" s="81"/>
      <c r="AN59" s="17"/>
    </row>
    <row r="60" spans="2:40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2"/>
      <c r="AI60" s="2"/>
      <c r="AJ60" s="2"/>
      <c r="AK60" s="14"/>
      <c r="AL60" s="15"/>
      <c r="AM60" s="81"/>
      <c r="AN60" s="17"/>
    </row>
    <row r="61" spans="2:40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2"/>
      <c r="AI61" s="2"/>
      <c r="AJ61" s="2"/>
      <c r="AK61" s="14"/>
      <c r="AL61" s="15"/>
      <c r="AM61" s="81"/>
      <c r="AN61" s="17"/>
    </row>
    <row r="62" spans="2:40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2"/>
      <c r="AI62" s="2"/>
      <c r="AJ62" s="2"/>
      <c r="AK62" s="14"/>
      <c r="AL62" s="15"/>
      <c r="AM62" s="81"/>
      <c r="AN62" s="17"/>
    </row>
    <row r="63" spans="2:40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2"/>
      <c r="AI63" s="2"/>
      <c r="AJ63" s="2"/>
      <c r="AK63" s="14"/>
      <c r="AL63" s="15"/>
      <c r="AM63" s="81"/>
      <c r="AN63" s="17"/>
    </row>
    <row r="64" spans="2:40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2"/>
      <c r="AI64" s="2"/>
      <c r="AJ64" s="2"/>
      <c r="AK64" s="14"/>
      <c r="AL64" s="15"/>
      <c r="AM64" s="81"/>
      <c r="AN64" s="17"/>
    </row>
    <row r="65" spans="2:40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2"/>
      <c r="AI65" s="2"/>
      <c r="AJ65" s="2"/>
      <c r="AK65" s="14"/>
      <c r="AL65" s="15"/>
      <c r="AM65" s="81"/>
      <c r="AN65" s="17"/>
    </row>
    <row r="66" spans="2:40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2"/>
      <c r="AI66" s="2"/>
      <c r="AJ66" s="2"/>
      <c r="AK66" s="14"/>
      <c r="AL66" s="15"/>
      <c r="AM66" s="81"/>
      <c r="AN66" s="17"/>
    </row>
    <row r="67" spans="2:40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2"/>
      <c r="AI67" s="2"/>
      <c r="AJ67" s="2"/>
      <c r="AK67" s="14"/>
      <c r="AL67" s="15"/>
      <c r="AM67" s="81"/>
      <c r="AN67" s="17"/>
    </row>
    <row r="68" spans="2:40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2"/>
      <c r="AI68" s="2"/>
      <c r="AJ68" s="2"/>
      <c r="AK68" s="14"/>
      <c r="AL68" s="15"/>
      <c r="AM68" s="81"/>
      <c r="AN68" s="17"/>
    </row>
    <row r="69" spans="2:40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2"/>
      <c r="AI69" s="2"/>
      <c r="AJ69" s="2"/>
      <c r="AK69" s="14"/>
      <c r="AL69" s="15"/>
      <c r="AM69" s="81"/>
      <c r="AN69" s="17"/>
    </row>
    <row r="70" spans="2:40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2"/>
      <c r="AI70" s="2"/>
      <c r="AJ70" s="2"/>
      <c r="AK70" s="14"/>
      <c r="AL70" s="15"/>
      <c r="AM70" s="81"/>
      <c r="AN70" s="17"/>
    </row>
    <row r="71" spans="2:40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2"/>
      <c r="AI71" s="2"/>
      <c r="AJ71" s="2"/>
      <c r="AK71" s="14"/>
      <c r="AL71" s="15"/>
      <c r="AM71" s="81"/>
      <c r="AN71" s="17"/>
    </row>
    <row r="72" spans="2:40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2"/>
      <c r="AI72" s="2"/>
      <c r="AJ72" s="2"/>
      <c r="AK72" s="14"/>
      <c r="AL72" s="15"/>
      <c r="AM72" s="81"/>
      <c r="AN72" s="17"/>
    </row>
    <row r="73" spans="2:40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2"/>
      <c r="AI73" s="2"/>
      <c r="AJ73" s="2"/>
      <c r="AK73" s="14"/>
      <c r="AL73" s="15"/>
      <c r="AM73" s="81"/>
      <c r="AN73" s="17"/>
    </row>
    <row r="74" spans="2:40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2"/>
      <c r="AI74" s="2"/>
      <c r="AJ74" s="2"/>
      <c r="AK74" s="14"/>
      <c r="AL74" s="15"/>
      <c r="AM74" s="81"/>
      <c r="AN74" s="17"/>
    </row>
    <row r="75" spans="2:40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2"/>
      <c r="AI75" s="2"/>
      <c r="AJ75" s="2"/>
      <c r="AK75" s="14"/>
      <c r="AL75" s="15"/>
      <c r="AM75" s="81"/>
      <c r="AN75" s="17"/>
    </row>
    <row r="76" spans="2:40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2"/>
      <c r="AI76" s="2"/>
      <c r="AJ76" s="2"/>
      <c r="AK76" s="14"/>
      <c r="AL76" s="15"/>
      <c r="AM76" s="81"/>
      <c r="AN76" s="17"/>
    </row>
    <row r="77" spans="2:40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2"/>
      <c r="AI77" s="2"/>
      <c r="AJ77" s="2"/>
      <c r="AK77" s="14"/>
      <c r="AL77" s="15"/>
      <c r="AM77" s="81"/>
      <c r="AN77" s="17"/>
    </row>
    <row r="78" spans="2:40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2"/>
      <c r="AI78" s="2"/>
      <c r="AJ78" s="2"/>
      <c r="AK78" s="14"/>
      <c r="AL78" s="15"/>
      <c r="AM78" s="81"/>
      <c r="AN78" s="17"/>
    </row>
    <row r="79" spans="2:40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2"/>
      <c r="AI79" s="2"/>
      <c r="AJ79" s="2"/>
      <c r="AK79" s="14"/>
      <c r="AL79" s="15"/>
      <c r="AM79" s="81"/>
      <c r="AN79" s="17"/>
    </row>
    <row r="80" spans="2:40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2"/>
      <c r="AI80" s="2"/>
      <c r="AJ80" s="2"/>
      <c r="AK80" s="14"/>
      <c r="AL80" s="15"/>
      <c r="AM80" s="81"/>
      <c r="AN80" s="17"/>
    </row>
    <row r="81" spans="2:41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2"/>
      <c r="AI81" s="2"/>
      <c r="AJ81" s="2"/>
      <c r="AK81" s="14"/>
      <c r="AL81" s="15"/>
      <c r="AM81" s="81"/>
      <c r="AN81" s="17"/>
    </row>
    <row r="82" spans="2:41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2"/>
      <c r="AI82" s="2"/>
      <c r="AJ82" s="2"/>
      <c r="AK82" s="14"/>
      <c r="AL82" s="15"/>
      <c r="AM82" s="81"/>
      <c r="AN82" s="17"/>
    </row>
    <row r="83" spans="2:41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2"/>
      <c r="AI83" s="2"/>
      <c r="AJ83" s="2"/>
      <c r="AK83" s="14"/>
      <c r="AL83" s="15"/>
      <c r="AM83" s="81"/>
      <c r="AN83" s="17"/>
    </row>
    <row r="84" spans="2:41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2"/>
      <c r="AI84" s="2"/>
      <c r="AJ84" s="2"/>
      <c r="AK84" s="14"/>
      <c r="AL84" s="15"/>
      <c r="AM84" s="81"/>
      <c r="AN84" s="17"/>
    </row>
    <row r="85" spans="2:41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2"/>
      <c r="AI85" s="2"/>
      <c r="AJ85" s="2"/>
      <c r="AK85" s="14"/>
      <c r="AL85" s="15"/>
      <c r="AM85" s="81"/>
      <c r="AN85" s="17"/>
    </row>
    <row r="86" spans="2:41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2"/>
      <c r="AI86" s="2"/>
      <c r="AJ86" s="2"/>
      <c r="AK86" s="14"/>
      <c r="AL86" s="15"/>
      <c r="AM86" s="81"/>
      <c r="AN86" s="17"/>
    </row>
    <row r="87" spans="2:41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2"/>
      <c r="AI87" s="2"/>
      <c r="AJ87" s="2"/>
      <c r="AK87" s="14"/>
      <c r="AL87" s="15"/>
      <c r="AM87" s="81"/>
      <c r="AN87" s="17"/>
    </row>
    <row r="88" spans="2:41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2"/>
      <c r="AI88" s="2"/>
      <c r="AJ88" s="2"/>
      <c r="AK88" s="14"/>
      <c r="AL88" s="15"/>
      <c r="AM88" s="81"/>
      <c r="AN88" s="17"/>
    </row>
    <row r="89" spans="2:41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2"/>
      <c r="AI89" s="2"/>
      <c r="AJ89" s="2"/>
      <c r="AK89" s="14"/>
      <c r="AL89" s="15"/>
      <c r="AM89" s="81"/>
      <c r="AN89" s="17"/>
    </row>
    <row r="90" spans="2:41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2"/>
      <c r="AI90" s="2"/>
      <c r="AJ90" s="2"/>
      <c r="AK90" s="14"/>
      <c r="AL90" s="15"/>
      <c r="AM90" s="81"/>
      <c r="AN90" s="17"/>
    </row>
    <row r="91" spans="2:41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2"/>
      <c r="AI91" s="2"/>
      <c r="AJ91" s="2"/>
      <c r="AK91" s="14"/>
      <c r="AL91" s="15"/>
      <c r="AM91" s="81"/>
      <c r="AN91" s="17"/>
    </row>
    <row r="92" spans="2:41" x14ac:dyDescent="0.2">
      <c r="AO92" s="19"/>
    </row>
  </sheetData>
  <mergeCells count="5">
    <mergeCell ref="A1:AH1"/>
    <mergeCell ref="A3:A4"/>
    <mergeCell ref="B3:B4"/>
    <mergeCell ref="C3:AG3"/>
    <mergeCell ref="AH3:AH4"/>
  </mergeCells>
  <pageMargins left="0.75" right="0.75" top="1" bottom="1" header="0.5" footer="0.5"/>
  <pageSetup paperSize="12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0A3A-1E48-4D5F-B48D-1664D2524880}">
  <dimension ref="A1:AN92"/>
  <sheetViews>
    <sheetView zoomScale="90" zoomScaleNormal="90" workbookViewId="0">
      <pane xSplit="2" topLeftCell="AA1" activePane="topRight" state="frozen"/>
      <selection pane="topRight" activeCell="AI30" sqref="AI30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2" width="15.77734375" style="1" customWidth="1"/>
    <col min="33" max="33" width="15.77734375" style="2" customWidth="1"/>
    <col min="34" max="34" width="13.33203125" style="2" customWidth="1"/>
    <col min="35" max="35" width="14.21875" style="2" customWidth="1"/>
    <col min="36" max="36" width="12.88671875" style="14" customWidth="1"/>
    <col min="37" max="37" width="13.109375" style="15" bestFit="1" customWidth="1"/>
    <col min="38" max="38" width="27.21875" style="16" customWidth="1"/>
    <col min="39" max="39" width="14.44140625" style="17" bestFit="1" customWidth="1"/>
    <col min="40" max="40" width="11.77734375" style="18" bestFit="1" customWidth="1"/>
    <col min="41" max="43" width="8.88671875" style="19"/>
    <col min="44" max="44" width="13.44140625" style="19" bestFit="1" customWidth="1"/>
    <col min="45" max="255" width="8.88671875" style="19"/>
    <col min="256" max="256" width="5.109375" style="19" customWidth="1"/>
    <col min="257" max="257" width="49.33203125" style="19" customWidth="1"/>
    <col min="258" max="289" width="15.77734375" style="19" customWidth="1"/>
    <col min="290" max="291" width="10.5546875" style="19" customWidth="1"/>
    <col min="292" max="292" width="11" style="19" customWidth="1"/>
    <col min="293" max="293" width="13.109375" style="19" bestFit="1" customWidth="1"/>
    <col min="294" max="294" width="27.21875" style="19" customWidth="1"/>
    <col min="295" max="295" width="14.44140625" style="19" bestFit="1" customWidth="1"/>
    <col min="296" max="296" width="11.77734375" style="19" bestFit="1" customWidth="1"/>
    <col min="297" max="299" width="8.88671875" style="19"/>
    <col min="300" max="300" width="13.44140625" style="19" bestFit="1" customWidth="1"/>
    <col min="301" max="511" width="8.88671875" style="19"/>
    <col min="512" max="512" width="5.109375" style="19" customWidth="1"/>
    <col min="513" max="513" width="49.33203125" style="19" customWidth="1"/>
    <col min="514" max="545" width="15.77734375" style="19" customWidth="1"/>
    <col min="546" max="547" width="10.5546875" style="19" customWidth="1"/>
    <col min="548" max="548" width="11" style="19" customWidth="1"/>
    <col min="549" max="549" width="13.109375" style="19" bestFit="1" customWidth="1"/>
    <col min="550" max="550" width="27.21875" style="19" customWidth="1"/>
    <col min="551" max="551" width="14.44140625" style="19" bestFit="1" customWidth="1"/>
    <col min="552" max="552" width="11.77734375" style="19" bestFit="1" customWidth="1"/>
    <col min="553" max="555" width="8.88671875" style="19"/>
    <col min="556" max="556" width="13.44140625" style="19" bestFit="1" customWidth="1"/>
    <col min="557" max="767" width="8.88671875" style="19"/>
    <col min="768" max="768" width="5.109375" style="19" customWidth="1"/>
    <col min="769" max="769" width="49.33203125" style="19" customWidth="1"/>
    <col min="770" max="801" width="15.77734375" style="19" customWidth="1"/>
    <col min="802" max="803" width="10.5546875" style="19" customWidth="1"/>
    <col min="804" max="804" width="11" style="19" customWidth="1"/>
    <col min="805" max="805" width="13.109375" style="19" bestFit="1" customWidth="1"/>
    <col min="806" max="806" width="27.21875" style="19" customWidth="1"/>
    <col min="807" max="807" width="14.44140625" style="19" bestFit="1" customWidth="1"/>
    <col min="808" max="808" width="11.77734375" style="19" bestFit="1" customWidth="1"/>
    <col min="809" max="811" width="8.88671875" style="19"/>
    <col min="812" max="812" width="13.44140625" style="19" bestFit="1" customWidth="1"/>
    <col min="813" max="1023" width="8.88671875" style="19"/>
    <col min="1024" max="1024" width="5.109375" style="19" customWidth="1"/>
    <col min="1025" max="1025" width="49.33203125" style="19" customWidth="1"/>
    <col min="1026" max="1057" width="15.77734375" style="19" customWidth="1"/>
    <col min="1058" max="1059" width="10.5546875" style="19" customWidth="1"/>
    <col min="1060" max="1060" width="11" style="19" customWidth="1"/>
    <col min="1061" max="1061" width="13.109375" style="19" bestFit="1" customWidth="1"/>
    <col min="1062" max="1062" width="27.21875" style="19" customWidth="1"/>
    <col min="1063" max="1063" width="14.44140625" style="19" bestFit="1" customWidth="1"/>
    <col min="1064" max="1064" width="11.77734375" style="19" bestFit="1" customWidth="1"/>
    <col min="1065" max="1067" width="8.88671875" style="19"/>
    <col min="1068" max="1068" width="13.44140625" style="19" bestFit="1" customWidth="1"/>
    <col min="1069" max="1279" width="8.88671875" style="19"/>
    <col min="1280" max="1280" width="5.109375" style="19" customWidth="1"/>
    <col min="1281" max="1281" width="49.33203125" style="19" customWidth="1"/>
    <col min="1282" max="1313" width="15.77734375" style="19" customWidth="1"/>
    <col min="1314" max="1315" width="10.5546875" style="19" customWidth="1"/>
    <col min="1316" max="1316" width="11" style="19" customWidth="1"/>
    <col min="1317" max="1317" width="13.109375" style="19" bestFit="1" customWidth="1"/>
    <col min="1318" max="1318" width="27.21875" style="19" customWidth="1"/>
    <col min="1319" max="1319" width="14.44140625" style="19" bestFit="1" customWidth="1"/>
    <col min="1320" max="1320" width="11.77734375" style="19" bestFit="1" customWidth="1"/>
    <col min="1321" max="1323" width="8.88671875" style="19"/>
    <col min="1324" max="1324" width="13.44140625" style="19" bestFit="1" customWidth="1"/>
    <col min="1325" max="1535" width="8.88671875" style="19"/>
    <col min="1536" max="1536" width="5.109375" style="19" customWidth="1"/>
    <col min="1537" max="1537" width="49.33203125" style="19" customWidth="1"/>
    <col min="1538" max="1569" width="15.77734375" style="19" customWidth="1"/>
    <col min="1570" max="1571" width="10.5546875" style="19" customWidth="1"/>
    <col min="1572" max="1572" width="11" style="19" customWidth="1"/>
    <col min="1573" max="1573" width="13.109375" style="19" bestFit="1" customWidth="1"/>
    <col min="1574" max="1574" width="27.21875" style="19" customWidth="1"/>
    <col min="1575" max="1575" width="14.44140625" style="19" bestFit="1" customWidth="1"/>
    <col min="1576" max="1576" width="11.77734375" style="19" bestFit="1" customWidth="1"/>
    <col min="1577" max="1579" width="8.88671875" style="19"/>
    <col min="1580" max="1580" width="13.44140625" style="19" bestFit="1" customWidth="1"/>
    <col min="1581" max="1791" width="8.88671875" style="19"/>
    <col min="1792" max="1792" width="5.109375" style="19" customWidth="1"/>
    <col min="1793" max="1793" width="49.33203125" style="19" customWidth="1"/>
    <col min="1794" max="1825" width="15.77734375" style="19" customWidth="1"/>
    <col min="1826" max="1827" width="10.5546875" style="19" customWidth="1"/>
    <col min="1828" max="1828" width="11" style="19" customWidth="1"/>
    <col min="1829" max="1829" width="13.109375" style="19" bestFit="1" customWidth="1"/>
    <col min="1830" max="1830" width="27.21875" style="19" customWidth="1"/>
    <col min="1831" max="1831" width="14.44140625" style="19" bestFit="1" customWidth="1"/>
    <col min="1832" max="1832" width="11.77734375" style="19" bestFit="1" customWidth="1"/>
    <col min="1833" max="1835" width="8.88671875" style="19"/>
    <col min="1836" max="1836" width="13.44140625" style="19" bestFit="1" customWidth="1"/>
    <col min="1837" max="2047" width="8.88671875" style="19"/>
    <col min="2048" max="2048" width="5.109375" style="19" customWidth="1"/>
    <col min="2049" max="2049" width="49.33203125" style="19" customWidth="1"/>
    <col min="2050" max="2081" width="15.77734375" style="19" customWidth="1"/>
    <col min="2082" max="2083" width="10.5546875" style="19" customWidth="1"/>
    <col min="2084" max="2084" width="11" style="19" customWidth="1"/>
    <col min="2085" max="2085" width="13.109375" style="19" bestFit="1" customWidth="1"/>
    <col min="2086" max="2086" width="27.21875" style="19" customWidth="1"/>
    <col min="2087" max="2087" width="14.44140625" style="19" bestFit="1" customWidth="1"/>
    <col min="2088" max="2088" width="11.77734375" style="19" bestFit="1" customWidth="1"/>
    <col min="2089" max="2091" width="8.88671875" style="19"/>
    <col min="2092" max="2092" width="13.44140625" style="19" bestFit="1" customWidth="1"/>
    <col min="2093" max="2303" width="8.88671875" style="19"/>
    <col min="2304" max="2304" width="5.109375" style="19" customWidth="1"/>
    <col min="2305" max="2305" width="49.33203125" style="19" customWidth="1"/>
    <col min="2306" max="2337" width="15.77734375" style="19" customWidth="1"/>
    <col min="2338" max="2339" width="10.5546875" style="19" customWidth="1"/>
    <col min="2340" max="2340" width="11" style="19" customWidth="1"/>
    <col min="2341" max="2341" width="13.109375" style="19" bestFit="1" customWidth="1"/>
    <col min="2342" max="2342" width="27.21875" style="19" customWidth="1"/>
    <col min="2343" max="2343" width="14.44140625" style="19" bestFit="1" customWidth="1"/>
    <col min="2344" max="2344" width="11.77734375" style="19" bestFit="1" customWidth="1"/>
    <col min="2345" max="2347" width="8.88671875" style="19"/>
    <col min="2348" max="2348" width="13.44140625" style="19" bestFit="1" customWidth="1"/>
    <col min="2349" max="2559" width="8.88671875" style="19"/>
    <col min="2560" max="2560" width="5.109375" style="19" customWidth="1"/>
    <col min="2561" max="2561" width="49.33203125" style="19" customWidth="1"/>
    <col min="2562" max="2593" width="15.77734375" style="19" customWidth="1"/>
    <col min="2594" max="2595" width="10.5546875" style="19" customWidth="1"/>
    <col min="2596" max="2596" width="11" style="19" customWidth="1"/>
    <col min="2597" max="2597" width="13.109375" style="19" bestFit="1" customWidth="1"/>
    <col min="2598" max="2598" width="27.21875" style="19" customWidth="1"/>
    <col min="2599" max="2599" width="14.44140625" style="19" bestFit="1" customWidth="1"/>
    <col min="2600" max="2600" width="11.77734375" style="19" bestFit="1" customWidth="1"/>
    <col min="2601" max="2603" width="8.88671875" style="19"/>
    <col min="2604" max="2604" width="13.44140625" style="19" bestFit="1" customWidth="1"/>
    <col min="2605" max="2815" width="8.88671875" style="19"/>
    <col min="2816" max="2816" width="5.109375" style="19" customWidth="1"/>
    <col min="2817" max="2817" width="49.33203125" style="19" customWidth="1"/>
    <col min="2818" max="2849" width="15.77734375" style="19" customWidth="1"/>
    <col min="2850" max="2851" width="10.5546875" style="19" customWidth="1"/>
    <col min="2852" max="2852" width="11" style="19" customWidth="1"/>
    <col min="2853" max="2853" width="13.109375" style="19" bestFit="1" customWidth="1"/>
    <col min="2854" max="2854" width="27.21875" style="19" customWidth="1"/>
    <col min="2855" max="2855" width="14.44140625" style="19" bestFit="1" customWidth="1"/>
    <col min="2856" max="2856" width="11.77734375" style="19" bestFit="1" customWidth="1"/>
    <col min="2857" max="2859" width="8.88671875" style="19"/>
    <col min="2860" max="2860" width="13.44140625" style="19" bestFit="1" customWidth="1"/>
    <col min="2861" max="3071" width="8.88671875" style="19"/>
    <col min="3072" max="3072" width="5.109375" style="19" customWidth="1"/>
    <col min="3073" max="3073" width="49.33203125" style="19" customWidth="1"/>
    <col min="3074" max="3105" width="15.77734375" style="19" customWidth="1"/>
    <col min="3106" max="3107" width="10.5546875" style="19" customWidth="1"/>
    <col min="3108" max="3108" width="11" style="19" customWidth="1"/>
    <col min="3109" max="3109" width="13.109375" style="19" bestFit="1" customWidth="1"/>
    <col min="3110" max="3110" width="27.21875" style="19" customWidth="1"/>
    <col min="3111" max="3111" width="14.44140625" style="19" bestFit="1" customWidth="1"/>
    <col min="3112" max="3112" width="11.77734375" style="19" bestFit="1" customWidth="1"/>
    <col min="3113" max="3115" width="8.88671875" style="19"/>
    <col min="3116" max="3116" width="13.44140625" style="19" bestFit="1" customWidth="1"/>
    <col min="3117" max="3327" width="8.88671875" style="19"/>
    <col min="3328" max="3328" width="5.109375" style="19" customWidth="1"/>
    <col min="3329" max="3329" width="49.33203125" style="19" customWidth="1"/>
    <col min="3330" max="3361" width="15.77734375" style="19" customWidth="1"/>
    <col min="3362" max="3363" width="10.5546875" style="19" customWidth="1"/>
    <col min="3364" max="3364" width="11" style="19" customWidth="1"/>
    <col min="3365" max="3365" width="13.109375" style="19" bestFit="1" customWidth="1"/>
    <col min="3366" max="3366" width="27.21875" style="19" customWidth="1"/>
    <col min="3367" max="3367" width="14.44140625" style="19" bestFit="1" customWidth="1"/>
    <col min="3368" max="3368" width="11.77734375" style="19" bestFit="1" customWidth="1"/>
    <col min="3369" max="3371" width="8.88671875" style="19"/>
    <col min="3372" max="3372" width="13.44140625" style="19" bestFit="1" customWidth="1"/>
    <col min="3373" max="3583" width="8.88671875" style="19"/>
    <col min="3584" max="3584" width="5.109375" style="19" customWidth="1"/>
    <col min="3585" max="3585" width="49.33203125" style="19" customWidth="1"/>
    <col min="3586" max="3617" width="15.77734375" style="19" customWidth="1"/>
    <col min="3618" max="3619" width="10.5546875" style="19" customWidth="1"/>
    <col min="3620" max="3620" width="11" style="19" customWidth="1"/>
    <col min="3621" max="3621" width="13.109375" style="19" bestFit="1" customWidth="1"/>
    <col min="3622" max="3622" width="27.21875" style="19" customWidth="1"/>
    <col min="3623" max="3623" width="14.44140625" style="19" bestFit="1" customWidth="1"/>
    <col min="3624" max="3624" width="11.77734375" style="19" bestFit="1" customWidth="1"/>
    <col min="3625" max="3627" width="8.88671875" style="19"/>
    <col min="3628" max="3628" width="13.44140625" style="19" bestFit="1" customWidth="1"/>
    <col min="3629" max="3839" width="8.88671875" style="19"/>
    <col min="3840" max="3840" width="5.109375" style="19" customWidth="1"/>
    <col min="3841" max="3841" width="49.33203125" style="19" customWidth="1"/>
    <col min="3842" max="3873" width="15.77734375" style="19" customWidth="1"/>
    <col min="3874" max="3875" width="10.5546875" style="19" customWidth="1"/>
    <col min="3876" max="3876" width="11" style="19" customWidth="1"/>
    <col min="3877" max="3877" width="13.109375" style="19" bestFit="1" customWidth="1"/>
    <col min="3878" max="3878" width="27.21875" style="19" customWidth="1"/>
    <col min="3879" max="3879" width="14.44140625" style="19" bestFit="1" customWidth="1"/>
    <col min="3880" max="3880" width="11.77734375" style="19" bestFit="1" customWidth="1"/>
    <col min="3881" max="3883" width="8.88671875" style="19"/>
    <col min="3884" max="3884" width="13.44140625" style="19" bestFit="1" customWidth="1"/>
    <col min="3885" max="4095" width="8.88671875" style="19"/>
    <col min="4096" max="4096" width="5.109375" style="19" customWidth="1"/>
    <col min="4097" max="4097" width="49.33203125" style="19" customWidth="1"/>
    <col min="4098" max="4129" width="15.77734375" style="19" customWidth="1"/>
    <col min="4130" max="4131" width="10.5546875" style="19" customWidth="1"/>
    <col min="4132" max="4132" width="11" style="19" customWidth="1"/>
    <col min="4133" max="4133" width="13.109375" style="19" bestFit="1" customWidth="1"/>
    <col min="4134" max="4134" width="27.21875" style="19" customWidth="1"/>
    <col min="4135" max="4135" width="14.44140625" style="19" bestFit="1" customWidth="1"/>
    <col min="4136" max="4136" width="11.77734375" style="19" bestFit="1" customWidth="1"/>
    <col min="4137" max="4139" width="8.88671875" style="19"/>
    <col min="4140" max="4140" width="13.44140625" style="19" bestFit="1" customWidth="1"/>
    <col min="4141" max="4351" width="8.88671875" style="19"/>
    <col min="4352" max="4352" width="5.109375" style="19" customWidth="1"/>
    <col min="4353" max="4353" width="49.33203125" style="19" customWidth="1"/>
    <col min="4354" max="4385" width="15.77734375" style="19" customWidth="1"/>
    <col min="4386" max="4387" width="10.5546875" style="19" customWidth="1"/>
    <col min="4388" max="4388" width="11" style="19" customWidth="1"/>
    <col min="4389" max="4389" width="13.109375" style="19" bestFit="1" customWidth="1"/>
    <col min="4390" max="4390" width="27.21875" style="19" customWidth="1"/>
    <col min="4391" max="4391" width="14.44140625" style="19" bestFit="1" customWidth="1"/>
    <col min="4392" max="4392" width="11.77734375" style="19" bestFit="1" customWidth="1"/>
    <col min="4393" max="4395" width="8.88671875" style="19"/>
    <col min="4396" max="4396" width="13.44140625" style="19" bestFit="1" customWidth="1"/>
    <col min="4397" max="4607" width="8.88671875" style="19"/>
    <col min="4608" max="4608" width="5.109375" style="19" customWidth="1"/>
    <col min="4609" max="4609" width="49.33203125" style="19" customWidth="1"/>
    <col min="4610" max="4641" width="15.77734375" style="19" customWidth="1"/>
    <col min="4642" max="4643" width="10.5546875" style="19" customWidth="1"/>
    <col min="4644" max="4644" width="11" style="19" customWidth="1"/>
    <col min="4645" max="4645" width="13.109375" style="19" bestFit="1" customWidth="1"/>
    <col min="4646" max="4646" width="27.21875" style="19" customWidth="1"/>
    <col min="4647" max="4647" width="14.44140625" style="19" bestFit="1" customWidth="1"/>
    <col min="4648" max="4648" width="11.77734375" style="19" bestFit="1" customWidth="1"/>
    <col min="4649" max="4651" width="8.88671875" style="19"/>
    <col min="4652" max="4652" width="13.44140625" style="19" bestFit="1" customWidth="1"/>
    <col min="4653" max="4863" width="8.88671875" style="19"/>
    <col min="4864" max="4864" width="5.109375" style="19" customWidth="1"/>
    <col min="4865" max="4865" width="49.33203125" style="19" customWidth="1"/>
    <col min="4866" max="4897" width="15.77734375" style="19" customWidth="1"/>
    <col min="4898" max="4899" width="10.5546875" style="19" customWidth="1"/>
    <col min="4900" max="4900" width="11" style="19" customWidth="1"/>
    <col min="4901" max="4901" width="13.109375" style="19" bestFit="1" customWidth="1"/>
    <col min="4902" max="4902" width="27.21875" style="19" customWidth="1"/>
    <col min="4903" max="4903" width="14.44140625" style="19" bestFit="1" customWidth="1"/>
    <col min="4904" max="4904" width="11.77734375" style="19" bestFit="1" customWidth="1"/>
    <col min="4905" max="4907" width="8.88671875" style="19"/>
    <col min="4908" max="4908" width="13.44140625" style="19" bestFit="1" customWidth="1"/>
    <col min="4909" max="5119" width="8.88671875" style="19"/>
    <col min="5120" max="5120" width="5.109375" style="19" customWidth="1"/>
    <col min="5121" max="5121" width="49.33203125" style="19" customWidth="1"/>
    <col min="5122" max="5153" width="15.77734375" style="19" customWidth="1"/>
    <col min="5154" max="5155" width="10.5546875" style="19" customWidth="1"/>
    <col min="5156" max="5156" width="11" style="19" customWidth="1"/>
    <col min="5157" max="5157" width="13.109375" style="19" bestFit="1" customWidth="1"/>
    <col min="5158" max="5158" width="27.21875" style="19" customWidth="1"/>
    <col min="5159" max="5159" width="14.44140625" style="19" bestFit="1" customWidth="1"/>
    <col min="5160" max="5160" width="11.77734375" style="19" bestFit="1" customWidth="1"/>
    <col min="5161" max="5163" width="8.88671875" style="19"/>
    <col min="5164" max="5164" width="13.44140625" style="19" bestFit="1" customWidth="1"/>
    <col min="5165" max="5375" width="8.88671875" style="19"/>
    <col min="5376" max="5376" width="5.109375" style="19" customWidth="1"/>
    <col min="5377" max="5377" width="49.33203125" style="19" customWidth="1"/>
    <col min="5378" max="5409" width="15.77734375" style="19" customWidth="1"/>
    <col min="5410" max="5411" width="10.5546875" style="19" customWidth="1"/>
    <col min="5412" max="5412" width="11" style="19" customWidth="1"/>
    <col min="5413" max="5413" width="13.109375" style="19" bestFit="1" customWidth="1"/>
    <col min="5414" max="5414" width="27.21875" style="19" customWidth="1"/>
    <col min="5415" max="5415" width="14.44140625" style="19" bestFit="1" customWidth="1"/>
    <col min="5416" max="5416" width="11.77734375" style="19" bestFit="1" customWidth="1"/>
    <col min="5417" max="5419" width="8.88671875" style="19"/>
    <col min="5420" max="5420" width="13.44140625" style="19" bestFit="1" customWidth="1"/>
    <col min="5421" max="5631" width="8.88671875" style="19"/>
    <col min="5632" max="5632" width="5.109375" style="19" customWidth="1"/>
    <col min="5633" max="5633" width="49.33203125" style="19" customWidth="1"/>
    <col min="5634" max="5665" width="15.77734375" style="19" customWidth="1"/>
    <col min="5666" max="5667" width="10.5546875" style="19" customWidth="1"/>
    <col min="5668" max="5668" width="11" style="19" customWidth="1"/>
    <col min="5669" max="5669" width="13.109375" style="19" bestFit="1" customWidth="1"/>
    <col min="5670" max="5670" width="27.21875" style="19" customWidth="1"/>
    <col min="5671" max="5671" width="14.44140625" style="19" bestFit="1" customWidth="1"/>
    <col min="5672" max="5672" width="11.77734375" style="19" bestFit="1" customWidth="1"/>
    <col min="5673" max="5675" width="8.88671875" style="19"/>
    <col min="5676" max="5676" width="13.44140625" style="19" bestFit="1" customWidth="1"/>
    <col min="5677" max="5887" width="8.88671875" style="19"/>
    <col min="5888" max="5888" width="5.109375" style="19" customWidth="1"/>
    <col min="5889" max="5889" width="49.33203125" style="19" customWidth="1"/>
    <col min="5890" max="5921" width="15.77734375" style="19" customWidth="1"/>
    <col min="5922" max="5923" width="10.5546875" style="19" customWidth="1"/>
    <col min="5924" max="5924" width="11" style="19" customWidth="1"/>
    <col min="5925" max="5925" width="13.109375" style="19" bestFit="1" customWidth="1"/>
    <col min="5926" max="5926" width="27.21875" style="19" customWidth="1"/>
    <col min="5927" max="5927" width="14.44140625" style="19" bestFit="1" customWidth="1"/>
    <col min="5928" max="5928" width="11.77734375" style="19" bestFit="1" customWidth="1"/>
    <col min="5929" max="5931" width="8.88671875" style="19"/>
    <col min="5932" max="5932" width="13.44140625" style="19" bestFit="1" customWidth="1"/>
    <col min="5933" max="6143" width="8.88671875" style="19"/>
    <col min="6144" max="6144" width="5.109375" style="19" customWidth="1"/>
    <col min="6145" max="6145" width="49.33203125" style="19" customWidth="1"/>
    <col min="6146" max="6177" width="15.77734375" style="19" customWidth="1"/>
    <col min="6178" max="6179" width="10.5546875" style="19" customWidth="1"/>
    <col min="6180" max="6180" width="11" style="19" customWidth="1"/>
    <col min="6181" max="6181" width="13.109375" style="19" bestFit="1" customWidth="1"/>
    <col min="6182" max="6182" width="27.21875" style="19" customWidth="1"/>
    <col min="6183" max="6183" width="14.44140625" style="19" bestFit="1" customWidth="1"/>
    <col min="6184" max="6184" width="11.77734375" style="19" bestFit="1" customWidth="1"/>
    <col min="6185" max="6187" width="8.88671875" style="19"/>
    <col min="6188" max="6188" width="13.44140625" style="19" bestFit="1" customWidth="1"/>
    <col min="6189" max="6399" width="8.88671875" style="19"/>
    <col min="6400" max="6400" width="5.109375" style="19" customWidth="1"/>
    <col min="6401" max="6401" width="49.33203125" style="19" customWidth="1"/>
    <col min="6402" max="6433" width="15.77734375" style="19" customWidth="1"/>
    <col min="6434" max="6435" width="10.5546875" style="19" customWidth="1"/>
    <col min="6436" max="6436" width="11" style="19" customWidth="1"/>
    <col min="6437" max="6437" width="13.109375" style="19" bestFit="1" customWidth="1"/>
    <col min="6438" max="6438" width="27.21875" style="19" customWidth="1"/>
    <col min="6439" max="6439" width="14.44140625" style="19" bestFit="1" customWidth="1"/>
    <col min="6440" max="6440" width="11.77734375" style="19" bestFit="1" customWidth="1"/>
    <col min="6441" max="6443" width="8.88671875" style="19"/>
    <col min="6444" max="6444" width="13.44140625" style="19" bestFit="1" customWidth="1"/>
    <col min="6445" max="6655" width="8.88671875" style="19"/>
    <col min="6656" max="6656" width="5.109375" style="19" customWidth="1"/>
    <col min="6657" max="6657" width="49.33203125" style="19" customWidth="1"/>
    <col min="6658" max="6689" width="15.77734375" style="19" customWidth="1"/>
    <col min="6690" max="6691" width="10.5546875" style="19" customWidth="1"/>
    <col min="6692" max="6692" width="11" style="19" customWidth="1"/>
    <col min="6693" max="6693" width="13.109375" style="19" bestFit="1" customWidth="1"/>
    <col min="6694" max="6694" width="27.21875" style="19" customWidth="1"/>
    <col min="6695" max="6695" width="14.44140625" style="19" bestFit="1" customWidth="1"/>
    <col min="6696" max="6696" width="11.77734375" style="19" bestFit="1" customWidth="1"/>
    <col min="6697" max="6699" width="8.88671875" style="19"/>
    <col min="6700" max="6700" width="13.44140625" style="19" bestFit="1" customWidth="1"/>
    <col min="6701" max="6911" width="8.88671875" style="19"/>
    <col min="6912" max="6912" width="5.109375" style="19" customWidth="1"/>
    <col min="6913" max="6913" width="49.33203125" style="19" customWidth="1"/>
    <col min="6914" max="6945" width="15.77734375" style="19" customWidth="1"/>
    <col min="6946" max="6947" width="10.5546875" style="19" customWidth="1"/>
    <col min="6948" max="6948" width="11" style="19" customWidth="1"/>
    <col min="6949" max="6949" width="13.109375" style="19" bestFit="1" customWidth="1"/>
    <col min="6950" max="6950" width="27.21875" style="19" customWidth="1"/>
    <col min="6951" max="6951" width="14.44140625" style="19" bestFit="1" customWidth="1"/>
    <col min="6952" max="6952" width="11.77734375" style="19" bestFit="1" customWidth="1"/>
    <col min="6953" max="6955" width="8.88671875" style="19"/>
    <col min="6956" max="6956" width="13.44140625" style="19" bestFit="1" customWidth="1"/>
    <col min="6957" max="7167" width="8.88671875" style="19"/>
    <col min="7168" max="7168" width="5.109375" style="19" customWidth="1"/>
    <col min="7169" max="7169" width="49.33203125" style="19" customWidth="1"/>
    <col min="7170" max="7201" width="15.77734375" style="19" customWidth="1"/>
    <col min="7202" max="7203" width="10.5546875" style="19" customWidth="1"/>
    <col min="7204" max="7204" width="11" style="19" customWidth="1"/>
    <col min="7205" max="7205" width="13.109375" style="19" bestFit="1" customWidth="1"/>
    <col min="7206" max="7206" width="27.21875" style="19" customWidth="1"/>
    <col min="7207" max="7207" width="14.44140625" style="19" bestFit="1" customWidth="1"/>
    <col min="7208" max="7208" width="11.77734375" style="19" bestFit="1" customWidth="1"/>
    <col min="7209" max="7211" width="8.88671875" style="19"/>
    <col min="7212" max="7212" width="13.44140625" style="19" bestFit="1" customWidth="1"/>
    <col min="7213" max="7423" width="8.88671875" style="19"/>
    <col min="7424" max="7424" width="5.109375" style="19" customWidth="1"/>
    <col min="7425" max="7425" width="49.33203125" style="19" customWidth="1"/>
    <col min="7426" max="7457" width="15.77734375" style="19" customWidth="1"/>
    <col min="7458" max="7459" width="10.5546875" style="19" customWidth="1"/>
    <col min="7460" max="7460" width="11" style="19" customWidth="1"/>
    <col min="7461" max="7461" width="13.109375" style="19" bestFit="1" customWidth="1"/>
    <col min="7462" max="7462" width="27.21875" style="19" customWidth="1"/>
    <col min="7463" max="7463" width="14.44140625" style="19" bestFit="1" customWidth="1"/>
    <col min="7464" max="7464" width="11.77734375" style="19" bestFit="1" customWidth="1"/>
    <col min="7465" max="7467" width="8.88671875" style="19"/>
    <col min="7468" max="7468" width="13.44140625" style="19" bestFit="1" customWidth="1"/>
    <col min="7469" max="7679" width="8.88671875" style="19"/>
    <col min="7680" max="7680" width="5.109375" style="19" customWidth="1"/>
    <col min="7681" max="7681" width="49.33203125" style="19" customWidth="1"/>
    <col min="7682" max="7713" width="15.77734375" style="19" customWidth="1"/>
    <col min="7714" max="7715" width="10.5546875" style="19" customWidth="1"/>
    <col min="7716" max="7716" width="11" style="19" customWidth="1"/>
    <col min="7717" max="7717" width="13.109375" style="19" bestFit="1" customWidth="1"/>
    <col min="7718" max="7718" width="27.21875" style="19" customWidth="1"/>
    <col min="7719" max="7719" width="14.44140625" style="19" bestFit="1" customWidth="1"/>
    <col min="7720" max="7720" width="11.77734375" style="19" bestFit="1" customWidth="1"/>
    <col min="7721" max="7723" width="8.88671875" style="19"/>
    <col min="7724" max="7724" width="13.44140625" style="19" bestFit="1" customWidth="1"/>
    <col min="7725" max="7935" width="8.88671875" style="19"/>
    <col min="7936" max="7936" width="5.109375" style="19" customWidth="1"/>
    <col min="7937" max="7937" width="49.33203125" style="19" customWidth="1"/>
    <col min="7938" max="7969" width="15.77734375" style="19" customWidth="1"/>
    <col min="7970" max="7971" width="10.5546875" style="19" customWidth="1"/>
    <col min="7972" max="7972" width="11" style="19" customWidth="1"/>
    <col min="7973" max="7973" width="13.109375" style="19" bestFit="1" customWidth="1"/>
    <col min="7974" max="7974" width="27.21875" style="19" customWidth="1"/>
    <col min="7975" max="7975" width="14.44140625" style="19" bestFit="1" customWidth="1"/>
    <col min="7976" max="7976" width="11.77734375" style="19" bestFit="1" customWidth="1"/>
    <col min="7977" max="7979" width="8.88671875" style="19"/>
    <col min="7980" max="7980" width="13.44140625" style="19" bestFit="1" customWidth="1"/>
    <col min="7981" max="8191" width="8.88671875" style="19"/>
    <col min="8192" max="8192" width="5.109375" style="19" customWidth="1"/>
    <col min="8193" max="8193" width="49.33203125" style="19" customWidth="1"/>
    <col min="8194" max="8225" width="15.77734375" style="19" customWidth="1"/>
    <col min="8226" max="8227" width="10.5546875" style="19" customWidth="1"/>
    <col min="8228" max="8228" width="11" style="19" customWidth="1"/>
    <col min="8229" max="8229" width="13.109375" style="19" bestFit="1" customWidth="1"/>
    <col min="8230" max="8230" width="27.21875" style="19" customWidth="1"/>
    <col min="8231" max="8231" width="14.44140625" style="19" bestFit="1" customWidth="1"/>
    <col min="8232" max="8232" width="11.77734375" style="19" bestFit="1" customWidth="1"/>
    <col min="8233" max="8235" width="8.88671875" style="19"/>
    <col min="8236" max="8236" width="13.44140625" style="19" bestFit="1" customWidth="1"/>
    <col min="8237" max="8447" width="8.88671875" style="19"/>
    <col min="8448" max="8448" width="5.109375" style="19" customWidth="1"/>
    <col min="8449" max="8449" width="49.33203125" style="19" customWidth="1"/>
    <col min="8450" max="8481" width="15.77734375" style="19" customWidth="1"/>
    <col min="8482" max="8483" width="10.5546875" style="19" customWidth="1"/>
    <col min="8484" max="8484" width="11" style="19" customWidth="1"/>
    <col min="8485" max="8485" width="13.109375" style="19" bestFit="1" customWidth="1"/>
    <col min="8486" max="8486" width="27.21875" style="19" customWidth="1"/>
    <col min="8487" max="8487" width="14.44140625" style="19" bestFit="1" customWidth="1"/>
    <col min="8488" max="8488" width="11.77734375" style="19" bestFit="1" customWidth="1"/>
    <col min="8489" max="8491" width="8.88671875" style="19"/>
    <col min="8492" max="8492" width="13.44140625" style="19" bestFit="1" customWidth="1"/>
    <col min="8493" max="8703" width="8.88671875" style="19"/>
    <col min="8704" max="8704" width="5.109375" style="19" customWidth="1"/>
    <col min="8705" max="8705" width="49.33203125" style="19" customWidth="1"/>
    <col min="8706" max="8737" width="15.77734375" style="19" customWidth="1"/>
    <col min="8738" max="8739" width="10.5546875" style="19" customWidth="1"/>
    <col min="8740" max="8740" width="11" style="19" customWidth="1"/>
    <col min="8741" max="8741" width="13.109375" style="19" bestFit="1" customWidth="1"/>
    <col min="8742" max="8742" width="27.21875" style="19" customWidth="1"/>
    <col min="8743" max="8743" width="14.44140625" style="19" bestFit="1" customWidth="1"/>
    <col min="8744" max="8744" width="11.77734375" style="19" bestFit="1" customWidth="1"/>
    <col min="8745" max="8747" width="8.88671875" style="19"/>
    <col min="8748" max="8748" width="13.44140625" style="19" bestFit="1" customWidth="1"/>
    <col min="8749" max="8959" width="8.88671875" style="19"/>
    <col min="8960" max="8960" width="5.109375" style="19" customWidth="1"/>
    <col min="8961" max="8961" width="49.33203125" style="19" customWidth="1"/>
    <col min="8962" max="8993" width="15.77734375" style="19" customWidth="1"/>
    <col min="8994" max="8995" width="10.5546875" style="19" customWidth="1"/>
    <col min="8996" max="8996" width="11" style="19" customWidth="1"/>
    <col min="8997" max="8997" width="13.109375" style="19" bestFit="1" customWidth="1"/>
    <col min="8998" max="8998" width="27.21875" style="19" customWidth="1"/>
    <col min="8999" max="8999" width="14.44140625" style="19" bestFit="1" customWidth="1"/>
    <col min="9000" max="9000" width="11.77734375" style="19" bestFit="1" customWidth="1"/>
    <col min="9001" max="9003" width="8.88671875" style="19"/>
    <col min="9004" max="9004" width="13.44140625" style="19" bestFit="1" customWidth="1"/>
    <col min="9005" max="9215" width="8.88671875" style="19"/>
    <col min="9216" max="9216" width="5.109375" style="19" customWidth="1"/>
    <col min="9217" max="9217" width="49.33203125" style="19" customWidth="1"/>
    <col min="9218" max="9249" width="15.77734375" style="19" customWidth="1"/>
    <col min="9250" max="9251" width="10.5546875" style="19" customWidth="1"/>
    <col min="9252" max="9252" width="11" style="19" customWidth="1"/>
    <col min="9253" max="9253" width="13.109375" style="19" bestFit="1" customWidth="1"/>
    <col min="9254" max="9254" width="27.21875" style="19" customWidth="1"/>
    <col min="9255" max="9255" width="14.44140625" style="19" bestFit="1" customWidth="1"/>
    <col min="9256" max="9256" width="11.77734375" style="19" bestFit="1" customWidth="1"/>
    <col min="9257" max="9259" width="8.88671875" style="19"/>
    <col min="9260" max="9260" width="13.44140625" style="19" bestFit="1" customWidth="1"/>
    <col min="9261" max="9471" width="8.88671875" style="19"/>
    <col min="9472" max="9472" width="5.109375" style="19" customWidth="1"/>
    <col min="9473" max="9473" width="49.33203125" style="19" customWidth="1"/>
    <col min="9474" max="9505" width="15.77734375" style="19" customWidth="1"/>
    <col min="9506" max="9507" width="10.5546875" style="19" customWidth="1"/>
    <col min="9508" max="9508" width="11" style="19" customWidth="1"/>
    <col min="9509" max="9509" width="13.109375" style="19" bestFit="1" customWidth="1"/>
    <col min="9510" max="9510" width="27.21875" style="19" customWidth="1"/>
    <col min="9511" max="9511" width="14.44140625" style="19" bestFit="1" customWidth="1"/>
    <col min="9512" max="9512" width="11.77734375" style="19" bestFit="1" customWidth="1"/>
    <col min="9513" max="9515" width="8.88671875" style="19"/>
    <col min="9516" max="9516" width="13.44140625" style="19" bestFit="1" customWidth="1"/>
    <col min="9517" max="9727" width="8.88671875" style="19"/>
    <col min="9728" max="9728" width="5.109375" style="19" customWidth="1"/>
    <col min="9729" max="9729" width="49.33203125" style="19" customWidth="1"/>
    <col min="9730" max="9761" width="15.77734375" style="19" customWidth="1"/>
    <col min="9762" max="9763" width="10.5546875" style="19" customWidth="1"/>
    <col min="9764" max="9764" width="11" style="19" customWidth="1"/>
    <col min="9765" max="9765" width="13.109375" style="19" bestFit="1" customWidth="1"/>
    <col min="9766" max="9766" width="27.21875" style="19" customWidth="1"/>
    <col min="9767" max="9767" width="14.44140625" style="19" bestFit="1" customWidth="1"/>
    <col min="9768" max="9768" width="11.77734375" style="19" bestFit="1" customWidth="1"/>
    <col min="9769" max="9771" width="8.88671875" style="19"/>
    <col min="9772" max="9772" width="13.44140625" style="19" bestFit="1" customWidth="1"/>
    <col min="9773" max="9983" width="8.88671875" style="19"/>
    <col min="9984" max="9984" width="5.109375" style="19" customWidth="1"/>
    <col min="9985" max="9985" width="49.33203125" style="19" customWidth="1"/>
    <col min="9986" max="10017" width="15.77734375" style="19" customWidth="1"/>
    <col min="10018" max="10019" width="10.5546875" style="19" customWidth="1"/>
    <col min="10020" max="10020" width="11" style="19" customWidth="1"/>
    <col min="10021" max="10021" width="13.109375" style="19" bestFit="1" customWidth="1"/>
    <col min="10022" max="10022" width="27.21875" style="19" customWidth="1"/>
    <col min="10023" max="10023" width="14.44140625" style="19" bestFit="1" customWidth="1"/>
    <col min="10024" max="10024" width="11.77734375" style="19" bestFit="1" customWidth="1"/>
    <col min="10025" max="10027" width="8.88671875" style="19"/>
    <col min="10028" max="10028" width="13.44140625" style="19" bestFit="1" customWidth="1"/>
    <col min="10029" max="10239" width="8.88671875" style="19"/>
    <col min="10240" max="10240" width="5.109375" style="19" customWidth="1"/>
    <col min="10241" max="10241" width="49.33203125" style="19" customWidth="1"/>
    <col min="10242" max="10273" width="15.77734375" style="19" customWidth="1"/>
    <col min="10274" max="10275" width="10.5546875" style="19" customWidth="1"/>
    <col min="10276" max="10276" width="11" style="19" customWidth="1"/>
    <col min="10277" max="10277" width="13.109375" style="19" bestFit="1" customWidth="1"/>
    <col min="10278" max="10278" width="27.21875" style="19" customWidth="1"/>
    <col min="10279" max="10279" width="14.44140625" style="19" bestFit="1" customWidth="1"/>
    <col min="10280" max="10280" width="11.77734375" style="19" bestFit="1" customWidth="1"/>
    <col min="10281" max="10283" width="8.88671875" style="19"/>
    <col min="10284" max="10284" width="13.44140625" style="19" bestFit="1" customWidth="1"/>
    <col min="10285" max="10495" width="8.88671875" style="19"/>
    <col min="10496" max="10496" width="5.109375" style="19" customWidth="1"/>
    <col min="10497" max="10497" width="49.33203125" style="19" customWidth="1"/>
    <col min="10498" max="10529" width="15.77734375" style="19" customWidth="1"/>
    <col min="10530" max="10531" width="10.5546875" style="19" customWidth="1"/>
    <col min="10532" max="10532" width="11" style="19" customWidth="1"/>
    <col min="10533" max="10533" width="13.109375" style="19" bestFit="1" customWidth="1"/>
    <col min="10534" max="10534" width="27.21875" style="19" customWidth="1"/>
    <col min="10535" max="10535" width="14.44140625" style="19" bestFit="1" customWidth="1"/>
    <col min="10536" max="10536" width="11.77734375" style="19" bestFit="1" customWidth="1"/>
    <col min="10537" max="10539" width="8.88671875" style="19"/>
    <col min="10540" max="10540" width="13.44140625" style="19" bestFit="1" customWidth="1"/>
    <col min="10541" max="10751" width="8.88671875" style="19"/>
    <col min="10752" max="10752" width="5.109375" style="19" customWidth="1"/>
    <col min="10753" max="10753" width="49.33203125" style="19" customWidth="1"/>
    <col min="10754" max="10785" width="15.77734375" style="19" customWidth="1"/>
    <col min="10786" max="10787" width="10.5546875" style="19" customWidth="1"/>
    <col min="10788" max="10788" width="11" style="19" customWidth="1"/>
    <col min="10789" max="10789" width="13.109375" style="19" bestFit="1" customWidth="1"/>
    <col min="10790" max="10790" width="27.21875" style="19" customWidth="1"/>
    <col min="10791" max="10791" width="14.44140625" style="19" bestFit="1" customWidth="1"/>
    <col min="10792" max="10792" width="11.77734375" style="19" bestFit="1" customWidth="1"/>
    <col min="10793" max="10795" width="8.88671875" style="19"/>
    <col min="10796" max="10796" width="13.44140625" style="19" bestFit="1" customWidth="1"/>
    <col min="10797" max="11007" width="8.88671875" style="19"/>
    <col min="11008" max="11008" width="5.109375" style="19" customWidth="1"/>
    <col min="11009" max="11009" width="49.33203125" style="19" customWidth="1"/>
    <col min="11010" max="11041" width="15.77734375" style="19" customWidth="1"/>
    <col min="11042" max="11043" width="10.5546875" style="19" customWidth="1"/>
    <col min="11044" max="11044" width="11" style="19" customWidth="1"/>
    <col min="11045" max="11045" width="13.109375" style="19" bestFit="1" customWidth="1"/>
    <col min="11046" max="11046" width="27.21875" style="19" customWidth="1"/>
    <col min="11047" max="11047" width="14.44140625" style="19" bestFit="1" customWidth="1"/>
    <col min="11048" max="11048" width="11.77734375" style="19" bestFit="1" customWidth="1"/>
    <col min="11049" max="11051" width="8.88671875" style="19"/>
    <col min="11052" max="11052" width="13.44140625" style="19" bestFit="1" customWidth="1"/>
    <col min="11053" max="11263" width="8.88671875" style="19"/>
    <col min="11264" max="11264" width="5.109375" style="19" customWidth="1"/>
    <col min="11265" max="11265" width="49.33203125" style="19" customWidth="1"/>
    <col min="11266" max="11297" width="15.77734375" style="19" customWidth="1"/>
    <col min="11298" max="11299" width="10.5546875" style="19" customWidth="1"/>
    <col min="11300" max="11300" width="11" style="19" customWidth="1"/>
    <col min="11301" max="11301" width="13.109375" style="19" bestFit="1" customWidth="1"/>
    <col min="11302" max="11302" width="27.21875" style="19" customWidth="1"/>
    <col min="11303" max="11303" width="14.44140625" style="19" bestFit="1" customWidth="1"/>
    <col min="11304" max="11304" width="11.77734375" style="19" bestFit="1" customWidth="1"/>
    <col min="11305" max="11307" width="8.88671875" style="19"/>
    <col min="11308" max="11308" width="13.44140625" style="19" bestFit="1" customWidth="1"/>
    <col min="11309" max="11519" width="8.88671875" style="19"/>
    <col min="11520" max="11520" width="5.109375" style="19" customWidth="1"/>
    <col min="11521" max="11521" width="49.33203125" style="19" customWidth="1"/>
    <col min="11522" max="11553" width="15.77734375" style="19" customWidth="1"/>
    <col min="11554" max="11555" width="10.5546875" style="19" customWidth="1"/>
    <col min="11556" max="11556" width="11" style="19" customWidth="1"/>
    <col min="11557" max="11557" width="13.109375" style="19" bestFit="1" customWidth="1"/>
    <col min="11558" max="11558" width="27.21875" style="19" customWidth="1"/>
    <col min="11559" max="11559" width="14.44140625" style="19" bestFit="1" customWidth="1"/>
    <col min="11560" max="11560" width="11.77734375" style="19" bestFit="1" customWidth="1"/>
    <col min="11561" max="11563" width="8.88671875" style="19"/>
    <col min="11564" max="11564" width="13.44140625" style="19" bestFit="1" customWidth="1"/>
    <col min="11565" max="11775" width="8.88671875" style="19"/>
    <col min="11776" max="11776" width="5.109375" style="19" customWidth="1"/>
    <col min="11777" max="11777" width="49.33203125" style="19" customWidth="1"/>
    <col min="11778" max="11809" width="15.77734375" style="19" customWidth="1"/>
    <col min="11810" max="11811" width="10.5546875" style="19" customWidth="1"/>
    <col min="11812" max="11812" width="11" style="19" customWidth="1"/>
    <col min="11813" max="11813" width="13.109375" style="19" bestFit="1" customWidth="1"/>
    <col min="11814" max="11814" width="27.21875" style="19" customWidth="1"/>
    <col min="11815" max="11815" width="14.44140625" style="19" bestFit="1" customWidth="1"/>
    <col min="11816" max="11816" width="11.77734375" style="19" bestFit="1" customWidth="1"/>
    <col min="11817" max="11819" width="8.88671875" style="19"/>
    <col min="11820" max="11820" width="13.44140625" style="19" bestFit="1" customWidth="1"/>
    <col min="11821" max="12031" width="8.88671875" style="19"/>
    <col min="12032" max="12032" width="5.109375" style="19" customWidth="1"/>
    <col min="12033" max="12033" width="49.33203125" style="19" customWidth="1"/>
    <col min="12034" max="12065" width="15.77734375" style="19" customWidth="1"/>
    <col min="12066" max="12067" width="10.5546875" style="19" customWidth="1"/>
    <col min="12068" max="12068" width="11" style="19" customWidth="1"/>
    <col min="12069" max="12069" width="13.109375" style="19" bestFit="1" customWidth="1"/>
    <col min="12070" max="12070" width="27.21875" style="19" customWidth="1"/>
    <col min="12071" max="12071" width="14.44140625" style="19" bestFit="1" customWidth="1"/>
    <col min="12072" max="12072" width="11.77734375" style="19" bestFit="1" customWidth="1"/>
    <col min="12073" max="12075" width="8.88671875" style="19"/>
    <col min="12076" max="12076" width="13.44140625" style="19" bestFit="1" customWidth="1"/>
    <col min="12077" max="12287" width="8.88671875" style="19"/>
    <col min="12288" max="12288" width="5.109375" style="19" customWidth="1"/>
    <col min="12289" max="12289" width="49.33203125" style="19" customWidth="1"/>
    <col min="12290" max="12321" width="15.77734375" style="19" customWidth="1"/>
    <col min="12322" max="12323" width="10.5546875" style="19" customWidth="1"/>
    <col min="12324" max="12324" width="11" style="19" customWidth="1"/>
    <col min="12325" max="12325" width="13.109375" style="19" bestFit="1" customWidth="1"/>
    <col min="12326" max="12326" width="27.21875" style="19" customWidth="1"/>
    <col min="12327" max="12327" width="14.44140625" style="19" bestFit="1" customWidth="1"/>
    <col min="12328" max="12328" width="11.77734375" style="19" bestFit="1" customWidth="1"/>
    <col min="12329" max="12331" width="8.88671875" style="19"/>
    <col min="12332" max="12332" width="13.44140625" style="19" bestFit="1" customWidth="1"/>
    <col min="12333" max="12543" width="8.88671875" style="19"/>
    <col min="12544" max="12544" width="5.109375" style="19" customWidth="1"/>
    <col min="12545" max="12545" width="49.33203125" style="19" customWidth="1"/>
    <col min="12546" max="12577" width="15.77734375" style="19" customWidth="1"/>
    <col min="12578" max="12579" width="10.5546875" style="19" customWidth="1"/>
    <col min="12580" max="12580" width="11" style="19" customWidth="1"/>
    <col min="12581" max="12581" width="13.109375" style="19" bestFit="1" customWidth="1"/>
    <col min="12582" max="12582" width="27.21875" style="19" customWidth="1"/>
    <col min="12583" max="12583" width="14.44140625" style="19" bestFit="1" customWidth="1"/>
    <col min="12584" max="12584" width="11.77734375" style="19" bestFit="1" customWidth="1"/>
    <col min="12585" max="12587" width="8.88671875" style="19"/>
    <col min="12588" max="12588" width="13.44140625" style="19" bestFit="1" customWidth="1"/>
    <col min="12589" max="12799" width="8.88671875" style="19"/>
    <col min="12800" max="12800" width="5.109375" style="19" customWidth="1"/>
    <col min="12801" max="12801" width="49.33203125" style="19" customWidth="1"/>
    <col min="12802" max="12833" width="15.77734375" style="19" customWidth="1"/>
    <col min="12834" max="12835" width="10.5546875" style="19" customWidth="1"/>
    <col min="12836" max="12836" width="11" style="19" customWidth="1"/>
    <col min="12837" max="12837" width="13.109375" style="19" bestFit="1" customWidth="1"/>
    <col min="12838" max="12838" width="27.21875" style="19" customWidth="1"/>
    <col min="12839" max="12839" width="14.44140625" style="19" bestFit="1" customWidth="1"/>
    <col min="12840" max="12840" width="11.77734375" style="19" bestFit="1" customWidth="1"/>
    <col min="12841" max="12843" width="8.88671875" style="19"/>
    <col min="12844" max="12844" width="13.44140625" style="19" bestFit="1" customWidth="1"/>
    <col min="12845" max="13055" width="8.88671875" style="19"/>
    <col min="13056" max="13056" width="5.109375" style="19" customWidth="1"/>
    <col min="13057" max="13057" width="49.33203125" style="19" customWidth="1"/>
    <col min="13058" max="13089" width="15.77734375" style="19" customWidth="1"/>
    <col min="13090" max="13091" width="10.5546875" style="19" customWidth="1"/>
    <col min="13092" max="13092" width="11" style="19" customWidth="1"/>
    <col min="13093" max="13093" width="13.109375" style="19" bestFit="1" customWidth="1"/>
    <col min="13094" max="13094" width="27.21875" style="19" customWidth="1"/>
    <col min="13095" max="13095" width="14.44140625" style="19" bestFit="1" customWidth="1"/>
    <col min="13096" max="13096" width="11.77734375" style="19" bestFit="1" customWidth="1"/>
    <col min="13097" max="13099" width="8.88671875" style="19"/>
    <col min="13100" max="13100" width="13.44140625" style="19" bestFit="1" customWidth="1"/>
    <col min="13101" max="13311" width="8.88671875" style="19"/>
    <col min="13312" max="13312" width="5.109375" style="19" customWidth="1"/>
    <col min="13313" max="13313" width="49.33203125" style="19" customWidth="1"/>
    <col min="13314" max="13345" width="15.77734375" style="19" customWidth="1"/>
    <col min="13346" max="13347" width="10.5546875" style="19" customWidth="1"/>
    <col min="13348" max="13348" width="11" style="19" customWidth="1"/>
    <col min="13349" max="13349" width="13.109375" style="19" bestFit="1" customWidth="1"/>
    <col min="13350" max="13350" width="27.21875" style="19" customWidth="1"/>
    <col min="13351" max="13351" width="14.44140625" style="19" bestFit="1" customWidth="1"/>
    <col min="13352" max="13352" width="11.77734375" style="19" bestFit="1" customWidth="1"/>
    <col min="13353" max="13355" width="8.88671875" style="19"/>
    <col min="13356" max="13356" width="13.44140625" style="19" bestFit="1" customWidth="1"/>
    <col min="13357" max="13567" width="8.88671875" style="19"/>
    <col min="13568" max="13568" width="5.109375" style="19" customWidth="1"/>
    <col min="13569" max="13569" width="49.33203125" style="19" customWidth="1"/>
    <col min="13570" max="13601" width="15.77734375" style="19" customWidth="1"/>
    <col min="13602" max="13603" width="10.5546875" style="19" customWidth="1"/>
    <col min="13604" max="13604" width="11" style="19" customWidth="1"/>
    <col min="13605" max="13605" width="13.109375" style="19" bestFit="1" customWidth="1"/>
    <col min="13606" max="13606" width="27.21875" style="19" customWidth="1"/>
    <col min="13607" max="13607" width="14.44140625" style="19" bestFit="1" customWidth="1"/>
    <col min="13608" max="13608" width="11.77734375" style="19" bestFit="1" customWidth="1"/>
    <col min="13609" max="13611" width="8.88671875" style="19"/>
    <col min="13612" max="13612" width="13.44140625" style="19" bestFit="1" customWidth="1"/>
    <col min="13613" max="13823" width="8.88671875" style="19"/>
    <col min="13824" max="13824" width="5.109375" style="19" customWidth="1"/>
    <col min="13825" max="13825" width="49.33203125" style="19" customWidth="1"/>
    <col min="13826" max="13857" width="15.77734375" style="19" customWidth="1"/>
    <col min="13858" max="13859" width="10.5546875" style="19" customWidth="1"/>
    <col min="13860" max="13860" width="11" style="19" customWidth="1"/>
    <col min="13861" max="13861" width="13.109375" style="19" bestFit="1" customWidth="1"/>
    <col min="13862" max="13862" width="27.21875" style="19" customWidth="1"/>
    <col min="13863" max="13863" width="14.44140625" style="19" bestFit="1" customWidth="1"/>
    <col min="13864" max="13864" width="11.77734375" style="19" bestFit="1" customWidth="1"/>
    <col min="13865" max="13867" width="8.88671875" style="19"/>
    <col min="13868" max="13868" width="13.44140625" style="19" bestFit="1" customWidth="1"/>
    <col min="13869" max="14079" width="8.88671875" style="19"/>
    <col min="14080" max="14080" width="5.109375" style="19" customWidth="1"/>
    <col min="14081" max="14081" width="49.33203125" style="19" customWidth="1"/>
    <col min="14082" max="14113" width="15.77734375" style="19" customWidth="1"/>
    <col min="14114" max="14115" width="10.5546875" style="19" customWidth="1"/>
    <col min="14116" max="14116" width="11" style="19" customWidth="1"/>
    <col min="14117" max="14117" width="13.109375" style="19" bestFit="1" customWidth="1"/>
    <col min="14118" max="14118" width="27.21875" style="19" customWidth="1"/>
    <col min="14119" max="14119" width="14.44140625" style="19" bestFit="1" customWidth="1"/>
    <col min="14120" max="14120" width="11.77734375" style="19" bestFit="1" customWidth="1"/>
    <col min="14121" max="14123" width="8.88671875" style="19"/>
    <col min="14124" max="14124" width="13.44140625" style="19" bestFit="1" customWidth="1"/>
    <col min="14125" max="14335" width="8.88671875" style="19"/>
    <col min="14336" max="14336" width="5.109375" style="19" customWidth="1"/>
    <col min="14337" max="14337" width="49.33203125" style="19" customWidth="1"/>
    <col min="14338" max="14369" width="15.77734375" style="19" customWidth="1"/>
    <col min="14370" max="14371" width="10.5546875" style="19" customWidth="1"/>
    <col min="14372" max="14372" width="11" style="19" customWidth="1"/>
    <col min="14373" max="14373" width="13.109375" style="19" bestFit="1" customWidth="1"/>
    <col min="14374" max="14374" width="27.21875" style="19" customWidth="1"/>
    <col min="14375" max="14375" width="14.44140625" style="19" bestFit="1" customWidth="1"/>
    <col min="14376" max="14376" width="11.77734375" style="19" bestFit="1" customWidth="1"/>
    <col min="14377" max="14379" width="8.88671875" style="19"/>
    <col min="14380" max="14380" width="13.44140625" style="19" bestFit="1" customWidth="1"/>
    <col min="14381" max="14591" width="8.88671875" style="19"/>
    <col min="14592" max="14592" width="5.109375" style="19" customWidth="1"/>
    <col min="14593" max="14593" width="49.33203125" style="19" customWidth="1"/>
    <col min="14594" max="14625" width="15.77734375" style="19" customWidth="1"/>
    <col min="14626" max="14627" width="10.5546875" style="19" customWidth="1"/>
    <col min="14628" max="14628" width="11" style="19" customWidth="1"/>
    <col min="14629" max="14629" width="13.109375" style="19" bestFit="1" customWidth="1"/>
    <col min="14630" max="14630" width="27.21875" style="19" customWidth="1"/>
    <col min="14631" max="14631" width="14.44140625" style="19" bestFit="1" customWidth="1"/>
    <col min="14632" max="14632" width="11.77734375" style="19" bestFit="1" customWidth="1"/>
    <col min="14633" max="14635" width="8.88671875" style="19"/>
    <col min="14636" max="14636" width="13.44140625" style="19" bestFit="1" customWidth="1"/>
    <col min="14637" max="14847" width="8.88671875" style="19"/>
    <col min="14848" max="14848" width="5.109375" style="19" customWidth="1"/>
    <col min="14849" max="14849" width="49.33203125" style="19" customWidth="1"/>
    <col min="14850" max="14881" width="15.77734375" style="19" customWidth="1"/>
    <col min="14882" max="14883" width="10.5546875" style="19" customWidth="1"/>
    <col min="14884" max="14884" width="11" style="19" customWidth="1"/>
    <col min="14885" max="14885" width="13.109375" style="19" bestFit="1" customWidth="1"/>
    <col min="14886" max="14886" width="27.21875" style="19" customWidth="1"/>
    <col min="14887" max="14887" width="14.44140625" style="19" bestFit="1" customWidth="1"/>
    <col min="14888" max="14888" width="11.77734375" style="19" bestFit="1" customWidth="1"/>
    <col min="14889" max="14891" width="8.88671875" style="19"/>
    <col min="14892" max="14892" width="13.44140625" style="19" bestFit="1" customWidth="1"/>
    <col min="14893" max="15103" width="8.88671875" style="19"/>
    <col min="15104" max="15104" width="5.109375" style="19" customWidth="1"/>
    <col min="15105" max="15105" width="49.33203125" style="19" customWidth="1"/>
    <col min="15106" max="15137" width="15.77734375" style="19" customWidth="1"/>
    <col min="15138" max="15139" width="10.5546875" style="19" customWidth="1"/>
    <col min="15140" max="15140" width="11" style="19" customWidth="1"/>
    <col min="15141" max="15141" width="13.109375" style="19" bestFit="1" customWidth="1"/>
    <col min="15142" max="15142" width="27.21875" style="19" customWidth="1"/>
    <col min="15143" max="15143" width="14.44140625" style="19" bestFit="1" customWidth="1"/>
    <col min="15144" max="15144" width="11.77734375" style="19" bestFit="1" customWidth="1"/>
    <col min="15145" max="15147" width="8.88671875" style="19"/>
    <col min="15148" max="15148" width="13.44140625" style="19" bestFit="1" customWidth="1"/>
    <col min="15149" max="15359" width="8.88671875" style="19"/>
    <col min="15360" max="15360" width="5.109375" style="19" customWidth="1"/>
    <col min="15361" max="15361" width="49.33203125" style="19" customWidth="1"/>
    <col min="15362" max="15393" width="15.77734375" style="19" customWidth="1"/>
    <col min="15394" max="15395" width="10.5546875" style="19" customWidth="1"/>
    <col min="15396" max="15396" width="11" style="19" customWidth="1"/>
    <col min="15397" max="15397" width="13.109375" style="19" bestFit="1" customWidth="1"/>
    <col min="15398" max="15398" width="27.21875" style="19" customWidth="1"/>
    <col min="15399" max="15399" width="14.44140625" style="19" bestFit="1" customWidth="1"/>
    <col min="15400" max="15400" width="11.77734375" style="19" bestFit="1" customWidth="1"/>
    <col min="15401" max="15403" width="8.88671875" style="19"/>
    <col min="15404" max="15404" width="13.44140625" style="19" bestFit="1" customWidth="1"/>
    <col min="15405" max="15615" width="8.88671875" style="19"/>
    <col min="15616" max="15616" width="5.109375" style="19" customWidth="1"/>
    <col min="15617" max="15617" width="49.33203125" style="19" customWidth="1"/>
    <col min="15618" max="15649" width="15.77734375" style="19" customWidth="1"/>
    <col min="15650" max="15651" width="10.5546875" style="19" customWidth="1"/>
    <col min="15652" max="15652" width="11" style="19" customWidth="1"/>
    <col min="15653" max="15653" width="13.109375" style="19" bestFit="1" customWidth="1"/>
    <col min="15654" max="15654" width="27.21875" style="19" customWidth="1"/>
    <col min="15655" max="15655" width="14.44140625" style="19" bestFit="1" customWidth="1"/>
    <col min="15656" max="15656" width="11.77734375" style="19" bestFit="1" customWidth="1"/>
    <col min="15657" max="15659" width="8.88671875" style="19"/>
    <col min="15660" max="15660" width="13.44140625" style="19" bestFit="1" customWidth="1"/>
    <col min="15661" max="15871" width="8.88671875" style="19"/>
    <col min="15872" max="15872" width="5.109375" style="19" customWidth="1"/>
    <col min="15873" max="15873" width="49.33203125" style="19" customWidth="1"/>
    <col min="15874" max="15905" width="15.77734375" style="19" customWidth="1"/>
    <col min="15906" max="15907" width="10.5546875" style="19" customWidth="1"/>
    <col min="15908" max="15908" width="11" style="19" customWidth="1"/>
    <col min="15909" max="15909" width="13.109375" style="19" bestFit="1" customWidth="1"/>
    <col min="15910" max="15910" width="27.21875" style="19" customWidth="1"/>
    <col min="15911" max="15911" width="14.44140625" style="19" bestFit="1" customWidth="1"/>
    <col min="15912" max="15912" width="11.77734375" style="19" bestFit="1" customWidth="1"/>
    <col min="15913" max="15915" width="8.88671875" style="19"/>
    <col min="15916" max="15916" width="13.44140625" style="19" bestFit="1" customWidth="1"/>
    <col min="15917" max="16127" width="8.88671875" style="19"/>
    <col min="16128" max="16128" width="5.109375" style="19" customWidth="1"/>
    <col min="16129" max="16129" width="49.33203125" style="19" customWidth="1"/>
    <col min="16130" max="16161" width="15.77734375" style="19" customWidth="1"/>
    <col min="16162" max="16163" width="10.5546875" style="19" customWidth="1"/>
    <col min="16164" max="16164" width="11" style="19" customWidth="1"/>
    <col min="16165" max="16165" width="13.109375" style="19" bestFit="1" customWidth="1"/>
    <col min="16166" max="16166" width="27.21875" style="19" customWidth="1"/>
    <col min="16167" max="16167" width="14.44140625" style="19" bestFit="1" customWidth="1"/>
    <col min="16168" max="16168" width="11.77734375" style="19" bestFit="1" customWidth="1"/>
    <col min="16169" max="16171" width="8.88671875" style="19"/>
    <col min="16172" max="16172" width="13.44140625" style="19" bestFit="1" customWidth="1"/>
    <col min="16173" max="16384" width="8.88671875" style="19"/>
  </cols>
  <sheetData>
    <row r="1" spans="1:40" ht="15.75" customHeight="1" x14ac:dyDescent="0.2">
      <c r="A1" s="115" t="s">
        <v>57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</row>
    <row r="2" spans="1:40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</row>
    <row r="3" spans="1:40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2" t="s">
        <v>18</v>
      </c>
      <c r="AH3" s="20"/>
      <c r="AI3" s="20"/>
      <c r="AJ3" s="21"/>
      <c r="AK3" s="22"/>
      <c r="AL3" s="23" t="s">
        <v>0</v>
      </c>
      <c r="AM3" s="24"/>
      <c r="AN3" s="24"/>
    </row>
    <row r="4" spans="1:40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122"/>
      <c r="AH4" s="27"/>
      <c r="AI4" s="27"/>
      <c r="AJ4" s="14"/>
      <c r="AK4" s="28"/>
      <c r="AL4" s="23" t="s">
        <v>19</v>
      </c>
      <c r="AM4" s="29"/>
      <c r="AN4" s="30"/>
    </row>
    <row r="5" spans="1:40" s="25" customFormat="1" ht="18" customHeight="1" x14ac:dyDescent="0.2">
      <c r="A5" s="31">
        <v>1</v>
      </c>
      <c r="B5" s="32" t="s">
        <v>2</v>
      </c>
      <c r="C5" s="32">
        <v>19900000</v>
      </c>
      <c r="D5" s="33"/>
      <c r="E5" s="32">
        <v>6672000</v>
      </c>
      <c r="F5" s="34">
        <v>4960000</v>
      </c>
      <c r="G5" s="34">
        <v>4308000</v>
      </c>
      <c r="H5" s="34">
        <v>16712000</v>
      </c>
      <c r="I5" s="32">
        <v>27216000</v>
      </c>
      <c r="J5" s="33"/>
      <c r="K5" s="32">
        <v>6104000</v>
      </c>
      <c r="L5" s="32">
        <v>6720000</v>
      </c>
      <c r="M5" s="32">
        <v>5368000</v>
      </c>
      <c r="N5" s="32">
        <v>5328000</v>
      </c>
      <c r="O5" s="32">
        <v>22112000</v>
      </c>
      <c r="P5" s="32">
        <v>25836000</v>
      </c>
      <c r="Q5" s="33"/>
      <c r="R5" s="32">
        <v>23164000</v>
      </c>
      <c r="S5" s="32">
        <v>6916000</v>
      </c>
      <c r="T5" s="32">
        <v>6200000</v>
      </c>
      <c r="U5" s="32">
        <v>6160000</v>
      </c>
      <c r="V5" s="32">
        <v>21584000</v>
      </c>
      <c r="W5" s="32">
        <v>31436000</v>
      </c>
      <c r="X5" s="33"/>
      <c r="Y5" s="32">
        <v>13992000</v>
      </c>
      <c r="Z5" s="32">
        <v>11500000</v>
      </c>
      <c r="AA5" s="32">
        <v>11832000</v>
      </c>
      <c r="AB5" s="32">
        <v>13868000</v>
      </c>
      <c r="AC5" s="32"/>
      <c r="AD5" s="32"/>
      <c r="AE5" s="33"/>
      <c r="AF5" s="32"/>
      <c r="AG5" s="35">
        <f t="shared" ref="AG5:AG22" si="0">SUM(C5:AF5)</f>
        <v>297888000</v>
      </c>
      <c r="AH5" s="107">
        <f>AG5/4000</f>
        <v>74472</v>
      </c>
      <c r="AI5" s="109">
        <v>284764000</v>
      </c>
      <c r="AJ5" s="111">
        <f>AG5+AI5</f>
        <v>582652000</v>
      </c>
      <c r="AK5" s="38"/>
      <c r="AL5" s="3" t="s">
        <v>2</v>
      </c>
      <c r="AM5" s="39">
        <f t="shared" ref="AM5:AM23" si="1">AG5</f>
        <v>297888000</v>
      </c>
      <c r="AN5" s="30"/>
    </row>
    <row r="6" spans="1:40" s="25" customFormat="1" ht="18" customHeight="1" x14ac:dyDescent="0.2">
      <c r="A6" s="40">
        <v>2</v>
      </c>
      <c r="B6" s="41" t="s">
        <v>3</v>
      </c>
      <c r="C6" s="41">
        <v>4572000</v>
      </c>
      <c r="D6" s="42"/>
      <c r="E6" s="41">
        <v>1221000</v>
      </c>
      <c r="F6" s="41">
        <v>795000</v>
      </c>
      <c r="G6" s="41">
        <v>795000</v>
      </c>
      <c r="H6" s="41">
        <v>3177000</v>
      </c>
      <c r="I6" s="41">
        <v>5313000</v>
      </c>
      <c r="J6" s="42"/>
      <c r="K6" s="41">
        <v>1389000</v>
      </c>
      <c r="L6" s="41">
        <v>1212000</v>
      </c>
      <c r="M6" s="41">
        <v>912000</v>
      </c>
      <c r="N6" s="41">
        <v>873000</v>
      </c>
      <c r="O6" s="41">
        <v>4287000</v>
      </c>
      <c r="P6" s="41">
        <v>5958000</v>
      </c>
      <c r="Q6" s="42"/>
      <c r="R6" s="41">
        <v>5046000</v>
      </c>
      <c r="S6" s="41">
        <v>1674000</v>
      </c>
      <c r="T6" s="41">
        <v>1800000</v>
      </c>
      <c r="U6" s="41">
        <v>1212000</v>
      </c>
      <c r="V6" s="41">
        <v>4728000</v>
      </c>
      <c r="W6" s="41">
        <v>8307000</v>
      </c>
      <c r="X6" s="42"/>
      <c r="Y6" s="41">
        <v>4617000</v>
      </c>
      <c r="Z6" s="41">
        <v>3699000</v>
      </c>
      <c r="AA6" s="41">
        <v>4152000</v>
      </c>
      <c r="AB6" s="41">
        <v>3585000</v>
      </c>
      <c r="AC6" s="41"/>
      <c r="AD6" s="41"/>
      <c r="AE6" s="42"/>
      <c r="AF6" s="41"/>
      <c r="AG6" s="84">
        <f t="shared" si="0"/>
        <v>69324000</v>
      </c>
      <c r="AH6" s="107">
        <f>AG6/3000</f>
        <v>23108</v>
      </c>
      <c r="AI6" s="109">
        <v>46983000</v>
      </c>
      <c r="AJ6" s="111">
        <f t="shared" ref="AJ6:AJ22" si="2">AG6+AI6</f>
        <v>116307000</v>
      </c>
      <c r="AK6" s="38"/>
      <c r="AL6" s="3" t="s">
        <v>3</v>
      </c>
      <c r="AM6" s="39">
        <f t="shared" si="1"/>
        <v>69324000</v>
      </c>
      <c r="AN6" s="30"/>
    </row>
    <row r="7" spans="1:40" s="25" customFormat="1" ht="18" customHeight="1" x14ac:dyDescent="0.2">
      <c r="A7" s="40">
        <v>3</v>
      </c>
      <c r="B7" s="41" t="s">
        <v>4</v>
      </c>
      <c r="C7" s="41"/>
      <c r="D7" s="42"/>
      <c r="E7" s="41"/>
      <c r="F7" s="41"/>
      <c r="G7" s="41"/>
      <c r="H7" s="41"/>
      <c r="I7" s="41"/>
      <c r="J7" s="42"/>
      <c r="K7" s="41"/>
      <c r="L7" s="41"/>
      <c r="M7" s="41"/>
      <c r="N7" s="41"/>
      <c r="O7" s="41"/>
      <c r="P7" s="41"/>
      <c r="Q7" s="42"/>
      <c r="R7" s="41"/>
      <c r="S7" s="41"/>
      <c r="T7" s="41"/>
      <c r="U7" s="41"/>
      <c r="V7" s="41"/>
      <c r="W7" s="41"/>
      <c r="X7" s="42"/>
      <c r="Y7" s="41"/>
      <c r="Z7" s="41"/>
      <c r="AA7" s="41"/>
      <c r="AB7" s="41"/>
      <c r="AC7" s="41"/>
      <c r="AD7" s="41"/>
      <c r="AE7" s="42"/>
      <c r="AF7" s="41"/>
      <c r="AG7" s="84">
        <f t="shared" si="0"/>
        <v>0</v>
      </c>
      <c r="AH7" s="107">
        <f>AG7/3000</f>
        <v>0</v>
      </c>
      <c r="AI7" s="109"/>
      <c r="AJ7" s="111">
        <f t="shared" si="2"/>
        <v>0</v>
      </c>
      <c r="AK7" s="38"/>
      <c r="AL7" s="3" t="s">
        <v>4</v>
      </c>
      <c r="AM7" s="39">
        <f t="shared" si="1"/>
        <v>0</v>
      </c>
      <c r="AN7" s="30"/>
    </row>
    <row r="8" spans="1:40" s="25" customFormat="1" ht="18" customHeight="1" x14ac:dyDescent="0.2">
      <c r="A8" s="40">
        <v>4</v>
      </c>
      <c r="B8" s="41" t="s">
        <v>5</v>
      </c>
      <c r="C8" s="41"/>
      <c r="D8" s="42"/>
      <c r="E8" s="41"/>
      <c r="F8" s="41"/>
      <c r="G8" s="41"/>
      <c r="H8" s="41"/>
      <c r="I8" s="41"/>
      <c r="J8" s="42"/>
      <c r="K8" s="41"/>
      <c r="L8" s="41"/>
      <c r="M8" s="41"/>
      <c r="N8" s="41"/>
      <c r="O8" s="41"/>
      <c r="P8" s="41"/>
      <c r="Q8" s="42"/>
      <c r="R8" s="41"/>
      <c r="S8" s="41"/>
      <c r="T8" s="41"/>
      <c r="U8" s="41"/>
      <c r="V8" s="41"/>
      <c r="W8" s="41"/>
      <c r="X8" s="42"/>
      <c r="Y8" s="41"/>
      <c r="Z8" s="41"/>
      <c r="AA8" s="41"/>
      <c r="AB8" s="41"/>
      <c r="AC8" s="41"/>
      <c r="AD8" s="41"/>
      <c r="AE8" s="42"/>
      <c r="AF8" s="41"/>
      <c r="AG8" s="84">
        <f t="shared" si="0"/>
        <v>0</v>
      </c>
      <c r="AH8" s="107">
        <f>AG8/2250</f>
        <v>0</v>
      </c>
      <c r="AI8" s="109"/>
      <c r="AJ8" s="111">
        <f t="shared" si="2"/>
        <v>0</v>
      </c>
      <c r="AK8" s="38"/>
      <c r="AL8" s="3" t="s">
        <v>5</v>
      </c>
      <c r="AM8" s="39">
        <f t="shared" si="1"/>
        <v>0</v>
      </c>
      <c r="AN8" s="30"/>
    </row>
    <row r="9" spans="1:40" s="25" customFormat="1" ht="18" customHeight="1" x14ac:dyDescent="0.2">
      <c r="A9" s="40">
        <v>5</v>
      </c>
      <c r="B9" s="43" t="s">
        <v>20</v>
      </c>
      <c r="C9" s="41">
        <v>797500</v>
      </c>
      <c r="D9" s="42"/>
      <c r="E9" s="41">
        <v>50000</v>
      </c>
      <c r="F9" s="41">
        <v>62500</v>
      </c>
      <c r="G9" s="41">
        <v>30000</v>
      </c>
      <c r="H9" s="41">
        <v>422500</v>
      </c>
      <c r="I9" s="41">
        <v>717500</v>
      </c>
      <c r="J9" s="42"/>
      <c r="K9" s="41">
        <v>55000</v>
      </c>
      <c r="L9" s="41">
        <v>187500</v>
      </c>
      <c r="M9" s="41">
        <v>77500</v>
      </c>
      <c r="N9" s="41">
        <v>67500</v>
      </c>
      <c r="O9" s="41">
        <v>405000</v>
      </c>
      <c r="P9" s="41">
        <v>850000</v>
      </c>
      <c r="Q9" s="42"/>
      <c r="R9" s="41">
        <v>602500</v>
      </c>
      <c r="S9" s="41">
        <v>45000</v>
      </c>
      <c r="T9" s="41">
        <v>37500</v>
      </c>
      <c r="U9" s="41">
        <v>42500</v>
      </c>
      <c r="V9" s="41">
        <v>377500</v>
      </c>
      <c r="W9" s="41">
        <v>1067500</v>
      </c>
      <c r="X9" s="42">
        <v>275000</v>
      </c>
      <c r="Y9" s="41">
        <v>52500</v>
      </c>
      <c r="Z9" s="41">
        <v>77500</v>
      </c>
      <c r="AA9" s="41">
        <v>167500</v>
      </c>
      <c r="AB9" s="41">
        <v>112500</v>
      </c>
      <c r="AC9" s="41">
        <v>1020000</v>
      </c>
      <c r="AD9" s="41">
        <v>1605000</v>
      </c>
      <c r="AE9" s="42"/>
      <c r="AF9" s="41"/>
      <c r="AG9" s="84">
        <f t="shared" si="0"/>
        <v>9205000</v>
      </c>
      <c r="AH9" s="107">
        <f>AG9/2500</f>
        <v>3682</v>
      </c>
      <c r="AI9" s="109">
        <v>36635000</v>
      </c>
      <c r="AJ9" s="111">
        <f t="shared" si="2"/>
        <v>45840000</v>
      </c>
      <c r="AK9" s="38"/>
      <c r="AL9" s="3"/>
      <c r="AM9" s="39"/>
      <c r="AN9" s="30"/>
    </row>
    <row r="10" spans="1:40" s="25" customFormat="1" ht="18" customHeight="1" x14ac:dyDescent="0.2">
      <c r="A10" s="40">
        <v>6</v>
      </c>
      <c r="B10" s="44" t="s">
        <v>21</v>
      </c>
      <c r="C10" s="44"/>
      <c r="D10" s="42"/>
      <c r="E10" s="44">
        <v>1044000</v>
      </c>
      <c r="F10" s="44">
        <v>660000</v>
      </c>
      <c r="G10" s="44">
        <v>474000</v>
      </c>
      <c r="H10" s="44"/>
      <c r="I10" s="44"/>
      <c r="J10" s="42"/>
      <c r="K10" s="44">
        <v>888000</v>
      </c>
      <c r="L10" s="44">
        <v>1614000</v>
      </c>
      <c r="M10" s="44">
        <v>1380000</v>
      </c>
      <c r="N10" s="44">
        <v>840000</v>
      </c>
      <c r="O10" s="44"/>
      <c r="P10" s="44"/>
      <c r="Q10" s="42"/>
      <c r="R10" s="44"/>
      <c r="S10" s="44">
        <v>1104000</v>
      </c>
      <c r="T10" s="44">
        <v>1512000</v>
      </c>
      <c r="U10" s="44">
        <v>948000</v>
      </c>
      <c r="V10" s="44"/>
      <c r="W10" s="44"/>
      <c r="X10" s="42">
        <v>894000</v>
      </c>
      <c r="Y10" s="44">
        <v>1632000</v>
      </c>
      <c r="Z10" s="44">
        <v>2256000</v>
      </c>
      <c r="AA10" s="44">
        <v>2262000</v>
      </c>
      <c r="AB10" s="44">
        <v>2448000</v>
      </c>
      <c r="AC10" s="44"/>
      <c r="AD10" s="44"/>
      <c r="AE10" s="42"/>
      <c r="AF10" s="44"/>
      <c r="AG10" s="84">
        <f t="shared" si="0"/>
        <v>19956000</v>
      </c>
      <c r="AH10" s="107">
        <f>AG10/6000</f>
        <v>3326</v>
      </c>
      <c r="AI10" s="109">
        <v>54252000</v>
      </c>
      <c r="AJ10" s="111">
        <f t="shared" si="2"/>
        <v>74208000</v>
      </c>
      <c r="AK10" s="38"/>
      <c r="AL10" s="3" t="s">
        <v>10</v>
      </c>
      <c r="AM10" s="39">
        <f t="shared" si="1"/>
        <v>19956000</v>
      </c>
      <c r="AN10" s="30"/>
    </row>
    <row r="11" spans="1:40" s="50" customFormat="1" ht="18" customHeight="1" x14ac:dyDescent="0.2">
      <c r="A11" s="40">
        <v>7</v>
      </c>
      <c r="B11" s="44" t="s">
        <v>22</v>
      </c>
      <c r="C11" s="44"/>
      <c r="D11" s="42"/>
      <c r="E11" s="44">
        <v>246000</v>
      </c>
      <c r="F11" s="46">
        <v>492000</v>
      </c>
      <c r="G11" s="46">
        <v>264000</v>
      </c>
      <c r="H11" s="46"/>
      <c r="I11" s="44"/>
      <c r="J11" s="42"/>
      <c r="K11" s="44">
        <v>708000</v>
      </c>
      <c r="L11" s="44">
        <v>768000</v>
      </c>
      <c r="M11" s="44">
        <v>816000</v>
      </c>
      <c r="N11" s="44">
        <v>606000</v>
      </c>
      <c r="O11" s="44"/>
      <c r="P11" s="44"/>
      <c r="Q11" s="42"/>
      <c r="R11" s="44"/>
      <c r="S11" s="44">
        <v>732000</v>
      </c>
      <c r="T11" s="44">
        <v>1050000</v>
      </c>
      <c r="U11" s="44">
        <v>540000</v>
      </c>
      <c r="V11" s="44"/>
      <c r="W11" s="44"/>
      <c r="X11" s="42">
        <v>576000</v>
      </c>
      <c r="Y11" s="44">
        <v>870000</v>
      </c>
      <c r="Z11" s="44">
        <v>1374000</v>
      </c>
      <c r="AA11" s="44">
        <v>1200000</v>
      </c>
      <c r="AB11" s="44">
        <v>1746000</v>
      </c>
      <c r="AC11" s="44"/>
      <c r="AD11" s="44"/>
      <c r="AE11" s="42"/>
      <c r="AF11" s="44"/>
      <c r="AG11" s="84">
        <f t="shared" si="0"/>
        <v>11988000</v>
      </c>
      <c r="AH11" s="107">
        <f>AG11/6000</f>
        <v>1998</v>
      </c>
      <c r="AI11" s="109">
        <v>13356000</v>
      </c>
      <c r="AJ11" s="111">
        <f t="shared" si="2"/>
        <v>25344000</v>
      </c>
      <c r="AK11" s="47"/>
      <c r="AL11" s="48" t="s">
        <v>23</v>
      </c>
      <c r="AM11" s="39">
        <f t="shared" si="1"/>
        <v>11988000</v>
      </c>
      <c r="AN11" s="49"/>
    </row>
    <row r="12" spans="1:40" s="50" customFormat="1" ht="18" customHeight="1" x14ac:dyDescent="0.2">
      <c r="A12" s="40">
        <v>8</v>
      </c>
      <c r="B12" s="44" t="s">
        <v>24</v>
      </c>
      <c r="C12" s="44"/>
      <c r="D12" s="42"/>
      <c r="E12" s="51"/>
      <c r="F12" s="44"/>
      <c r="G12" s="44"/>
      <c r="H12" s="44"/>
      <c r="I12" s="44"/>
      <c r="J12" s="42"/>
      <c r="K12" s="44"/>
      <c r="L12" s="44"/>
      <c r="M12" s="44"/>
      <c r="N12" s="44"/>
      <c r="O12" s="44"/>
      <c r="P12" s="44"/>
      <c r="Q12" s="42"/>
      <c r="R12" s="44"/>
      <c r="S12" s="44"/>
      <c r="T12" s="44"/>
      <c r="U12" s="44"/>
      <c r="V12" s="44"/>
      <c r="W12" s="44"/>
      <c r="X12" s="42"/>
      <c r="Y12" s="44"/>
      <c r="Z12" s="44"/>
      <c r="AA12" s="44"/>
      <c r="AB12" s="44"/>
      <c r="AC12" s="44"/>
      <c r="AD12" s="44"/>
      <c r="AE12" s="42"/>
      <c r="AF12" s="44"/>
      <c r="AG12" s="84">
        <f t="shared" si="0"/>
        <v>0</v>
      </c>
      <c r="AH12" s="107">
        <f>AG12/4500</f>
        <v>0</v>
      </c>
      <c r="AI12" s="109"/>
      <c r="AJ12" s="111">
        <f t="shared" si="2"/>
        <v>0</v>
      </c>
      <c r="AK12" s="47"/>
      <c r="AL12" s="48" t="s">
        <v>25</v>
      </c>
      <c r="AM12" s="39">
        <f t="shared" si="1"/>
        <v>0</v>
      </c>
      <c r="AN12" s="49"/>
    </row>
    <row r="13" spans="1:40" s="50" customFormat="1" ht="18" customHeight="1" x14ac:dyDescent="0.2">
      <c r="A13" s="40">
        <v>9</v>
      </c>
      <c r="B13" s="44" t="s">
        <v>26</v>
      </c>
      <c r="C13" s="44"/>
      <c r="D13" s="42"/>
      <c r="E13" s="44"/>
      <c r="F13" s="44"/>
      <c r="G13" s="44"/>
      <c r="H13" s="44"/>
      <c r="I13" s="44"/>
      <c r="J13" s="42"/>
      <c r="K13" s="44"/>
      <c r="L13" s="44"/>
      <c r="M13" s="44"/>
      <c r="N13" s="44"/>
      <c r="O13" s="44"/>
      <c r="P13" s="44"/>
      <c r="Q13" s="42"/>
      <c r="R13" s="44"/>
      <c r="S13" s="44"/>
      <c r="T13" s="44"/>
      <c r="U13" s="44"/>
      <c r="V13" s="44"/>
      <c r="W13" s="44"/>
      <c r="X13" s="42"/>
      <c r="Y13" s="44"/>
      <c r="Z13" s="44"/>
      <c r="AA13" s="44"/>
      <c r="AB13" s="44"/>
      <c r="AC13" s="44"/>
      <c r="AD13" s="44"/>
      <c r="AE13" s="42"/>
      <c r="AF13" s="44"/>
      <c r="AG13" s="84">
        <f t="shared" si="0"/>
        <v>0</v>
      </c>
      <c r="AH13" s="107">
        <f>AG13/4500</f>
        <v>0</v>
      </c>
      <c r="AI13" s="109"/>
      <c r="AJ13" s="111">
        <f t="shared" si="2"/>
        <v>0</v>
      </c>
      <c r="AK13" s="47"/>
      <c r="AL13" s="48" t="s">
        <v>27</v>
      </c>
      <c r="AM13" s="39">
        <f t="shared" si="1"/>
        <v>0</v>
      </c>
      <c r="AN13" s="49"/>
    </row>
    <row r="14" spans="1:40" s="50" customFormat="1" ht="18" customHeight="1" x14ac:dyDescent="0.2">
      <c r="A14" s="40">
        <v>10</v>
      </c>
      <c r="B14" s="52" t="s">
        <v>28</v>
      </c>
      <c r="C14" s="52">
        <v>6277500</v>
      </c>
      <c r="D14" s="42"/>
      <c r="E14" s="52"/>
      <c r="F14" s="52"/>
      <c r="G14" s="52"/>
      <c r="H14" s="52">
        <v>4687500</v>
      </c>
      <c r="I14" s="52">
        <v>8115000</v>
      </c>
      <c r="J14" s="42"/>
      <c r="K14" s="52"/>
      <c r="L14" s="52"/>
      <c r="M14" s="52"/>
      <c r="N14" s="52"/>
      <c r="O14" s="52">
        <v>4702500</v>
      </c>
      <c r="P14" s="52">
        <v>6442500</v>
      </c>
      <c r="Q14" s="42"/>
      <c r="R14" s="52">
        <v>9817500</v>
      </c>
      <c r="S14" s="52"/>
      <c r="T14" s="52"/>
      <c r="U14" s="52"/>
      <c r="V14" s="52">
        <v>4957500</v>
      </c>
      <c r="W14" s="52">
        <v>9630000</v>
      </c>
      <c r="X14" s="42"/>
      <c r="Y14" s="52"/>
      <c r="Z14" s="52"/>
      <c r="AA14" s="52"/>
      <c r="AB14" s="52"/>
      <c r="AC14" s="52">
        <v>12697500</v>
      </c>
      <c r="AD14" s="52">
        <v>18202500</v>
      </c>
      <c r="AE14" s="42"/>
      <c r="AF14" s="52"/>
      <c r="AG14" s="84">
        <f t="shared" si="0"/>
        <v>85530000</v>
      </c>
      <c r="AH14" s="107">
        <f>AG14/7500</f>
        <v>11404</v>
      </c>
      <c r="AI14" s="109">
        <v>111577500</v>
      </c>
      <c r="AJ14" s="111">
        <f t="shared" si="2"/>
        <v>197107500</v>
      </c>
      <c r="AK14" s="47"/>
      <c r="AL14" s="48" t="s">
        <v>29</v>
      </c>
      <c r="AM14" s="39">
        <f t="shared" si="1"/>
        <v>85530000</v>
      </c>
      <c r="AN14" s="49"/>
    </row>
    <row r="15" spans="1:40" s="11" customFormat="1" ht="18" customHeight="1" x14ac:dyDescent="0.2">
      <c r="A15" s="40">
        <v>11</v>
      </c>
      <c r="B15" s="52" t="s">
        <v>30</v>
      </c>
      <c r="C15" s="52">
        <v>4635000</v>
      </c>
      <c r="D15" s="42"/>
      <c r="E15" s="52"/>
      <c r="F15" s="52"/>
      <c r="G15" s="52"/>
      <c r="H15" s="52">
        <v>3360000</v>
      </c>
      <c r="I15" s="52">
        <v>5730000</v>
      </c>
      <c r="J15" s="42"/>
      <c r="K15" s="52"/>
      <c r="L15" s="52"/>
      <c r="M15" s="52"/>
      <c r="N15" s="52"/>
      <c r="O15" s="52">
        <v>3157500</v>
      </c>
      <c r="P15" s="52">
        <v>4327500</v>
      </c>
      <c r="Q15" s="42"/>
      <c r="R15" s="52">
        <v>6525000</v>
      </c>
      <c r="S15" s="52"/>
      <c r="T15" s="52"/>
      <c r="U15" s="52"/>
      <c r="V15" s="52">
        <v>3742500</v>
      </c>
      <c r="W15" s="52">
        <v>6405000</v>
      </c>
      <c r="X15" s="42"/>
      <c r="Y15" s="52"/>
      <c r="Z15" s="52"/>
      <c r="AA15" s="52"/>
      <c r="AB15" s="52"/>
      <c r="AC15" s="52">
        <v>9382500</v>
      </c>
      <c r="AD15" s="52">
        <v>14332500</v>
      </c>
      <c r="AE15" s="42"/>
      <c r="AF15" s="52"/>
      <c r="AG15" s="84">
        <f t="shared" si="0"/>
        <v>61597500</v>
      </c>
      <c r="AH15" s="107">
        <f>AG15/7500</f>
        <v>8213</v>
      </c>
      <c r="AI15" s="109">
        <v>25185000</v>
      </c>
      <c r="AJ15" s="111">
        <f t="shared" si="2"/>
        <v>86782500</v>
      </c>
      <c r="AK15" s="38"/>
      <c r="AL15" s="54" t="s">
        <v>21</v>
      </c>
      <c r="AM15" s="39">
        <f t="shared" si="1"/>
        <v>61597500</v>
      </c>
      <c r="AN15" s="29"/>
    </row>
    <row r="16" spans="1:40" s="11" customFormat="1" ht="18" customHeight="1" x14ac:dyDescent="0.2">
      <c r="A16" s="40">
        <v>12</v>
      </c>
      <c r="B16" s="55" t="s">
        <v>31</v>
      </c>
      <c r="C16" s="52"/>
      <c r="D16" s="42"/>
      <c r="E16" s="52"/>
      <c r="F16" s="52"/>
      <c r="G16" s="52"/>
      <c r="H16" s="52"/>
      <c r="I16" s="52"/>
      <c r="J16" s="42"/>
      <c r="K16" s="52"/>
      <c r="L16" s="52"/>
      <c r="M16" s="52"/>
      <c r="N16" s="52"/>
      <c r="O16" s="52"/>
      <c r="P16" s="52"/>
      <c r="Q16" s="42"/>
      <c r="R16" s="52"/>
      <c r="S16" s="52"/>
      <c r="T16" s="52"/>
      <c r="U16" s="52"/>
      <c r="V16" s="52"/>
      <c r="W16" s="52"/>
      <c r="X16" s="42"/>
      <c r="Y16" s="52"/>
      <c r="Z16" s="52"/>
      <c r="AA16" s="52"/>
      <c r="AB16" s="52"/>
      <c r="AC16" s="52"/>
      <c r="AD16" s="52"/>
      <c r="AE16" s="42"/>
      <c r="AF16" s="52"/>
      <c r="AG16" s="84">
        <f t="shared" si="0"/>
        <v>0</v>
      </c>
      <c r="AH16" s="107">
        <f>AG16/5625</f>
        <v>0</v>
      </c>
      <c r="AI16" s="109"/>
      <c r="AJ16" s="111">
        <f t="shared" si="2"/>
        <v>0</v>
      </c>
      <c r="AK16" s="38"/>
      <c r="AL16" s="54" t="s">
        <v>22</v>
      </c>
      <c r="AM16" s="39">
        <f t="shared" si="1"/>
        <v>0</v>
      </c>
      <c r="AN16" s="29"/>
    </row>
    <row r="17" spans="1:40" s="11" customFormat="1" ht="18" customHeight="1" x14ac:dyDescent="0.2">
      <c r="A17" s="40">
        <v>13</v>
      </c>
      <c r="B17" s="52" t="s">
        <v>32</v>
      </c>
      <c r="C17" s="52"/>
      <c r="D17" s="42"/>
      <c r="E17" s="52"/>
      <c r="F17" s="52"/>
      <c r="G17" s="52"/>
      <c r="H17" s="52"/>
      <c r="I17" s="52"/>
      <c r="J17" s="42"/>
      <c r="K17" s="52"/>
      <c r="L17" s="52"/>
      <c r="M17" s="52"/>
      <c r="N17" s="52"/>
      <c r="O17" s="52"/>
      <c r="P17" s="52"/>
      <c r="Q17" s="42"/>
      <c r="R17" s="52"/>
      <c r="S17" s="52"/>
      <c r="T17" s="52"/>
      <c r="U17" s="52"/>
      <c r="V17" s="52"/>
      <c r="W17" s="52"/>
      <c r="X17" s="42"/>
      <c r="Y17" s="52"/>
      <c r="Z17" s="52"/>
      <c r="AA17" s="52"/>
      <c r="AB17" s="52"/>
      <c r="AC17" s="52"/>
      <c r="AD17" s="52"/>
      <c r="AE17" s="42"/>
      <c r="AF17" s="52"/>
      <c r="AG17" s="84">
        <f t="shared" si="0"/>
        <v>0</v>
      </c>
      <c r="AH17" s="107">
        <f>AG17/5625</f>
        <v>0</v>
      </c>
      <c r="AI17" s="109"/>
      <c r="AJ17" s="111">
        <f t="shared" si="2"/>
        <v>0</v>
      </c>
      <c r="AK17" s="38"/>
      <c r="AL17" s="54" t="s">
        <v>24</v>
      </c>
      <c r="AM17" s="39">
        <f t="shared" si="1"/>
        <v>0</v>
      </c>
      <c r="AN17" s="29"/>
    </row>
    <row r="18" spans="1:40" s="11" customFormat="1" ht="18" customHeight="1" x14ac:dyDescent="0.2">
      <c r="A18" s="40">
        <v>14</v>
      </c>
      <c r="B18" s="41" t="s">
        <v>6</v>
      </c>
      <c r="C18" s="41"/>
      <c r="D18" s="42"/>
      <c r="E18" s="41"/>
      <c r="F18" s="41"/>
      <c r="G18" s="41"/>
      <c r="H18" s="41"/>
      <c r="I18" s="41"/>
      <c r="J18" s="42"/>
      <c r="K18" s="41"/>
      <c r="L18" s="41"/>
      <c r="M18" s="41"/>
      <c r="N18" s="41"/>
      <c r="O18" s="41"/>
      <c r="P18" s="41"/>
      <c r="Q18" s="42"/>
      <c r="R18" s="41"/>
      <c r="S18" s="41"/>
      <c r="T18" s="41"/>
      <c r="U18" s="41"/>
      <c r="V18" s="41"/>
      <c r="W18" s="41"/>
      <c r="X18" s="42"/>
      <c r="Y18" s="41"/>
      <c r="Z18" s="41"/>
      <c r="AA18" s="41"/>
      <c r="AB18" s="41"/>
      <c r="AC18" s="41"/>
      <c r="AD18" s="41"/>
      <c r="AE18" s="42"/>
      <c r="AF18" s="41"/>
      <c r="AG18" s="84">
        <f t="shared" si="0"/>
        <v>0</v>
      </c>
      <c r="AH18" s="107">
        <f>AG18/15000</f>
        <v>0</v>
      </c>
      <c r="AI18" s="110">
        <v>1815000</v>
      </c>
      <c r="AJ18" s="111">
        <f t="shared" si="2"/>
        <v>1815000</v>
      </c>
      <c r="AK18" s="38"/>
      <c r="AL18" s="54" t="s">
        <v>26</v>
      </c>
      <c r="AM18" s="39">
        <f t="shared" si="1"/>
        <v>0</v>
      </c>
      <c r="AN18" s="29"/>
    </row>
    <row r="19" spans="1:40" s="11" customFormat="1" ht="18" customHeight="1" x14ac:dyDescent="0.2">
      <c r="A19" s="40">
        <v>15</v>
      </c>
      <c r="B19" s="41" t="s">
        <v>7</v>
      </c>
      <c r="C19" s="41"/>
      <c r="D19" s="42"/>
      <c r="E19" s="41"/>
      <c r="F19" s="41"/>
      <c r="G19" s="41"/>
      <c r="H19" s="41"/>
      <c r="I19" s="41"/>
      <c r="J19" s="42"/>
      <c r="K19" s="41"/>
      <c r="L19" s="41"/>
      <c r="M19" s="41"/>
      <c r="N19" s="41"/>
      <c r="O19" s="41"/>
      <c r="P19" s="41"/>
      <c r="Q19" s="42"/>
      <c r="R19" s="41"/>
      <c r="S19" s="41"/>
      <c r="T19" s="41"/>
      <c r="U19" s="41"/>
      <c r="V19" s="41"/>
      <c r="W19" s="41"/>
      <c r="X19" s="42"/>
      <c r="Y19" s="41"/>
      <c r="Z19" s="41"/>
      <c r="AA19" s="41"/>
      <c r="AB19" s="41"/>
      <c r="AC19" s="41"/>
      <c r="AD19" s="41"/>
      <c r="AE19" s="42"/>
      <c r="AF19" s="41"/>
      <c r="AG19" s="84">
        <f t="shared" si="0"/>
        <v>0</v>
      </c>
      <c r="AH19" s="107">
        <f>AG19/12500</f>
        <v>0</v>
      </c>
      <c r="AI19" s="110">
        <v>1087500</v>
      </c>
      <c r="AJ19" s="111">
        <f t="shared" si="2"/>
        <v>1087500</v>
      </c>
      <c r="AK19" s="38"/>
      <c r="AL19" s="58" t="s">
        <v>28</v>
      </c>
      <c r="AM19" s="39">
        <f t="shared" si="1"/>
        <v>0</v>
      </c>
      <c r="AN19" s="29"/>
    </row>
    <row r="20" spans="1:40" s="11" customFormat="1" ht="18" customHeight="1" x14ac:dyDescent="0.2">
      <c r="A20" s="40">
        <v>16</v>
      </c>
      <c r="B20" s="41" t="s">
        <v>8</v>
      </c>
      <c r="C20" s="41"/>
      <c r="D20" s="42"/>
      <c r="E20" s="41"/>
      <c r="F20" s="41"/>
      <c r="G20" s="41"/>
      <c r="H20" s="41"/>
      <c r="I20" s="41"/>
      <c r="J20" s="42"/>
      <c r="K20" s="41"/>
      <c r="L20" s="41"/>
      <c r="M20" s="41"/>
      <c r="N20" s="41"/>
      <c r="O20" s="41"/>
      <c r="P20" s="41"/>
      <c r="Q20" s="42"/>
      <c r="R20" s="41"/>
      <c r="S20" s="41"/>
      <c r="T20" s="41"/>
      <c r="U20" s="41"/>
      <c r="V20" s="41"/>
      <c r="W20" s="41"/>
      <c r="X20" s="42"/>
      <c r="Y20" s="41"/>
      <c r="Z20" s="41"/>
      <c r="AA20" s="41"/>
      <c r="AB20" s="41"/>
      <c r="AC20" s="41"/>
      <c r="AD20" s="41"/>
      <c r="AE20" s="42"/>
      <c r="AF20" s="41"/>
      <c r="AG20" s="84">
        <f t="shared" si="0"/>
        <v>0</v>
      </c>
      <c r="AH20" s="107">
        <f>AG20/6000</f>
        <v>0</v>
      </c>
      <c r="AI20" s="110">
        <v>25770000</v>
      </c>
      <c r="AJ20" s="111">
        <f t="shared" si="2"/>
        <v>25770000</v>
      </c>
      <c r="AK20" s="38"/>
      <c r="AL20" s="58" t="s">
        <v>30</v>
      </c>
      <c r="AM20" s="39">
        <f t="shared" si="1"/>
        <v>0</v>
      </c>
      <c r="AN20" s="29"/>
    </row>
    <row r="21" spans="1:40" s="11" customFormat="1" ht="18" customHeight="1" x14ac:dyDescent="0.2">
      <c r="A21" s="40">
        <v>17</v>
      </c>
      <c r="B21" s="41" t="s">
        <v>9</v>
      </c>
      <c r="C21" s="41"/>
      <c r="D21" s="42"/>
      <c r="E21" s="41"/>
      <c r="F21" s="41"/>
      <c r="G21" s="41"/>
      <c r="H21" s="41"/>
      <c r="I21" s="41"/>
      <c r="J21" s="42"/>
      <c r="K21" s="41"/>
      <c r="L21" s="41"/>
      <c r="M21" s="41"/>
      <c r="N21" s="41"/>
      <c r="O21" s="41"/>
      <c r="P21" s="41"/>
      <c r="Q21" s="42"/>
      <c r="R21" s="41"/>
      <c r="S21" s="41"/>
      <c r="T21" s="41"/>
      <c r="U21" s="41"/>
      <c r="V21" s="41"/>
      <c r="W21" s="41"/>
      <c r="X21" s="42"/>
      <c r="Y21" s="41"/>
      <c r="Z21" s="41"/>
      <c r="AA21" s="41"/>
      <c r="AB21" s="41"/>
      <c r="AC21" s="41"/>
      <c r="AD21" s="41"/>
      <c r="AE21" s="42"/>
      <c r="AF21" s="41"/>
      <c r="AG21" s="84">
        <f t="shared" si="0"/>
        <v>0</v>
      </c>
      <c r="AH21" s="107">
        <f>AG21/3000</f>
        <v>0</v>
      </c>
      <c r="AI21" s="110">
        <v>28068000</v>
      </c>
      <c r="AJ21" s="111">
        <f t="shared" si="2"/>
        <v>28068000</v>
      </c>
      <c r="AK21" s="38"/>
      <c r="AL21" s="58" t="s">
        <v>31</v>
      </c>
      <c r="AM21" s="39">
        <f t="shared" si="1"/>
        <v>0</v>
      </c>
      <c r="AN21" s="29"/>
    </row>
    <row r="22" spans="1:40" s="11" customFormat="1" ht="18" customHeight="1" thickBot="1" x14ac:dyDescent="0.25">
      <c r="A22" s="40">
        <v>18</v>
      </c>
      <c r="B22" s="59" t="s">
        <v>10</v>
      </c>
      <c r="C22" s="59"/>
      <c r="D22" s="60"/>
      <c r="E22" s="59"/>
      <c r="F22" s="61"/>
      <c r="G22" s="61"/>
      <c r="H22" s="61"/>
      <c r="I22" s="59"/>
      <c r="J22" s="60"/>
      <c r="K22" s="59"/>
      <c r="L22" s="59"/>
      <c r="M22" s="59"/>
      <c r="N22" s="59"/>
      <c r="O22" s="59"/>
      <c r="P22" s="59"/>
      <c r="Q22" s="60"/>
      <c r="R22" s="59"/>
      <c r="S22" s="59"/>
      <c r="T22" s="59"/>
      <c r="U22" s="59"/>
      <c r="V22" s="59"/>
      <c r="W22" s="59"/>
      <c r="X22" s="60"/>
      <c r="Y22" s="59"/>
      <c r="Z22" s="59"/>
      <c r="AA22" s="59"/>
      <c r="AB22" s="59"/>
      <c r="AC22" s="59"/>
      <c r="AD22" s="59"/>
      <c r="AE22" s="60"/>
      <c r="AF22" s="59"/>
      <c r="AG22" s="83">
        <f t="shared" si="0"/>
        <v>0</v>
      </c>
      <c r="AH22" s="107">
        <f>AG22/1000</f>
        <v>0</v>
      </c>
      <c r="AI22" s="110">
        <v>1711000</v>
      </c>
      <c r="AJ22" s="111">
        <f t="shared" si="2"/>
        <v>1711000</v>
      </c>
      <c r="AK22" s="38"/>
      <c r="AL22" s="58" t="s">
        <v>32</v>
      </c>
      <c r="AM22" s="39">
        <f t="shared" si="1"/>
        <v>0</v>
      </c>
      <c r="AN22" s="29"/>
    </row>
    <row r="23" spans="1:40" s="67" customFormat="1" ht="18" customHeight="1" x14ac:dyDescent="0.25">
      <c r="A23" s="63"/>
      <c r="B23" s="64" t="s">
        <v>11</v>
      </c>
      <c r="C23" s="65">
        <f t="shared" ref="C23:AI23" si="3">SUM(C5:C22)</f>
        <v>36182000</v>
      </c>
      <c r="D23" s="65">
        <f t="shared" si="3"/>
        <v>0</v>
      </c>
      <c r="E23" s="65">
        <f t="shared" si="3"/>
        <v>9233000</v>
      </c>
      <c r="F23" s="65">
        <f t="shared" si="3"/>
        <v>6969500</v>
      </c>
      <c r="G23" s="65">
        <f t="shared" si="3"/>
        <v>5871000</v>
      </c>
      <c r="H23" s="65">
        <f t="shared" si="3"/>
        <v>28359000</v>
      </c>
      <c r="I23" s="65">
        <f t="shared" si="3"/>
        <v>47091500</v>
      </c>
      <c r="J23" s="65">
        <f t="shared" si="3"/>
        <v>0</v>
      </c>
      <c r="K23" s="65">
        <f t="shared" si="3"/>
        <v>9144000</v>
      </c>
      <c r="L23" s="65">
        <f t="shared" si="3"/>
        <v>10501500</v>
      </c>
      <c r="M23" s="65">
        <f t="shared" si="3"/>
        <v>8553500</v>
      </c>
      <c r="N23" s="65">
        <f t="shared" si="3"/>
        <v>7714500</v>
      </c>
      <c r="O23" s="65">
        <f t="shared" si="3"/>
        <v>34664000</v>
      </c>
      <c r="P23" s="65">
        <f t="shared" si="3"/>
        <v>43414000</v>
      </c>
      <c r="Q23" s="65">
        <f t="shared" si="3"/>
        <v>0</v>
      </c>
      <c r="R23" s="65">
        <f t="shared" si="3"/>
        <v>45155000</v>
      </c>
      <c r="S23" s="65">
        <f t="shared" si="3"/>
        <v>10471000</v>
      </c>
      <c r="T23" s="65">
        <f t="shared" si="3"/>
        <v>10599500</v>
      </c>
      <c r="U23" s="65">
        <f t="shared" si="3"/>
        <v>8902500</v>
      </c>
      <c r="V23" s="65">
        <f t="shared" si="3"/>
        <v>35389500</v>
      </c>
      <c r="W23" s="65">
        <f t="shared" si="3"/>
        <v>56845500</v>
      </c>
      <c r="X23" s="65">
        <f t="shared" si="3"/>
        <v>1745000</v>
      </c>
      <c r="Y23" s="65">
        <f t="shared" si="3"/>
        <v>21163500</v>
      </c>
      <c r="Z23" s="65">
        <f t="shared" si="3"/>
        <v>18906500</v>
      </c>
      <c r="AA23" s="65">
        <f t="shared" si="3"/>
        <v>19613500</v>
      </c>
      <c r="AB23" s="65">
        <f t="shared" si="3"/>
        <v>21759500</v>
      </c>
      <c r="AC23" s="65">
        <f t="shared" si="3"/>
        <v>23100000</v>
      </c>
      <c r="AD23" s="65">
        <f t="shared" si="3"/>
        <v>34140000</v>
      </c>
      <c r="AE23" s="65">
        <f t="shared" si="3"/>
        <v>0</v>
      </c>
      <c r="AF23" s="65">
        <f t="shared" si="3"/>
        <v>0</v>
      </c>
      <c r="AG23" s="65">
        <f t="shared" si="3"/>
        <v>555488500</v>
      </c>
      <c r="AH23" s="65">
        <f t="shared" si="3"/>
        <v>126203</v>
      </c>
      <c r="AI23" s="65">
        <f t="shared" si="3"/>
        <v>631204000</v>
      </c>
      <c r="AJ23" s="108"/>
      <c r="AK23" s="38"/>
      <c r="AL23" s="66" t="s">
        <v>11</v>
      </c>
      <c r="AM23" s="39">
        <f t="shared" si="1"/>
        <v>555488500</v>
      </c>
    </row>
    <row r="24" spans="1:40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6"/>
      <c r="AH24" s="6"/>
      <c r="AI24" s="6"/>
      <c r="AJ24" s="7"/>
      <c r="AK24" s="28"/>
      <c r="AL24" s="69"/>
      <c r="AM24" s="29"/>
      <c r="AN24" s="39"/>
    </row>
    <row r="25" spans="1:40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6"/>
      <c r="AH25" s="6"/>
      <c r="AI25" s="6"/>
      <c r="AJ25" s="7"/>
      <c r="AK25" s="28"/>
      <c r="AL25" s="69"/>
      <c r="AM25" s="29"/>
      <c r="AN25" s="39"/>
    </row>
    <row r="26" spans="1:40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6"/>
      <c r="AH26" s="6"/>
      <c r="AI26" s="6"/>
      <c r="AJ26" s="37"/>
      <c r="AK26" s="28"/>
      <c r="AL26" s="69"/>
      <c r="AM26" s="29"/>
      <c r="AN26" s="30"/>
    </row>
    <row r="27" spans="1:40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6"/>
      <c r="AH27" s="6"/>
      <c r="AI27" s="6"/>
      <c r="AJ27" s="14"/>
      <c r="AK27" s="28"/>
      <c r="AL27" s="70" t="s">
        <v>13</v>
      </c>
      <c r="AM27" s="29"/>
      <c r="AN27" s="30"/>
    </row>
    <row r="28" spans="1:40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7" t="s">
        <v>1</v>
      </c>
      <c r="AH28" s="20"/>
      <c r="AI28" s="20"/>
      <c r="AJ28" s="21"/>
      <c r="AK28" s="28"/>
      <c r="AL28" s="71" t="s">
        <v>14</v>
      </c>
      <c r="AM28" s="72"/>
      <c r="AN28" s="30"/>
    </row>
    <row r="29" spans="1:40" s="25" customFormat="1" ht="18" customHeight="1" x14ac:dyDescent="0.2">
      <c r="B29" s="92" t="s">
        <v>2</v>
      </c>
      <c r="C29" s="92">
        <f t="shared" ref="C29:AF29" si="4">C5/4000</f>
        <v>4975</v>
      </c>
      <c r="D29" s="92">
        <f t="shared" si="4"/>
        <v>0</v>
      </c>
      <c r="E29" s="92">
        <f t="shared" si="4"/>
        <v>1668</v>
      </c>
      <c r="F29" s="92">
        <f t="shared" si="4"/>
        <v>1240</v>
      </c>
      <c r="G29" s="92">
        <f t="shared" si="4"/>
        <v>1077</v>
      </c>
      <c r="H29" s="92">
        <f t="shared" si="4"/>
        <v>4178</v>
      </c>
      <c r="I29" s="92">
        <f t="shared" si="4"/>
        <v>6804</v>
      </c>
      <c r="J29" s="92">
        <f t="shared" si="4"/>
        <v>0</v>
      </c>
      <c r="K29" s="92">
        <f t="shared" si="4"/>
        <v>1526</v>
      </c>
      <c r="L29" s="92">
        <f t="shared" si="4"/>
        <v>1680</v>
      </c>
      <c r="M29" s="92">
        <f t="shared" si="4"/>
        <v>1342</v>
      </c>
      <c r="N29" s="92">
        <f t="shared" si="4"/>
        <v>1332</v>
      </c>
      <c r="O29" s="92">
        <f t="shared" si="4"/>
        <v>5528</v>
      </c>
      <c r="P29" s="92">
        <f t="shared" si="4"/>
        <v>6459</v>
      </c>
      <c r="Q29" s="92">
        <f t="shared" si="4"/>
        <v>0</v>
      </c>
      <c r="R29" s="92">
        <f t="shared" si="4"/>
        <v>5791</v>
      </c>
      <c r="S29" s="92">
        <f t="shared" si="4"/>
        <v>1729</v>
      </c>
      <c r="T29" s="92">
        <f t="shared" si="4"/>
        <v>1550</v>
      </c>
      <c r="U29" s="92">
        <f t="shared" si="4"/>
        <v>1540</v>
      </c>
      <c r="V29" s="92">
        <f t="shared" si="4"/>
        <v>5396</v>
      </c>
      <c r="W29" s="92">
        <f t="shared" si="4"/>
        <v>7859</v>
      </c>
      <c r="X29" s="92">
        <f t="shared" si="4"/>
        <v>0</v>
      </c>
      <c r="Y29" s="92">
        <f t="shared" si="4"/>
        <v>3498</v>
      </c>
      <c r="Z29" s="92">
        <f t="shared" si="4"/>
        <v>2875</v>
      </c>
      <c r="AA29" s="92">
        <f t="shared" si="4"/>
        <v>2958</v>
      </c>
      <c r="AB29" s="92">
        <f t="shared" si="4"/>
        <v>3467</v>
      </c>
      <c r="AC29" s="92">
        <f t="shared" si="4"/>
        <v>0</v>
      </c>
      <c r="AD29" s="92">
        <f t="shared" si="4"/>
        <v>0</v>
      </c>
      <c r="AE29" s="92">
        <f t="shared" si="4"/>
        <v>0</v>
      </c>
      <c r="AF29" s="92">
        <f t="shared" si="4"/>
        <v>0</v>
      </c>
      <c r="AG29" s="93">
        <f t="shared" ref="AG29:AG46" si="5">SUM(C29:AF29)</f>
        <v>74472</v>
      </c>
      <c r="AH29" s="27"/>
      <c r="AI29" s="27"/>
      <c r="AJ29" s="73"/>
      <c r="AK29" s="28"/>
      <c r="AL29" s="74" t="s">
        <v>2</v>
      </c>
      <c r="AM29" s="75">
        <f>AG29</f>
        <v>74472</v>
      </c>
      <c r="AN29" s="30"/>
    </row>
    <row r="30" spans="1:40" s="25" customFormat="1" ht="18" customHeight="1" x14ac:dyDescent="0.2">
      <c r="B30" s="92" t="s">
        <v>3</v>
      </c>
      <c r="C30" s="92">
        <f t="shared" ref="C30:AF31" si="6">C6/3000</f>
        <v>1524</v>
      </c>
      <c r="D30" s="92">
        <f t="shared" si="6"/>
        <v>0</v>
      </c>
      <c r="E30" s="92">
        <f t="shared" si="6"/>
        <v>407</v>
      </c>
      <c r="F30" s="92">
        <f t="shared" si="6"/>
        <v>265</v>
      </c>
      <c r="G30" s="92">
        <f t="shared" si="6"/>
        <v>265</v>
      </c>
      <c r="H30" s="92">
        <f t="shared" si="6"/>
        <v>1059</v>
      </c>
      <c r="I30" s="92">
        <f t="shared" si="6"/>
        <v>1771</v>
      </c>
      <c r="J30" s="92">
        <f t="shared" si="6"/>
        <v>0</v>
      </c>
      <c r="K30" s="92">
        <f t="shared" si="6"/>
        <v>463</v>
      </c>
      <c r="L30" s="92">
        <f t="shared" si="6"/>
        <v>404</v>
      </c>
      <c r="M30" s="92">
        <f t="shared" si="6"/>
        <v>304</v>
      </c>
      <c r="N30" s="92">
        <f t="shared" si="6"/>
        <v>291</v>
      </c>
      <c r="O30" s="92">
        <f t="shared" si="6"/>
        <v>1429</v>
      </c>
      <c r="P30" s="92">
        <f t="shared" si="6"/>
        <v>1986</v>
      </c>
      <c r="Q30" s="92">
        <f t="shared" si="6"/>
        <v>0</v>
      </c>
      <c r="R30" s="92">
        <f t="shared" si="6"/>
        <v>1682</v>
      </c>
      <c r="S30" s="92">
        <f t="shared" si="6"/>
        <v>558</v>
      </c>
      <c r="T30" s="92">
        <f t="shared" si="6"/>
        <v>600</v>
      </c>
      <c r="U30" s="92">
        <f t="shared" si="6"/>
        <v>404</v>
      </c>
      <c r="V30" s="92">
        <f t="shared" si="6"/>
        <v>1576</v>
      </c>
      <c r="W30" s="92">
        <f t="shared" si="6"/>
        <v>2769</v>
      </c>
      <c r="X30" s="92">
        <f t="shared" si="6"/>
        <v>0</v>
      </c>
      <c r="Y30" s="92">
        <f t="shared" si="6"/>
        <v>1539</v>
      </c>
      <c r="Z30" s="92">
        <f t="shared" si="6"/>
        <v>1233</v>
      </c>
      <c r="AA30" s="92">
        <f t="shared" si="6"/>
        <v>1384</v>
      </c>
      <c r="AB30" s="92">
        <f t="shared" si="6"/>
        <v>1195</v>
      </c>
      <c r="AC30" s="92">
        <f t="shared" si="6"/>
        <v>0</v>
      </c>
      <c r="AD30" s="92">
        <f t="shared" si="6"/>
        <v>0</v>
      </c>
      <c r="AE30" s="92">
        <f t="shared" si="6"/>
        <v>0</v>
      </c>
      <c r="AF30" s="92">
        <f t="shared" si="6"/>
        <v>0</v>
      </c>
      <c r="AG30" s="93">
        <f t="shared" si="5"/>
        <v>23108</v>
      </c>
      <c r="AH30" s="27"/>
      <c r="AI30" s="27"/>
      <c r="AJ30" s="73"/>
      <c r="AK30" s="28"/>
      <c r="AL30" s="74" t="s">
        <v>3</v>
      </c>
      <c r="AM30" s="75">
        <f t="shared" ref="AM30:AM40" si="7">AG30</f>
        <v>23108</v>
      </c>
      <c r="AN30" s="76"/>
    </row>
    <row r="31" spans="1:40" s="25" customFormat="1" ht="18" customHeight="1" x14ac:dyDescent="0.2">
      <c r="B31" s="92" t="s">
        <v>4</v>
      </c>
      <c r="C31" s="92">
        <f t="shared" si="6"/>
        <v>0</v>
      </c>
      <c r="D31" s="92">
        <f t="shared" si="6"/>
        <v>0</v>
      </c>
      <c r="E31" s="92">
        <f t="shared" si="6"/>
        <v>0</v>
      </c>
      <c r="F31" s="92">
        <f t="shared" si="6"/>
        <v>0</v>
      </c>
      <c r="G31" s="92">
        <f t="shared" si="6"/>
        <v>0</v>
      </c>
      <c r="H31" s="92">
        <f t="shared" si="6"/>
        <v>0</v>
      </c>
      <c r="I31" s="92">
        <f t="shared" si="6"/>
        <v>0</v>
      </c>
      <c r="J31" s="92">
        <f t="shared" si="6"/>
        <v>0</v>
      </c>
      <c r="K31" s="92">
        <f t="shared" si="6"/>
        <v>0</v>
      </c>
      <c r="L31" s="92">
        <f t="shared" si="6"/>
        <v>0</v>
      </c>
      <c r="M31" s="92">
        <f t="shared" si="6"/>
        <v>0</v>
      </c>
      <c r="N31" s="92">
        <f t="shared" si="6"/>
        <v>0</v>
      </c>
      <c r="O31" s="92">
        <f t="shared" si="6"/>
        <v>0</v>
      </c>
      <c r="P31" s="92">
        <f t="shared" si="6"/>
        <v>0</v>
      </c>
      <c r="Q31" s="92">
        <f t="shared" si="6"/>
        <v>0</v>
      </c>
      <c r="R31" s="92">
        <f t="shared" si="6"/>
        <v>0</v>
      </c>
      <c r="S31" s="92">
        <f t="shared" si="6"/>
        <v>0</v>
      </c>
      <c r="T31" s="92">
        <f t="shared" si="6"/>
        <v>0</v>
      </c>
      <c r="U31" s="92">
        <f t="shared" si="6"/>
        <v>0</v>
      </c>
      <c r="V31" s="92">
        <f t="shared" si="6"/>
        <v>0</v>
      </c>
      <c r="W31" s="92">
        <f t="shared" si="6"/>
        <v>0</v>
      </c>
      <c r="X31" s="92">
        <f t="shared" si="6"/>
        <v>0</v>
      </c>
      <c r="Y31" s="92">
        <f t="shared" si="6"/>
        <v>0</v>
      </c>
      <c r="Z31" s="92">
        <f t="shared" si="6"/>
        <v>0</v>
      </c>
      <c r="AA31" s="92">
        <f t="shared" si="6"/>
        <v>0</v>
      </c>
      <c r="AB31" s="92">
        <f t="shared" si="6"/>
        <v>0</v>
      </c>
      <c r="AC31" s="92">
        <f t="shared" si="6"/>
        <v>0</v>
      </c>
      <c r="AD31" s="92">
        <f t="shared" si="6"/>
        <v>0</v>
      </c>
      <c r="AE31" s="92">
        <f t="shared" si="6"/>
        <v>0</v>
      </c>
      <c r="AF31" s="92">
        <f t="shared" si="6"/>
        <v>0</v>
      </c>
      <c r="AG31" s="93">
        <f t="shared" si="5"/>
        <v>0</v>
      </c>
      <c r="AH31" s="27"/>
      <c r="AI31" s="27"/>
      <c r="AJ31" s="73"/>
      <c r="AK31" s="28"/>
      <c r="AL31" s="3" t="s">
        <v>4</v>
      </c>
      <c r="AM31" s="75">
        <f t="shared" si="7"/>
        <v>0</v>
      </c>
      <c r="AN31" s="30"/>
    </row>
    <row r="32" spans="1:40" s="25" customFormat="1" ht="18" customHeight="1" x14ac:dyDescent="0.2">
      <c r="B32" s="92" t="s">
        <v>5</v>
      </c>
      <c r="C32" s="92">
        <f t="shared" ref="C32:AF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2">
        <f t="shared" si="8"/>
        <v>0</v>
      </c>
      <c r="AF32" s="92">
        <f t="shared" si="8"/>
        <v>0</v>
      </c>
      <c r="AG32" s="93">
        <f t="shared" si="5"/>
        <v>0</v>
      </c>
      <c r="AH32" s="27"/>
      <c r="AI32" s="27"/>
      <c r="AJ32" s="73"/>
      <c r="AK32" s="28"/>
      <c r="AL32" s="3" t="s">
        <v>5</v>
      </c>
      <c r="AM32" s="75">
        <f t="shared" si="7"/>
        <v>0</v>
      </c>
      <c r="AN32" s="30"/>
    </row>
    <row r="33" spans="2:40" s="25" customFormat="1" ht="18" customHeight="1" x14ac:dyDescent="0.2">
      <c r="B33" s="92" t="s">
        <v>33</v>
      </c>
      <c r="C33" s="92">
        <f>C9/2500</f>
        <v>319</v>
      </c>
      <c r="D33" s="92">
        <f t="shared" ref="D33:AF33" si="9">D9/2500</f>
        <v>0</v>
      </c>
      <c r="E33" s="92">
        <f t="shared" si="9"/>
        <v>20</v>
      </c>
      <c r="F33" s="92">
        <f t="shared" si="9"/>
        <v>25</v>
      </c>
      <c r="G33" s="92">
        <f t="shared" si="9"/>
        <v>12</v>
      </c>
      <c r="H33" s="92">
        <f t="shared" si="9"/>
        <v>169</v>
      </c>
      <c r="I33" s="92">
        <f t="shared" si="9"/>
        <v>287</v>
      </c>
      <c r="J33" s="92">
        <f t="shared" si="9"/>
        <v>0</v>
      </c>
      <c r="K33" s="92">
        <f t="shared" si="9"/>
        <v>22</v>
      </c>
      <c r="L33" s="92">
        <f t="shared" si="9"/>
        <v>75</v>
      </c>
      <c r="M33" s="92">
        <f t="shared" si="9"/>
        <v>31</v>
      </c>
      <c r="N33" s="92">
        <f t="shared" si="9"/>
        <v>27</v>
      </c>
      <c r="O33" s="92">
        <f t="shared" si="9"/>
        <v>162</v>
      </c>
      <c r="P33" s="92">
        <f t="shared" si="9"/>
        <v>340</v>
      </c>
      <c r="Q33" s="92">
        <f t="shared" si="9"/>
        <v>0</v>
      </c>
      <c r="R33" s="92">
        <f t="shared" si="9"/>
        <v>241</v>
      </c>
      <c r="S33" s="92">
        <f t="shared" si="9"/>
        <v>18</v>
      </c>
      <c r="T33" s="92">
        <f t="shared" si="9"/>
        <v>15</v>
      </c>
      <c r="U33" s="92">
        <f t="shared" si="9"/>
        <v>17</v>
      </c>
      <c r="V33" s="92">
        <f t="shared" si="9"/>
        <v>151</v>
      </c>
      <c r="W33" s="92">
        <f t="shared" si="9"/>
        <v>427</v>
      </c>
      <c r="X33" s="92">
        <f t="shared" si="9"/>
        <v>110</v>
      </c>
      <c r="Y33" s="92">
        <f t="shared" si="9"/>
        <v>21</v>
      </c>
      <c r="Z33" s="92">
        <f t="shared" si="9"/>
        <v>31</v>
      </c>
      <c r="AA33" s="92">
        <f t="shared" si="9"/>
        <v>67</v>
      </c>
      <c r="AB33" s="92">
        <f t="shared" si="9"/>
        <v>45</v>
      </c>
      <c r="AC33" s="92">
        <f t="shared" si="9"/>
        <v>408</v>
      </c>
      <c r="AD33" s="92">
        <f t="shared" si="9"/>
        <v>642</v>
      </c>
      <c r="AE33" s="92">
        <f t="shared" si="9"/>
        <v>0</v>
      </c>
      <c r="AF33" s="92">
        <f t="shared" si="9"/>
        <v>0</v>
      </c>
      <c r="AG33" s="93">
        <f t="shared" si="5"/>
        <v>3682</v>
      </c>
      <c r="AH33" s="27"/>
      <c r="AI33" s="27"/>
      <c r="AJ33" s="73"/>
      <c r="AK33" s="28"/>
      <c r="AL33" s="3"/>
      <c r="AM33" s="75"/>
      <c r="AN33" s="30"/>
    </row>
    <row r="34" spans="2:40" s="25" customFormat="1" ht="18" customHeight="1" x14ac:dyDescent="0.2">
      <c r="B34" s="100" t="s">
        <v>21</v>
      </c>
      <c r="C34" s="100">
        <f t="shared" ref="C34:AF35" si="10">C10/6000</f>
        <v>0</v>
      </c>
      <c r="D34" s="100">
        <f t="shared" si="10"/>
        <v>0</v>
      </c>
      <c r="E34" s="100">
        <f t="shared" si="10"/>
        <v>174</v>
      </c>
      <c r="F34" s="100">
        <f t="shared" si="10"/>
        <v>110</v>
      </c>
      <c r="G34" s="100">
        <f t="shared" si="10"/>
        <v>79</v>
      </c>
      <c r="H34" s="100">
        <f t="shared" si="10"/>
        <v>0</v>
      </c>
      <c r="I34" s="100">
        <f t="shared" si="10"/>
        <v>0</v>
      </c>
      <c r="J34" s="100">
        <f t="shared" si="10"/>
        <v>0</v>
      </c>
      <c r="K34" s="100">
        <f t="shared" si="10"/>
        <v>148</v>
      </c>
      <c r="L34" s="100">
        <f t="shared" si="10"/>
        <v>269</v>
      </c>
      <c r="M34" s="100">
        <f t="shared" si="10"/>
        <v>230</v>
      </c>
      <c r="N34" s="100">
        <f t="shared" si="10"/>
        <v>140</v>
      </c>
      <c r="O34" s="100">
        <f t="shared" si="10"/>
        <v>0</v>
      </c>
      <c r="P34" s="100">
        <f t="shared" si="10"/>
        <v>0</v>
      </c>
      <c r="Q34" s="100">
        <f t="shared" si="10"/>
        <v>0</v>
      </c>
      <c r="R34" s="100">
        <f t="shared" si="10"/>
        <v>0</v>
      </c>
      <c r="S34" s="100">
        <f t="shared" si="10"/>
        <v>184</v>
      </c>
      <c r="T34" s="100">
        <f t="shared" si="10"/>
        <v>252</v>
      </c>
      <c r="U34" s="100">
        <f t="shared" si="10"/>
        <v>158</v>
      </c>
      <c r="V34" s="100">
        <f t="shared" si="10"/>
        <v>0</v>
      </c>
      <c r="W34" s="100">
        <f t="shared" si="10"/>
        <v>0</v>
      </c>
      <c r="X34" s="100">
        <f t="shared" si="10"/>
        <v>149</v>
      </c>
      <c r="Y34" s="100">
        <f t="shared" si="10"/>
        <v>272</v>
      </c>
      <c r="Z34" s="100">
        <f t="shared" si="10"/>
        <v>376</v>
      </c>
      <c r="AA34" s="100">
        <f t="shared" si="10"/>
        <v>377</v>
      </c>
      <c r="AB34" s="100">
        <f t="shared" si="10"/>
        <v>408</v>
      </c>
      <c r="AC34" s="100">
        <f t="shared" si="10"/>
        <v>0</v>
      </c>
      <c r="AD34" s="100">
        <f t="shared" si="10"/>
        <v>0</v>
      </c>
      <c r="AE34" s="100">
        <f t="shared" si="10"/>
        <v>0</v>
      </c>
      <c r="AF34" s="100">
        <f t="shared" si="10"/>
        <v>0</v>
      </c>
      <c r="AG34" s="93">
        <f t="shared" si="5"/>
        <v>3326</v>
      </c>
      <c r="AH34" s="27"/>
      <c r="AI34" s="27"/>
      <c r="AJ34" s="73"/>
      <c r="AK34" s="28"/>
      <c r="AL34" s="3" t="s">
        <v>10</v>
      </c>
      <c r="AM34" s="75">
        <f t="shared" si="7"/>
        <v>3326</v>
      </c>
      <c r="AN34" s="30"/>
    </row>
    <row r="35" spans="2:40" s="25" customFormat="1" ht="18" customHeight="1" thickBot="1" x14ac:dyDescent="0.25">
      <c r="B35" s="100" t="s">
        <v>22</v>
      </c>
      <c r="C35" s="100">
        <f t="shared" si="10"/>
        <v>0</v>
      </c>
      <c r="D35" s="100">
        <f t="shared" si="10"/>
        <v>0</v>
      </c>
      <c r="E35" s="100">
        <f t="shared" si="10"/>
        <v>41</v>
      </c>
      <c r="F35" s="100">
        <f t="shared" si="10"/>
        <v>82</v>
      </c>
      <c r="G35" s="100">
        <f t="shared" si="10"/>
        <v>44</v>
      </c>
      <c r="H35" s="100">
        <f t="shared" si="10"/>
        <v>0</v>
      </c>
      <c r="I35" s="100">
        <f t="shared" si="10"/>
        <v>0</v>
      </c>
      <c r="J35" s="100">
        <f t="shared" si="10"/>
        <v>0</v>
      </c>
      <c r="K35" s="100">
        <f t="shared" si="10"/>
        <v>118</v>
      </c>
      <c r="L35" s="100">
        <f t="shared" si="10"/>
        <v>128</v>
      </c>
      <c r="M35" s="100">
        <f t="shared" si="10"/>
        <v>136</v>
      </c>
      <c r="N35" s="100">
        <f t="shared" si="10"/>
        <v>101</v>
      </c>
      <c r="O35" s="100">
        <f t="shared" si="10"/>
        <v>0</v>
      </c>
      <c r="P35" s="100">
        <f t="shared" si="10"/>
        <v>0</v>
      </c>
      <c r="Q35" s="100">
        <f t="shared" si="10"/>
        <v>0</v>
      </c>
      <c r="R35" s="100">
        <f t="shared" si="10"/>
        <v>0</v>
      </c>
      <c r="S35" s="100">
        <f t="shared" si="10"/>
        <v>122</v>
      </c>
      <c r="T35" s="100">
        <f t="shared" si="10"/>
        <v>175</v>
      </c>
      <c r="U35" s="100">
        <f t="shared" si="10"/>
        <v>90</v>
      </c>
      <c r="V35" s="100">
        <f t="shared" si="10"/>
        <v>0</v>
      </c>
      <c r="W35" s="100">
        <f t="shared" si="10"/>
        <v>0</v>
      </c>
      <c r="X35" s="100">
        <f t="shared" si="10"/>
        <v>96</v>
      </c>
      <c r="Y35" s="100">
        <f t="shared" si="10"/>
        <v>145</v>
      </c>
      <c r="Z35" s="100">
        <f t="shared" si="10"/>
        <v>229</v>
      </c>
      <c r="AA35" s="100">
        <f t="shared" si="10"/>
        <v>200</v>
      </c>
      <c r="AB35" s="100">
        <f t="shared" si="10"/>
        <v>291</v>
      </c>
      <c r="AC35" s="100">
        <f t="shared" si="10"/>
        <v>0</v>
      </c>
      <c r="AD35" s="100">
        <f t="shared" si="10"/>
        <v>0</v>
      </c>
      <c r="AE35" s="100">
        <f t="shared" si="10"/>
        <v>0</v>
      </c>
      <c r="AF35" s="100">
        <f t="shared" si="10"/>
        <v>0</v>
      </c>
      <c r="AG35" s="93">
        <f t="shared" si="5"/>
        <v>1998</v>
      </c>
      <c r="AH35" s="27"/>
      <c r="AI35" s="27"/>
      <c r="AJ35" s="73"/>
      <c r="AK35" s="28"/>
      <c r="AL35" s="77" t="s">
        <v>15</v>
      </c>
      <c r="AM35" s="75">
        <f t="shared" si="7"/>
        <v>1998</v>
      </c>
      <c r="AN35" s="30"/>
    </row>
    <row r="36" spans="2:40" s="29" customFormat="1" ht="18" customHeight="1" x14ac:dyDescent="0.2">
      <c r="B36" s="100" t="s">
        <v>24</v>
      </c>
      <c r="C36" s="100">
        <f t="shared" ref="C36:AF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100">
        <f t="shared" si="11"/>
        <v>0</v>
      </c>
      <c r="AF36" s="100">
        <f t="shared" si="11"/>
        <v>0</v>
      </c>
      <c r="AG36" s="93">
        <f t="shared" si="5"/>
        <v>0</v>
      </c>
      <c r="AH36" s="27"/>
      <c r="AI36" s="27"/>
      <c r="AJ36" s="73"/>
      <c r="AK36" s="28"/>
      <c r="AL36" s="78" t="s">
        <v>34</v>
      </c>
      <c r="AM36" s="75">
        <f t="shared" si="7"/>
        <v>0</v>
      </c>
    </row>
    <row r="37" spans="2:40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100">
        <f t="shared" si="11"/>
        <v>0</v>
      </c>
      <c r="AF37" s="100">
        <f t="shared" si="11"/>
        <v>0</v>
      </c>
      <c r="AG37" s="93">
        <f t="shared" si="5"/>
        <v>0</v>
      </c>
      <c r="AH37" s="27"/>
      <c r="AI37" s="27"/>
      <c r="AJ37" s="73"/>
      <c r="AK37" s="28"/>
      <c r="AL37" s="79" t="s">
        <v>35</v>
      </c>
      <c r="AM37" s="75">
        <f t="shared" si="7"/>
        <v>0</v>
      </c>
    </row>
    <row r="38" spans="2:40" s="29" customFormat="1" ht="18" customHeight="1" x14ac:dyDescent="0.2">
      <c r="B38" s="104" t="s">
        <v>28</v>
      </c>
      <c r="C38" s="104">
        <f t="shared" ref="C38:AF39" si="12">C14/7500</f>
        <v>837</v>
      </c>
      <c r="D38" s="104">
        <f t="shared" si="12"/>
        <v>0</v>
      </c>
      <c r="E38" s="104">
        <f t="shared" si="12"/>
        <v>0</v>
      </c>
      <c r="F38" s="104">
        <f t="shared" si="12"/>
        <v>0</v>
      </c>
      <c r="G38" s="104">
        <f t="shared" si="12"/>
        <v>0</v>
      </c>
      <c r="H38" s="104">
        <f t="shared" si="12"/>
        <v>625</v>
      </c>
      <c r="I38" s="104">
        <f t="shared" si="12"/>
        <v>1082</v>
      </c>
      <c r="J38" s="104">
        <f t="shared" si="12"/>
        <v>0</v>
      </c>
      <c r="K38" s="104">
        <f t="shared" si="12"/>
        <v>0</v>
      </c>
      <c r="L38" s="104">
        <f t="shared" si="12"/>
        <v>0</v>
      </c>
      <c r="M38" s="104">
        <f t="shared" si="12"/>
        <v>0</v>
      </c>
      <c r="N38" s="104">
        <f t="shared" si="12"/>
        <v>0</v>
      </c>
      <c r="O38" s="104">
        <f t="shared" si="12"/>
        <v>627</v>
      </c>
      <c r="P38" s="104">
        <f t="shared" si="12"/>
        <v>859</v>
      </c>
      <c r="Q38" s="104">
        <f t="shared" si="12"/>
        <v>0</v>
      </c>
      <c r="R38" s="104">
        <f t="shared" si="12"/>
        <v>1309</v>
      </c>
      <c r="S38" s="104">
        <f t="shared" si="12"/>
        <v>0</v>
      </c>
      <c r="T38" s="104">
        <f t="shared" si="12"/>
        <v>0</v>
      </c>
      <c r="U38" s="104">
        <f t="shared" si="12"/>
        <v>0</v>
      </c>
      <c r="V38" s="104">
        <f t="shared" si="12"/>
        <v>661</v>
      </c>
      <c r="W38" s="104">
        <f t="shared" si="12"/>
        <v>1284</v>
      </c>
      <c r="X38" s="104">
        <f t="shared" si="12"/>
        <v>0</v>
      </c>
      <c r="Y38" s="104">
        <f t="shared" si="12"/>
        <v>0</v>
      </c>
      <c r="Z38" s="104">
        <f t="shared" si="12"/>
        <v>0</v>
      </c>
      <c r="AA38" s="104">
        <f t="shared" si="12"/>
        <v>0</v>
      </c>
      <c r="AB38" s="104">
        <f t="shared" si="12"/>
        <v>0</v>
      </c>
      <c r="AC38" s="104">
        <f t="shared" si="12"/>
        <v>1693</v>
      </c>
      <c r="AD38" s="104">
        <f t="shared" si="12"/>
        <v>2427</v>
      </c>
      <c r="AE38" s="104">
        <f t="shared" si="12"/>
        <v>0</v>
      </c>
      <c r="AF38" s="104">
        <f t="shared" si="12"/>
        <v>0</v>
      </c>
      <c r="AG38" s="93">
        <f t="shared" si="5"/>
        <v>11404</v>
      </c>
      <c r="AH38" s="27"/>
      <c r="AI38" s="27"/>
      <c r="AJ38" s="73"/>
      <c r="AK38" s="28"/>
      <c r="AL38" s="79" t="s">
        <v>36</v>
      </c>
      <c r="AM38" s="75">
        <f t="shared" si="7"/>
        <v>11404</v>
      </c>
    </row>
    <row r="39" spans="2:40" s="29" customFormat="1" ht="18" customHeight="1" x14ac:dyDescent="0.2">
      <c r="B39" s="104" t="s">
        <v>30</v>
      </c>
      <c r="C39" s="104">
        <f t="shared" si="12"/>
        <v>618</v>
      </c>
      <c r="D39" s="104">
        <f t="shared" si="12"/>
        <v>0</v>
      </c>
      <c r="E39" s="104">
        <f t="shared" si="12"/>
        <v>0</v>
      </c>
      <c r="F39" s="104">
        <f t="shared" si="12"/>
        <v>0</v>
      </c>
      <c r="G39" s="104">
        <f t="shared" si="12"/>
        <v>0</v>
      </c>
      <c r="H39" s="104">
        <f t="shared" si="12"/>
        <v>448</v>
      </c>
      <c r="I39" s="104">
        <f t="shared" si="12"/>
        <v>764</v>
      </c>
      <c r="J39" s="104">
        <f t="shared" si="12"/>
        <v>0</v>
      </c>
      <c r="K39" s="104">
        <f t="shared" si="12"/>
        <v>0</v>
      </c>
      <c r="L39" s="104">
        <f t="shared" si="12"/>
        <v>0</v>
      </c>
      <c r="M39" s="104">
        <f t="shared" si="12"/>
        <v>0</v>
      </c>
      <c r="N39" s="104">
        <f t="shared" si="12"/>
        <v>0</v>
      </c>
      <c r="O39" s="104">
        <f t="shared" si="12"/>
        <v>421</v>
      </c>
      <c r="P39" s="104">
        <f t="shared" si="12"/>
        <v>577</v>
      </c>
      <c r="Q39" s="104">
        <f t="shared" si="12"/>
        <v>0</v>
      </c>
      <c r="R39" s="104">
        <f t="shared" si="12"/>
        <v>870</v>
      </c>
      <c r="S39" s="104">
        <f t="shared" si="12"/>
        <v>0</v>
      </c>
      <c r="T39" s="104">
        <f t="shared" si="12"/>
        <v>0</v>
      </c>
      <c r="U39" s="104">
        <f t="shared" si="12"/>
        <v>0</v>
      </c>
      <c r="V39" s="104">
        <f t="shared" si="12"/>
        <v>499</v>
      </c>
      <c r="W39" s="104">
        <f t="shared" si="12"/>
        <v>854</v>
      </c>
      <c r="X39" s="104">
        <f t="shared" si="12"/>
        <v>0</v>
      </c>
      <c r="Y39" s="104">
        <f t="shared" si="12"/>
        <v>0</v>
      </c>
      <c r="Z39" s="104">
        <f t="shared" si="12"/>
        <v>0</v>
      </c>
      <c r="AA39" s="104">
        <f t="shared" si="12"/>
        <v>0</v>
      </c>
      <c r="AB39" s="104">
        <f t="shared" si="12"/>
        <v>0</v>
      </c>
      <c r="AC39" s="104">
        <f t="shared" si="12"/>
        <v>1251</v>
      </c>
      <c r="AD39" s="104">
        <f t="shared" si="12"/>
        <v>1911</v>
      </c>
      <c r="AE39" s="104">
        <f t="shared" si="12"/>
        <v>0</v>
      </c>
      <c r="AF39" s="104">
        <f t="shared" si="12"/>
        <v>0</v>
      </c>
      <c r="AG39" s="93">
        <f t="shared" si="5"/>
        <v>8213</v>
      </c>
      <c r="AH39" s="27"/>
      <c r="AI39" s="27"/>
      <c r="AJ39" s="73"/>
      <c r="AK39" s="28"/>
      <c r="AL39" s="79" t="s">
        <v>37</v>
      </c>
      <c r="AM39" s="75">
        <f t="shared" si="7"/>
        <v>8213</v>
      </c>
    </row>
    <row r="40" spans="2:40" s="29" customFormat="1" ht="18" customHeight="1" thickBot="1" x14ac:dyDescent="0.25">
      <c r="B40" s="104" t="s">
        <v>31</v>
      </c>
      <c r="C40" s="104">
        <f t="shared" ref="C40:AF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>
        <f t="shared" si="13"/>
        <v>0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>
        <f t="shared" si="13"/>
        <v>0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104">
        <f t="shared" si="13"/>
        <v>0</v>
      </c>
      <c r="AF40" s="104">
        <f t="shared" si="13"/>
        <v>0</v>
      </c>
      <c r="AG40" s="93">
        <f t="shared" si="5"/>
        <v>0</v>
      </c>
      <c r="AH40" s="27"/>
      <c r="AI40" s="27"/>
      <c r="AJ40" s="73"/>
      <c r="AK40" s="28"/>
      <c r="AL40" s="77" t="s">
        <v>15</v>
      </c>
      <c r="AM40" s="75">
        <f t="shared" si="7"/>
        <v>0</v>
      </c>
    </row>
    <row r="41" spans="2:40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104">
        <f t="shared" si="13"/>
        <v>0</v>
      </c>
      <c r="AF41" s="104">
        <f t="shared" si="13"/>
        <v>0</v>
      </c>
      <c r="AG41" s="93">
        <f t="shared" si="5"/>
        <v>0</v>
      </c>
      <c r="AH41" s="6"/>
      <c r="AI41" s="6"/>
      <c r="AJ41" s="14"/>
      <c r="AK41" s="28"/>
      <c r="AL41" s="70"/>
      <c r="AM41" s="80"/>
      <c r="AN41" s="30"/>
    </row>
    <row r="42" spans="2:40" s="25" customFormat="1" ht="18" customHeight="1" x14ac:dyDescent="0.2">
      <c r="B42" s="92" t="s">
        <v>6</v>
      </c>
      <c r="C42" s="92">
        <f t="shared" ref="C42:AF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2">
        <f t="shared" si="14"/>
        <v>0</v>
      </c>
      <c r="AF42" s="92">
        <f t="shared" si="14"/>
        <v>0</v>
      </c>
      <c r="AG42" s="93">
        <f t="shared" si="5"/>
        <v>0</v>
      </c>
      <c r="AH42" s="6"/>
      <c r="AI42" s="6"/>
      <c r="AJ42" s="14"/>
      <c r="AK42" s="28"/>
      <c r="AL42" s="70"/>
      <c r="AM42" s="29"/>
      <c r="AN42" s="30"/>
    </row>
    <row r="43" spans="2:40" s="17" customFormat="1" ht="18" customHeight="1" x14ac:dyDescent="0.2">
      <c r="B43" s="92" t="s">
        <v>7</v>
      </c>
      <c r="C43" s="92">
        <f t="shared" ref="C43:AF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2">
        <f t="shared" si="15"/>
        <v>0</v>
      </c>
      <c r="AF43" s="92">
        <f t="shared" si="15"/>
        <v>0</v>
      </c>
      <c r="AG43" s="93">
        <f t="shared" si="5"/>
        <v>0</v>
      </c>
      <c r="AH43" s="2"/>
      <c r="AI43" s="2"/>
      <c r="AJ43" s="14"/>
      <c r="AK43" s="15"/>
      <c r="AL43" s="16"/>
    </row>
    <row r="44" spans="2:40" s="17" customFormat="1" ht="18" customHeight="1" x14ac:dyDescent="0.2">
      <c r="B44" s="92" t="s">
        <v>8</v>
      </c>
      <c r="C44" s="92">
        <f t="shared" ref="C44:AF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2">
        <f t="shared" si="16"/>
        <v>0</v>
      </c>
      <c r="AF44" s="92">
        <f t="shared" si="16"/>
        <v>0</v>
      </c>
      <c r="AG44" s="93">
        <f t="shared" si="5"/>
        <v>0</v>
      </c>
      <c r="AH44" s="2"/>
      <c r="AI44" s="2"/>
      <c r="AJ44" s="14"/>
      <c r="AK44" s="15"/>
      <c r="AL44" s="16"/>
    </row>
    <row r="45" spans="2:40" s="17" customFormat="1" ht="18" customHeight="1" x14ac:dyDescent="0.2">
      <c r="B45" s="92" t="s">
        <v>9</v>
      </c>
      <c r="C45" s="92">
        <f t="shared" ref="C45:AF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2">
        <f t="shared" si="17"/>
        <v>0</v>
      </c>
      <c r="AF45" s="92">
        <f t="shared" si="17"/>
        <v>0</v>
      </c>
      <c r="AG45" s="93">
        <f t="shared" si="5"/>
        <v>0</v>
      </c>
      <c r="AH45" s="2"/>
      <c r="AI45" s="2"/>
      <c r="AJ45" s="14"/>
      <c r="AK45" s="15"/>
      <c r="AL45" s="16"/>
    </row>
    <row r="46" spans="2:40" s="17" customFormat="1" ht="18" customHeight="1" x14ac:dyDescent="0.2">
      <c r="B46" s="92" t="s">
        <v>10</v>
      </c>
      <c r="C46" s="92">
        <f t="shared" ref="C46:AF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2">
        <f t="shared" si="18"/>
        <v>0</v>
      </c>
      <c r="AF46" s="92">
        <f t="shared" si="18"/>
        <v>0</v>
      </c>
      <c r="AG46" s="93">
        <f t="shared" si="5"/>
        <v>0</v>
      </c>
      <c r="AH46" s="2"/>
      <c r="AI46" s="2"/>
      <c r="AJ46" s="14"/>
      <c r="AK46" s="15"/>
      <c r="AL46" s="16"/>
    </row>
    <row r="47" spans="2:40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2"/>
      <c r="AH47" s="2"/>
      <c r="AI47" s="2"/>
      <c r="AJ47" s="14"/>
      <c r="AK47" s="15"/>
      <c r="AL47" s="16"/>
    </row>
    <row r="48" spans="2:40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2"/>
      <c r="AH48" s="2"/>
      <c r="AI48" s="2"/>
      <c r="AJ48" s="14"/>
      <c r="AK48" s="15"/>
      <c r="AL48" s="16"/>
    </row>
    <row r="49" spans="2:39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2"/>
      <c r="AH49" s="2"/>
      <c r="AI49" s="2"/>
      <c r="AJ49" s="14"/>
      <c r="AK49" s="15"/>
      <c r="AL49" s="16"/>
    </row>
    <row r="50" spans="2:39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2"/>
      <c r="AH50" s="2"/>
      <c r="AI50" s="2"/>
      <c r="AJ50" s="14"/>
      <c r="AK50" s="15"/>
      <c r="AL50" s="81"/>
      <c r="AM50" s="17"/>
    </row>
    <row r="51" spans="2:39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2"/>
      <c r="AH51" s="2"/>
      <c r="AI51" s="2"/>
      <c r="AJ51" s="14"/>
      <c r="AK51" s="15"/>
      <c r="AL51" s="81"/>
      <c r="AM51" s="17"/>
    </row>
    <row r="52" spans="2:39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2"/>
      <c r="AH52" s="2"/>
      <c r="AI52" s="2"/>
      <c r="AJ52" s="14"/>
      <c r="AK52" s="15"/>
      <c r="AL52" s="81"/>
      <c r="AM52" s="17"/>
    </row>
    <row r="53" spans="2:39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2"/>
      <c r="AH53" s="2"/>
      <c r="AI53" s="2"/>
      <c r="AJ53" s="14"/>
      <c r="AK53" s="15"/>
      <c r="AL53" s="81"/>
      <c r="AM53" s="17"/>
    </row>
    <row r="54" spans="2:39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2"/>
      <c r="AH54" s="2"/>
      <c r="AI54" s="2"/>
      <c r="AJ54" s="14"/>
      <c r="AK54" s="15"/>
      <c r="AL54" s="81"/>
      <c r="AM54" s="17"/>
    </row>
    <row r="55" spans="2:39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2"/>
      <c r="AH55" s="2"/>
      <c r="AI55" s="2"/>
      <c r="AJ55" s="14"/>
      <c r="AK55" s="15"/>
      <c r="AL55" s="81"/>
      <c r="AM55" s="17"/>
    </row>
    <row r="56" spans="2:39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2"/>
      <c r="AH56" s="2"/>
      <c r="AI56" s="2"/>
      <c r="AJ56" s="14"/>
      <c r="AK56" s="15"/>
      <c r="AL56" s="81"/>
      <c r="AM56" s="17"/>
    </row>
    <row r="57" spans="2:39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2"/>
      <c r="AH57" s="2"/>
      <c r="AI57" s="2"/>
      <c r="AJ57" s="14"/>
      <c r="AK57" s="15"/>
      <c r="AL57" s="81"/>
      <c r="AM57" s="17"/>
    </row>
    <row r="58" spans="2:39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2"/>
      <c r="AH58" s="2"/>
      <c r="AI58" s="2"/>
      <c r="AJ58" s="14"/>
      <c r="AK58" s="15"/>
      <c r="AL58" s="81"/>
      <c r="AM58" s="17"/>
    </row>
    <row r="59" spans="2:39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2"/>
      <c r="AH59" s="2"/>
      <c r="AI59" s="2"/>
      <c r="AJ59" s="14"/>
      <c r="AK59" s="15"/>
      <c r="AL59" s="81"/>
      <c r="AM59" s="17"/>
    </row>
    <row r="60" spans="2:39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2"/>
      <c r="AH60" s="2"/>
      <c r="AI60" s="2"/>
      <c r="AJ60" s="14"/>
      <c r="AK60" s="15"/>
      <c r="AL60" s="81"/>
      <c r="AM60" s="17"/>
    </row>
    <row r="61" spans="2:39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2"/>
      <c r="AH61" s="2"/>
      <c r="AI61" s="2"/>
      <c r="AJ61" s="14"/>
      <c r="AK61" s="15"/>
      <c r="AL61" s="81"/>
      <c r="AM61" s="17"/>
    </row>
    <row r="62" spans="2:39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2"/>
      <c r="AH62" s="2"/>
      <c r="AI62" s="2"/>
      <c r="AJ62" s="14"/>
      <c r="AK62" s="15"/>
      <c r="AL62" s="81"/>
      <c r="AM62" s="17"/>
    </row>
    <row r="63" spans="2:39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2"/>
      <c r="AH63" s="2"/>
      <c r="AI63" s="2"/>
      <c r="AJ63" s="14"/>
      <c r="AK63" s="15"/>
      <c r="AL63" s="81"/>
      <c r="AM63" s="17"/>
    </row>
    <row r="64" spans="2:39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2"/>
      <c r="AH64" s="2"/>
      <c r="AI64" s="2"/>
      <c r="AJ64" s="14"/>
      <c r="AK64" s="15"/>
      <c r="AL64" s="81"/>
      <c r="AM64" s="17"/>
    </row>
    <row r="65" spans="2:39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2"/>
      <c r="AH65" s="2"/>
      <c r="AI65" s="2"/>
      <c r="AJ65" s="14"/>
      <c r="AK65" s="15"/>
      <c r="AL65" s="81"/>
      <c r="AM65" s="17"/>
    </row>
    <row r="66" spans="2:39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2"/>
      <c r="AH66" s="2"/>
      <c r="AI66" s="2"/>
      <c r="AJ66" s="14"/>
      <c r="AK66" s="15"/>
      <c r="AL66" s="81"/>
      <c r="AM66" s="17"/>
    </row>
    <row r="67" spans="2:39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  <c r="AH67" s="2"/>
      <c r="AI67" s="2"/>
      <c r="AJ67" s="14"/>
      <c r="AK67" s="15"/>
      <c r="AL67" s="81"/>
      <c r="AM67" s="17"/>
    </row>
    <row r="68" spans="2:39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2"/>
      <c r="AI68" s="2"/>
      <c r="AJ68" s="14"/>
      <c r="AK68" s="15"/>
      <c r="AL68" s="81"/>
      <c r="AM68" s="17"/>
    </row>
    <row r="69" spans="2:39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"/>
      <c r="AH69" s="2"/>
      <c r="AI69" s="2"/>
      <c r="AJ69" s="14"/>
      <c r="AK69" s="15"/>
      <c r="AL69" s="81"/>
      <c r="AM69" s="17"/>
    </row>
    <row r="70" spans="2:39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2"/>
      <c r="AH70" s="2"/>
      <c r="AI70" s="2"/>
      <c r="AJ70" s="14"/>
      <c r="AK70" s="15"/>
      <c r="AL70" s="81"/>
      <c r="AM70" s="17"/>
    </row>
    <row r="71" spans="2:39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2"/>
      <c r="AH71" s="2"/>
      <c r="AI71" s="2"/>
      <c r="AJ71" s="14"/>
      <c r="AK71" s="15"/>
      <c r="AL71" s="81"/>
      <c r="AM71" s="17"/>
    </row>
    <row r="72" spans="2:39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2"/>
      <c r="AH72" s="2"/>
      <c r="AI72" s="2"/>
      <c r="AJ72" s="14"/>
      <c r="AK72" s="15"/>
      <c r="AL72" s="81"/>
      <c r="AM72" s="17"/>
    </row>
    <row r="73" spans="2:39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2"/>
      <c r="AH73" s="2"/>
      <c r="AI73" s="2"/>
      <c r="AJ73" s="14"/>
      <c r="AK73" s="15"/>
      <c r="AL73" s="81"/>
      <c r="AM73" s="17"/>
    </row>
    <row r="74" spans="2:39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2"/>
      <c r="AH74" s="2"/>
      <c r="AI74" s="2"/>
      <c r="AJ74" s="14"/>
      <c r="AK74" s="15"/>
      <c r="AL74" s="81"/>
      <c r="AM74" s="17"/>
    </row>
    <row r="75" spans="2:39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2"/>
      <c r="AH75" s="2"/>
      <c r="AI75" s="2"/>
      <c r="AJ75" s="14"/>
      <c r="AK75" s="15"/>
      <c r="AL75" s="81"/>
      <c r="AM75" s="17"/>
    </row>
    <row r="76" spans="2:39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2"/>
      <c r="AH76" s="2"/>
      <c r="AI76" s="2"/>
      <c r="AJ76" s="14"/>
      <c r="AK76" s="15"/>
      <c r="AL76" s="81"/>
      <c r="AM76" s="17"/>
    </row>
    <row r="77" spans="2:39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2"/>
      <c r="AH77" s="2"/>
      <c r="AI77" s="2"/>
      <c r="AJ77" s="14"/>
      <c r="AK77" s="15"/>
      <c r="AL77" s="81"/>
      <c r="AM77" s="17"/>
    </row>
    <row r="78" spans="2:39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2"/>
      <c r="AH78" s="2"/>
      <c r="AI78" s="2"/>
      <c r="AJ78" s="14"/>
      <c r="AK78" s="15"/>
      <c r="AL78" s="81"/>
      <c r="AM78" s="17"/>
    </row>
    <row r="79" spans="2:39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"/>
      <c r="AH79" s="2"/>
      <c r="AI79" s="2"/>
      <c r="AJ79" s="14"/>
      <c r="AK79" s="15"/>
      <c r="AL79" s="81"/>
      <c r="AM79" s="17"/>
    </row>
    <row r="80" spans="2:39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"/>
      <c r="AH80" s="2"/>
      <c r="AI80" s="2"/>
      <c r="AJ80" s="14"/>
      <c r="AK80" s="15"/>
      <c r="AL80" s="81"/>
      <c r="AM80" s="17"/>
    </row>
    <row r="81" spans="2:40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2"/>
      <c r="AH81" s="2"/>
      <c r="AI81" s="2"/>
      <c r="AJ81" s="14"/>
      <c r="AK81" s="15"/>
      <c r="AL81" s="81"/>
      <c r="AM81" s="17"/>
    </row>
    <row r="82" spans="2:40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"/>
      <c r="AH82" s="2"/>
      <c r="AI82" s="2"/>
      <c r="AJ82" s="14"/>
      <c r="AK82" s="15"/>
      <c r="AL82" s="81"/>
      <c r="AM82" s="17"/>
    </row>
    <row r="83" spans="2:40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  <c r="AH83" s="2"/>
      <c r="AI83" s="2"/>
      <c r="AJ83" s="14"/>
      <c r="AK83" s="15"/>
      <c r="AL83" s="81"/>
      <c r="AM83" s="17"/>
    </row>
    <row r="84" spans="2:40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"/>
      <c r="AH84" s="2"/>
      <c r="AI84" s="2"/>
      <c r="AJ84" s="14"/>
      <c r="AK84" s="15"/>
      <c r="AL84" s="81"/>
      <c r="AM84" s="17"/>
    </row>
    <row r="85" spans="2:40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"/>
      <c r="AH85" s="2"/>
      <c r="AI85" s="2"/>
      <c r="AJ85" s="14"/>
      <c r="AK85" s="15"/>
      <c r="AL85" s="81"/>
      <c r="AM85" s="17"/>
    </row>
    <row r="86" spans="2:40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"/>
      <c r="AH86" s="2"/>
      <c r="AI86" s="2"/>
      <c r="AJ86" s="14"/>
      <c r="AK86" s="15"/>
      <c r="AL86" s="81"/>
      <c r="AM86" s="17"/>
    </row>
    <row r="87" spans="2:40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"/>
      <c r="AH87" s="2"/>
      <c r="AI87" s="2"/>
      <c r="AJ87" s="14"/>
      <c r="AK87" s="15"/>
      <c r="AL87" s="81"/>
      <c r="AM87" s="17"/>
    </row>
    <row r="88" spans="2:40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  <c r="AH88" s="2"/>
      <c r="AI88" s="2"/>
      <c r="AJ88" s="14"/>
      <c r="AK88" s="15"/>
      <c r="AL88" s="81"/>
      <c r="AM88" s="17"/>
    </row>
    <row r="89" spans="2:40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"/>
      <c r="AH89" s="2"/>
      <c r="AI89" s="2"/>
      <c r="AJ89" s="14"/>
      <c r="AK89" s="15"/>
      <c r="AL89" s="81"/>
      <c r="AM89" s="17"/>
    </row>
    <row r="90" spans="2:40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2"/>
      <c r="AH90" s="2"/>
      <c r="AI90" s="2"/>
      <c r="AJ90" s="14"/>
      <c r="AK90" s="15"/>
      <c r="AL90" s="81"/>
      <c r="AM90" s="17"/>
    </row>
    <row r="91" spans="2:40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2"/>
      <c r="AH91" s="2"/>
      <c r="AI91" s="2"/>
      <c r="AJ91" s="14"/>
      <c r="AK91" s="15"/>
      <c r="AL91" s="81"/>
      <c r="AM91" s="17"/>
    </row>
    <row r="92" spans="2:40" x14ac:dyDescent="0.2">
      <c r="AN92" s="19"/>
    </row>
  </sheetData>
  <mergeCells count="5">
    <mergeCell ref="A1:AG1"/>
    <mergeCell ref="A3:A4"/>
    <mergeCell ref="B3:B4"/>
    <mergeCell ref="C3:AF3"/>
    <mergeCell ref="AG3:AG4"/>
  </mergeCells>
  <pageMargins left="0.75" right="0.75" top="1" bottom="1" header="0.5" footer="0.5"/>
  <pageSetup paperSize="12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F828-E319-4C3E-9666-B9CDF1AC2CE4}">
  <dimension ref="A1:AN92"/>
  <sheetViews>
    <sheetView zoomScaleNormal="100" workbookViewId="0">
      <pane xSplit="2" topLeftCell="AB1" activePane="topRight" state="frozen"/>
      <selection pane="topRight" activeCell="AJ5" sqref="AJ5:AJ22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2" width="15.77734375" style="1" customWidth="1"/>
    <col min="33" max="33" width="15.77734375" style="2" customWidth="1"/>
    <col min="34" max="34" width="13.33203125" style="2" customWidth="1"/>
    <col min="35" max="35" width="14.21875" style="2" customWidth="1"/>
    <col min="36" max="36" width="12.88671875" style="14" customWidth="1"/>
    <col min="37" max="37" width="13.109375" style="15" bestFit="1" customWidth="1"/>
    <col min="38" max="38" width="27.21875" style="16" customWidth="1"/>
    <col min="39" max="39" width="14.44140625" style="17" bestFit="1" customWidth="1"/>
    <col min="40" max="40" width="11.77734375" style="18" bestFit="1" customWidth="1"/>
    <col min="41" max="43" width="8.88671875" style="19"/>
    <col min="44" max="44" width="13.44140625" style="19" bestFit="1" customWidth="1"/>
    <col min="45" max="255" width="8.88671875" style="19"/>
    <col min="256" max="256" width="5.109375" style="19" customWidth="1"/>
    <col min="257" max="257" width="49.33203125" style="19" customWidth="1"/>
    <col min="258" max="289" width="15.77734375" style="19" customWidth="1"/>
    <col min="290" max="291" width="10.5546875" style="19" customWidth="1"/>
    <col min="292" max="292" width="11" style="19" customWidth="1"/>
    <col min="293" max="293" width="13.109375" style="19" bestFit="1" customWidth="1"/>
    <col min="294" max="294" width="27.21875" style="19" customWidth="1"/>
    <col min="295" max="295" width="14.44140625" style="19" bestFit="1" customWidth="1"/>
    <col min="296" max="296" width="11.77734375" style="19" bestFit="1" customWidth="1"/>
    <col min="297" max="299" width="8.88671875" style="19"/>
    <col min="300" max="300" width="13.44140625" style="19" bestFit="1" customWidth="1"/>
    <col min="301" max="511" width="8.88671875" style="19"/>
    <col min="512" max="512" width="5.109375" style="19" customWidth="1"/>
    <col min="513" max="513" width="49.33203125" style="19" customWidth="1"/>
    <col min="514" max="545" width="15.77734375" style="19" customWidth="1"/>
    <col min="546" max="547" width="10.5546875" style="19" customWidth="1"/>
    <col min="548" max="548" width="11" style="19" customWidth="1"/>
    <col min="549" max="549" width="13.109375" style="19" bestFit="1" customWidth="1"/>
    <col min="550" max="550" width="27.21875" style="19" customWidth="1"/>
    <col min="551" max="551" width="14.44140625" style="19" bestFit="1" customWidth="1"/>
    <col min="552" max="552" width="11.77734375" style="19" bestFit="1" customWidth="1"/>
    <col min="553" max="555" width="8.88671875" style="19"/>
    <col min="556" max="556" width="13.44140625" style="19" bestFit="1" customWidth="1"/>
    <col min="557" max="767" width="8.88671875" style="19"/>
    <col min="768" max="768" width="5.109375" style="19" customWidth="1"/>
    <col min="769" max="769" width="49.33203125" style="19" customWidth="1"/>
    <col min="770" max="801" width="15.77734375" style="19" customWidth="1"/>
    <col min="802" max="803" width="10.5546875" style="19" customWidth="1"/>
    <col min="804" max="804" width="11" style="19" customWidth="1"/>
    <col min="805" max="805" width="13.109375" style="19" bestFit="1" customWidth="1"/>
    <col min="806" max="806" width="27.21875" style="19" customWidth="1"/>
    <col min="807" max="807" width="14.44140625" style="19" bestFit="1" customWidth="1"/>
    <col min="808" max="808" width="11.77734375" style="19" bestFit="1" customWidth="1"/>
    <col min="809" max="811" width="8.88671875" style="19"/>
    <col min="812" max="812" width="13.44140625" style="19" bestFit="1" customWidth="1"/>
    <col min="813" max="1023" width="8.88671875" style="19"/>
    <col min="1024" max="1024" width="5.109375" style="19" customWidth="1"/>
    <col min="1025" max="1025" width="49.33203125" style="19" customWidth="1"/>
    <col min="1026" max="1057" width="15.77734375" style="19" customWidth="1"/>
    <col min="1058" max="1059" width="10.5546875" style="19" customWidth="1"/>
    <col min="1060" max="1060" width="11" style="19" customWidth="1"/>
    <col min="1061" max="1061" width="13.109375" style="19" bestFit="1" customWidth="1"/>
    <col min="1062" max="1062" width="27.21875" style="19" customWidth="1"/>
    <col min="1063" max="1063" width="14.44140625" style="19" bestFit="1" customWidth="1"/>
    <col min="1064" max="1064" width="11.77734375" style="19" bestFit="1" customWidth="1"/>
    <col min="1065" max="1067" width="8.88671875" style="19"/>
    <col min="1068" max="1068" width="13.44140625" style="19" bestFit="1" customWidth="1"/>
    <col min="1069" max="1279" width="8.88671875" style="19"/>
    <col min="1280" max="1280" width="5.109375" style="19" customWidth="1"/>
    <col min="1281" max="1281" width="49.33203125" style="19" customWidth="1"/>
    <col min="1282" max="1313" width="15.77734375" style="19" customWidth="1"/>
    <col min="1314" max="1315" width="10.5546875" style="19" customWidth="1"/>
    <col min="1316" max="1316" width="11" style="19" customWidth="1"/>
    <col min="1317" max="1317" width="13.109375" style="19" bestFit="1" customWidth="1"/>
    <col min="1318" max="1318" width="27.21875" style="19" customWidth="1"/>
    <col min="1319" max="1319" width="14.44140625" style="19" bestFit="1" customWidth="1"/>
    <col min="1320" max="1320" width="11.77734375" style="19" bestFit="1" customWidth="1"/>
    <col min="1321" max="1323" width="8.88671875" style="19"/>
    <col min="1324" max="1324" width="13.44140625" style="19" bestFit="1" customWidth="1"/>
    <col min="1325" max="1535" width="8.88671875" style="19"/>
    <col min="1536" max="1536" width="5.109375" style="19" customWidth="1"/>
    <col min="1537" max="1537" width="49.33203125" style="19" customWidth="1"/>
    <col min="1538" max="1569" width="15.77734375" style="19" customWidth="1"/>
    <col min="1570" max="1571" width="10.5546875" style="19" customWidth="1"/>
    <col min="1572" max="1572" width="11" style="19" customWidth="1"/>
    <col min="1573" max="1573" width="13.109375" style="19" bestFit="1" customWidth="1"/>
    <col min="1574" max="1574" width="27.21875" style="19" customWidth="1"/>
    <col min="1575" max="1575" width="14.44140625" style="19" bestFit="1" customWidth="1"/>
    <col min="1576" max="1576" width="11.77734375" style="19" bestFit="1" customWidth="1"/>
    <col min="1577" max="1579" width="8.88671875" style="19"/>
    <col min="1580" max="1580" width="13.44140625" style="19" bestFit="1" customWidth="1"/>
    <col min="1581" max="1791" width="8.88671875" style="19"/>
    <col min="1792" max="1792" width="5.109375" style="19" customWidth="1"/>
    <col min="1793" max="1793" width="49.33203125" style="19" customWidth="1"/>
    <col min="1794" max="1825" width="15.77734375" style="19" customWidth="1"/>
    <col min="1826" max="1827" width="10.5546875" style="19" customWidth="1"/>
    <col min="1828" max="1828" width="11" style="19" customWidth="1"/>
    <col min="1829" max="1829" width="13.109375" style="19" bestFit="1" customWidth="1"/>
    <col min="1830" max="1830" width="27.21875" style="19" customWidth="1"/>
    <col min="1831" max="1831" width="14.44140625" style="19" bestFit="1" customWidth="1"/>
    <col min="1832" max="1832" width="11.77734375" style="19" bestFit="1" customWidth="1"/>
    <col min="1833" max="1835" width="8.88671875" style="19"/>
    <col min="1836" max="1836" width="13.44140625" style="19" bestFit="1" customWidth="1"/>
    <col min="1837" max="2047" width="8.88671875" style="19"/>
    <col min="2048" max="2048" width="5.109375" style="19" customWidth="1"/>
    <col min="2049" max="2049" width="49.33203125" style="19" customWidth="1"/>
    <col min="2050" max="2081" width="15.77734375" style="19" customWidth="1"/>
    <col min="2082" max="2083" width="10.5546875" style="19" customWidth="1"/>
    <col min="2084" max="2084" width="11" style="19" customWidth="1"/>
    <col min="2085" max="2085" width="13.109375" style="19" bestFit="1" customWidth="1"/>
    <col min="2086" max="2086" width="27.21875" style="19" customWidth="1"/>
    <col min="2087" max="2087" width="14.44140625" style="19" bestFit="1" customWidth="1"/>
    <col min="2088" max="2088" width="11.77734375" style="19" bestFit="1" customWidth="1"/>
    <col min="2089" max="2091" width="8.88671875" style="19"/>
    <col min="2092" max="2092" width="13.44140625" style="19" bestFit="1" customWidth="1"/>
    <col min="2093" max="2303" width="8.88671875" style="19"/>
    <col min="2304" max="2304" width="5.109375" style="19" customWidth="1"/>
    <col min="2305" max="2305" width="49.33203125" style="19" customWidth="1"/>
    <col min="2306" max="2337" width="15.77734375" style="19" customWidth="1"/>
    <col min="2338" max="2339" width="10.5546875" style="19" customWidth="1"/>
    <col min="2340" max="2340" width="11" style="19" customWidth="1"/>
    <col min="2341" max="2341" width="13.109375" style="19" bestFit="1" customWidth="1"/>
    <col min="2342" max="2342" width="27.21875" style="19" customWidth="1"/>
    <col min="2343" max="2343" width="14.44140625" style="19" bestFit="1" customWidth="1"/>
    <col min="2344" max="2344" width="11.77734375" style="19" bestFit="1" customWidth="1"/>
    <col min="2345" max="2347" width="8.88671875" style="19"/>
    <col min="2348" max="2348" width="13.44140625" style="19" bestFit="1" customWidth="1"/>
    <col min="2349" max="2559" width="8.88671875" style="19"/>
    <col min="2560" max="2560" width="5.109375" style="19" customWidth="1"/>
    <col min="2561" max="2561" width="49.33203125" style="19" customWidth="1"/>
    <col min="2562" max="2593" width="15.77734375" style="19" customWidth="1"/>
    <col min="2594" max="2595" width="10.5546875" style="19" customWidth="1"/>
    <col min="2596" max="2596" width="11" style="19" customWidth="1"/>
    <col min="2597" max="2597" width="13.109375" style="19" bestFit="1" customWidth="1"/>
    <col min="2598" max="2598" width="27.21875" style="19" customWidth="1"/>
    <col min="2599" max="2599" width="14.44140625" style="19" bestFit="1" customWidth="1"/>
    <col min="2600" max="2600" width="11.77734375" style="19" bestFit="1" customWidth="1"/>
    <col min="2601" max="2603" width="8.88671875" style="19"/>
    <col min="2604" max="2604" width="13.44140625" style="19" bestFit="1" customWidth="1"/>
    <col min="2605" max="2815" width="8.88671875" style="19"/>
    <col min="2816" max="2816" width="5.109375" style="19" customWidth="1"/>
    <col min="2817" max="2817" width="49.33203125" style="19" customWidth="1"/>
    <col min="2818" max="2849" width="15.77734375" style="19" customWidth="1"/>
    <col min="2850" max="2851" width="10.5546875" style="19" customWidth="1"/>
    <col min="2852" max="2852" width="11" style="19" customWidth="1"/>
    <col min="2853" max="2853" width="13.109375" style="19" bestFit="1" customWidth="1"/>
    <col min="2854" max="2854" width="27.21875" style="19" customWidth="1"/>
    <col min="2855" max="2855" width="14.44140625" style="19" bestFit="1" customWidth="1"/>
    <col min="2856" max="2856" width="11.77734375" style="19" bestFit="1" customWidth="1"/>
    <col min="2857" max="2859" width="8.88671875" style="19"/>
    <col min="2860" max="2860" width="13.44140625" style="19" bestFit="1" customWidth="1"/>
    <col min="2861" max="3071" width="8.88671875" style="19"/>
    <col min="3072" max="3072" width="5.109375" style="19" customWidth="1"/>
    <col min="3073" max="3073" width="49.33203125" style="19" customWidth="1"/>
    <col min="3074" max="3105" width="15.77734375" style="19" customWidth="1"/>
    <col min="3106" max="3107" width="10.5546875" style="19" customWidth="1"/>
    <col min="3108" max="3108" width="11" style="19" customWidth="1"/>
    <col min="3109" max="3109" width="13.109375" style="19" bestFit="1" customWidth="1"/>
    <col min="3110" max="3110" width="27.21875" style="19" customWidth="1"/>
    <col min="3111" max="3111" width="14.44140625" style="19" bestFit="1" customWidth="1"/>
    <col min="3112" max="3112" width="11.77734375" style="19" bestFit="1" customWidth="1"/>
    <col min="3113" max="3115" width="8.88671875" style="19"/>
    <col min="3116" max="3116" width="13.44140625" style="19" bestFit="1" customWidth="1"/>
    <col min="3117" max="3327" width="8.88671875" style="19"/>
    <col min="3328" max="3328" width="5.109375" style="19" customWidth="1"/>
    <col min="3329" max="3329" width="49.33203125" style="19" customWidth="1"/>
    <col min="3330" max="3361" width="15.77734375" style="19" customWidth="1"/>
    <col min="3362" max="3363" width="10.5546875" style="19" customWidth="1"/>
    <col min="3364" max="3364" width="11" style="19" customWidth="1"/>
    <col min="3365" max="3365" width="13.109375" style="19" bestFit="1" customWidth="1"/>
    <col min="3366" max="3366" width="27.21875" style="19" customWidth="1"/>
    <col min="3367" max="3367" width="14.44140625" style="19" bestFit="1" customWidth="1"/>
    <col min="3368" max="3368" width="11.77734375" style="19" bestFit="1" customWidth="1"/>
    <col min="3369" max="3371" width="8.88671875" style="19"/>
    <col min="3372" max="3372" width="13.44140625" style="19" bestFit="1" customWidth="1"/>
    <col min="3373" max="3583" width="8.88671875" style="19"/>
    <col min="3584" max="3584" width="5.109375" style="19" customWidth="1"/>
    <col min="3585" max="3585" width="49.33203125" style="19" customWidth="1"/>
    <col min="3586" max="3617" width="15.77734375" style="19" customWidth="1"/>
    <col min="3618" max="3619" width="10.5546875" style="19" customWidth="1"/>
    <col min="3620" max="3620" width="11" style="19" customWidth="1"/>
    <col min="3621" max="3621" width="13.109375" style="19" bestFit="1" customWidth="1"/>
    <col min="3622" max="3622" width="27.21875" style="19" customWidth="1"/>
    <col min="3623" max="3623" width="14.44140625" style="19" bestFit="1" customWidth="1"/>
    <col min="3624" max="3624" width="11.77734375" style="19" bestFit="1" customWidth="1"/>
    <col min="3625" max="3627" width="8.88671875" style="19"/>
    <col min="3628" max="3628" width="13.44140625" style="19" bestFit="1" customWidth="1"/>
    <col min="3629" max="3839" width="8.88671875" style="19"/>
    <col min="3840" max="3840" width="5.109375" style="19" customWidth="1"/>
    <col min="3841" max="3841" width="49.33203125" style="19" customWidth="1"/>
    <col min="3842" max="3873" width="15.77734375" style="19" customWidth="1"/>
    <col min="3874" max="3875" width="10.5546875" style="19" customWidth="1"/>
    <col min="3876" max="3876" width="11" style="19" customWidth="1"/>
    <col min="3877" max="3877" width="13.109375" style="19" bestFit="1" customWidth="1"/>
    <col min="3878" max="3878" width="27.21875" style="19" customWidth="1"/>
    <col min="3879" max="3879" width="14.44140625" style="19" bestFit="1" customWidth="1"/>
    <col min="3880" max="3880" width="11.77734375" style="19" bestFit="1" customWidth="1"/>
    <col min="3881" max="3883" width="8.88671875" style="19"/>
    <col min="3884" max="3884" width="13.44140625" style="19" bestFit="1" customWidth="1"/>
    <col min="3885" max="4095" width="8.88671875" style="19"/>
    <col min="4096" max="4096" width="5.109375" style="19" customWidth="1"/>
    <col min="4097" max="4097" width="49.33203125" style="19" customWidth="1"/>
    <col min="4098" max="4129" width="15.77734375" style="19" customWidth="1"/>
    <col min="4130" max="4131" width="10.5546875" style="19" customWidth="1"/>
    <col min="4132" max="4132" width="11" style="19" customWidth="1"/>
    <col min="4133" max="4133" width="13.109375" style="19" bestFit="1" customWidth="1"/>
    <col min="4134" max="4134" width="27.21875" style="19" customWidth="1"/>
    <col min="4135" max="4135" width="14.44140625" style="19" bestFit="1" customWidth="1"/>
    <col min="4136" max="4136" width="11.77734375" style="19" bestFit="1" customWidth="1"/>
    <col min="4137" max="4139" width="8.88671875" style="19"/>
    <col min="4140" max="4140" width="13.44140625" style="19" bestFit="1" customWidth="1"/>
    <col min="4141" max="4351" width="8.88671875" style="19"/>
    <col min="4352" max="4352" width="5.109375" style="19" customWidth="1"/>
    <col min="4353" max="4353" width="49.33203125" style="19" customWidth="1"/>
    <col min="4354" max="4385" width="15.77734375" style="19" customWidth="1"/>
    <col min="4386" max="4387" width="10.5546875" style="19" customWidth="1"/>
    <col min="4388" max="4388" width="11" style="19" customWidth="1"/>
    <col min="4389" max="4389" width="13.109375" style="19" bestFit="1" customWidth="1"/>
    <col min="4390" max="4390" width="27.21875" style="19" customWidth="1"/>
    <col min="4391" max="4391" width="14.44140625" style="19" bestFit="1" customWidth="1"/>
    <col min="4392" max="4392" width="11.77734375" style="19" bestFit="1" customWidth="1"/>
    <col min="4393" max="4395" width="8.88671875" style="19"/>
    <col min="4396" max="4396" width="13.44140625" style="19" bestFit="1" customWidth="1"/>
    <col min="4397" max="4607" width="8.88671875" style="19"/>
    <col min="4608" max="4608" width="5.109375" style="19" customWidth="1"/>
    <col min="4609" max="4609" width="49.33203125" style="19" customWidth="1"/>
    <col min="4610" max="4641" width="15.77734375" style="19" customWidth="1"/>
    <col min="4642" max="4643" width="10.5546875" style="19" customWidth="1"/>
    <col min="4644" max="4644" width="11" style="19" customWidth="1"/>
    <col min="4645" max="4645" width="13.109375" style="19" bestFit="1" customWidth="1"/>
    <col min="4646" max="4646" width="27.21875" style="19" customWidth="1"/>
    <col min="4647" max="4647" width="14.44140625" style="19" bestFit="1" customWidth="1"/>
    <col min="4648" max="4648" width="11.77734375" style="19" bestFit="1" customWidth="1"/>
    <col min="4649" max="4651" width="8.88671875" style="19"/>
    <col min="4652" max="4652" width="13.44140625" style="19" bestFit="1" customWidth="1"/>
    <col min="4653" max="4863" width="8.88671875" style="19"/>
    <col min="4864" max="4864" width="5.109375" style="19" customWidth="1"/>
    <col min="4865" max="4865" width="49.33203125" style="19" customWidth="1"/>
    <col min="4866" max="4897" width="15.77734375" style="19" customWidth="1"/>
    <col min="4898" max="4899" width="10.5546875" style="19" customWidth="1"/>
    <col min="4900" max="4900" width="11" style="19" customWidth="1"/>
    <col min="4901" max="4901" width="13.109375" style="19" bestFit="1" customWidth="1"/>
    <col min="4902" max="4902" width="27.21875" style="19" customWidth="1"/>
    <col min="4903" max="4903" width="14.44140625" style="19" bestFit="1" customWidth="1"/>
    <col min="4904" max="4904" width="11.77734375" style="19" bestFit="1" customWidth="1"/>
    <col min="4905" max="4907" width="8.88671875" style="19"/>
    <col min="4908" max="4908" width="13.44140625" style="19" bestFit="1" customWidth="1"/>
    <col min="4909" max="5119" width="8.88671875" style="19"/>
    <col min="5120" max="5120" width="5.109375" style="19" customWidth="1"/>
    <col min="5121" max="5121" width="49.33203125" style="19" customWidth="1"/>
    <col min="5122" max="5153" width="15.77734375" style="19" customWidth="1"/>
    <col min="5154" max="5155" width="10.5546875" style="19" customWidth="1"/>
    <col min="5156" max="5156" width="11" style="19" customWidth="1"/>
    <col min="5157" max="5157" width="13.109375" style="19" bestFit="1" customWidth="1"/>
    <col min="5158" max="5158" width="27.21875" style="19" customWidth="1"/>
    <col min="5159" max="5159" width="14.44140625" style="19" bestFit="1" customWidth="1"/>
    <col min="5160" max="5160" width="11.77734375" style="19" bestFit="1" customWidth="1"/>
    <col min="5161" max="5163" width="8.88671875" style="19"/>
    <col min="5164" max="5164" width="13.44140625" style="19" bestFit="1" customWidth="1"/>
    <col min="5165" max="5375" width="8.88671875" style="19"/>
    <col min="5376" max="5376" width="5.109375" style="19" customWidth="1"/>
    <col min="5377" max="5377" width="49.33203125" style="19" customWidth="1"/>
    <col min="5378" max="5409" width="15.77734375" style="19" customWidth="1"/>
    <col min="5410" max="5411" width="10.5546875" style="19" customWidth="1"/>
    <col min="5412" max="5412" width="11" style="19" customWidth="1"/>
    <col min="5413" max="5413" width="13.109375" style="19" bestFit="1" customWidth="1"/>
    <col min="5414" max="5414" width="27.21875" style="19" customWidth="1"/>
    <col min="5415" max="5415" width="14.44140625" style="19" bestFit="1" customWidth="1"/>
    <col min="5416" max="5416" width="11.77734375" style="19" bestFit="1" customWidth="1"/>
    <col min="5417" max="5419" width="8.88671875" style="19"/>
    <col min="5420" max="5420" width="13.44140625" style="19" bestFit="1" customWidth="1"/>
    <col min="5421" max="5631" width="8.88671875" style="19"/>
    <col min="5632" max="5632" width="5.109375" style="19" customWidth="1"/>
    <col min="5633" max="5633" width="49.33203125" style="19" customWidth="1"/>
    <col min="5634" max="5665" width="15.77734375" style="19" customWidth="1"/>
    <col min="5666" max="5667" width="10.5546875" style="19" customWidth="1"/>
    <col min="5668" max="5668" width="11" style="19" customWidth="1"/>
    <col min="5669" max="5669" width="13.109375" style="19" bestFit="1" customWidth="1"/>
    <col min="5670" max="5670" width="27.21875" style="19" customWidth="1"/>
    <col min="5671" max="5671" width="14.44140625" style="19" bestFit="1" customWidth="1"/>
    <col min="5672" max="5672" width="11.77734375" style="19" bestFit="1" customWidth="1"/>
    <col min="5673" max="5675" width="8.88671875" style="19"/>
    <col min="5676" max="5676" width="13.44140625" style="19" bestFit="1" customWidth="1"/>
    <col min="5677" max="5887" width="8.88671875" style="19"/>
    <col min="5888" max="5888" width="5.109375" style="19" customWidth="1"/>
    <col min="5889" max="5889" width="49.33203125" style="19" customWidth="1"/>
    <col min="5890" max="5921" width="15.77734375" style="19" customWidth="1"/>
    <col min="5922" max="5923" width="10.5546875" style="19" customWidth="1"/>
    <col min="5924" max="5924" width="11" style="19" customWidth="1"/>
    <col min="5925" max="5925" width="13.109375" style="19" bestFit="1" customWidth="1"/>
    <col min="5926" max="5926" width="27.21875" style="19" customWidth="1"/>
    <col min="5927" max="5927" width="14.44140625" style="19" bestFit="1" customWidth="1"/>
    <col min="5928" max="5928" width="11.77734375" style="19" bestFit="1" customWidth="1"/>
    <col min="5929" max="5931" width="8.88671875" style="19"/>
    <col min="5932" max="5932" width="13.44140625" style="19" bestFit="1" customWidth="1"/>
    <col min="5933" max="6143" width="8.88671875" style="19"/>
    <col min="6144" max="6144" width="5.109375" style="19" customWidth="1"/>
    <col min="6145" max="6145" width="49.33203125" style="19" customWidth="1"/>
    <col min="6146" max="6177" width="15.77734375" style="19" customWidth="1"/>
    <col min="6178" max="6179" width="10.5546875" style="19" customWidth="1"/>
    <col min="6180" max="6180" width="11" style="19" customWidth="1"/>
    <col min="6181" max="6181" width="13.109375" style="19" bestFit="1" customWidth="1"/>
    <col min="6182" max="6182" width="27.21875" style="19" customWidth="1"/>
    <col min="6183" max="6183" width="14.44140625" style="19" bestFit="1" customWidth="1"/>
    <col min="6184" max="6184" width="11.77734375" style="19" bestFit="1" customWidth="1"/>
    <col min="6185" max="6187" width="8.88671875" style="19"/>
    <col min="6188" max="6188" width="13.44140625" style="19" bestFit="1" customWidth="1"/>
    <col min="6189" max="6399" width="8.88671875" style="19"/>
    <col min="6400" max="6400" width="5.109375" style="19" customWidth="1"/>
    <col min="6401" max="6401" width="49.33203125" style="19" customWidth="1"/>
    <col min="6402" max="6433" width="15.77734375" style="19" customWidth="1"/>
    <col min="6434" max="6435" width="10.5546875" style="19" customWidth="1"/>
    <col min="6436" max="6436" width="11" style="19" customWidth="1"/>
    <col min="6437" max="6437" width="13.109375" style="19" bestFit="1" customWidth="1"/>
    <col min="6438" max="6438" width="27.21875" style="19" customWidth="1"/>
    <col min="6439" max="6439" width="14.44140625" style="19" bestFit="1" customWidth="1"/>
    <col min="6440" max="6440" width="11.77734375" style="19" bestFit="1" customWidth="1"/>
    <col min="6441" max="6443" width="8.88671875" style="19"/>
    <col min="6444" max="6444" width="13.44140625" style="19" bestFit="1" customWidth="1"/>
    <col min="6445" max="6655" width="8.88671875" style="19"/>
    <col min="6656" max="6656" width="5.109375" style="19" customWidth="1"/>
    <col min="6657" max="6657" width="49.33203125" style="19" customWidth="1"/>
    <col min="6658" max="6689" width="15.77734375" style="19" customWidth="1"/>
    <col min="6690" max="6691" width="10.5546875" style="19" customWidth="1"/>
    <col min="6692" max="6692" width="11" style="19" customWidth="1"/>
    <col min="6693" max="6693" width="13.109375" style="19" bestFit="1" customWidth="1"/>
    <col min="6694" max="6694" width="27.21875" style="19" customWidth="1"/>
    <col min="6695" max="6695" width="14.44140625" style="19" bestFit="1" customWidth="1"/>
    <col min="6696" max="6696" width="11.77734375" style="19" bestFit="1" customWidth="1"/>
    <col min="6697" max="6699" width="8.88671875" style="19"/>
    <col min="6700" max="6700" width="13.44140625" style="19" bestFit="1" customWidth="1"/>
    <col min="6701" max="6911" width="8.88671875" style="19"/>
    <col min="6912" max="6912" width="5.109375" style="19" customWidth="1"/>
    <col min="6913" max="6913" width="49.33203125" style="19" customWidth="1"/>
    <col min="6914" max="6945" width="15.77734375" style="19" customWidth="1"/>
    <col min="6946" max="6947" width="10.5546875" style="19" customWidth="1"/>
    <col min="6948" max="6948" width="11" style="19" customWidth="1"/>
    <col min="6949" max="6949" width="13.109375" style="19" bestFit="1" customWidth="1"/>
    <col min="6950" max="6950" width="27.21875" style="19" customWidth="1"/>
    <col min="6951" max="6951" width="14.44140625" style="19" bestFit="1" customWidth="1"/>
    <col min="6952" max="6952" width="11.77734375" style="19" bestFit="1" customWidth="1"/>
    <col min="6953" max="6955" width="8.88671875" style="19"/>
    <col min="6956" max="6956" width="13.44140625" style="19" bestFit="1" customWidth="1"/>
    <col min="6957" max="7167" width="8.88671875" style="19"/>
    <col min="7168" max="7168" width="5.109375" style="19" customWidth="1"/>
    <col min="7169" max="7169" width="49.33203125" style="19" customWidth="1"/>
    <col min="7170" max="7201" width="15.77734375" style="19" customWidth="1"/>
    <col min="7202" max="7203" width="10.5546875" style="19" customWidth="1"/>
    <col min="7204" max="7204" width="11" style="19" customWidth="1"/>
    <col min="7205" max="7205" width="13.109375" style="19" bestFit="1" customWidth="1"/>
    <col min="7206" max="7206" width="27.21875" style="19" customWidth="1"/>
    <col min="7207" max="7207" width="14.44140625" style="19" bestFit="1" customWidth="1"/>
    <col min="7208" max="7208" width="11.77734375" style="19" bestFit="1" customWidth="1"/>
    <col min="7209" max="7211" width="8.88671875" style="19"/>
    <col min="7212" max="7212" width="13.44140625" style="19" bestFit="1" customWidth="1"/>
    <col min="7213" max="7423" width="8.88671875" style="19"/>
    <col min="7424" max="7424" width="5.109375" style="19" customWidth="1"/>
    <col min="7425" max="7425" width="49.33203125" style="19" customWidth="1"/>
    <col min="7426" max="7457" width="15.77734375" style="19" customWidth="1"/>
    <col min="7458" max="7459" width="10.5546875" style="19" customWidth="1"/>
    <col min="7460" max="7460" width="11" style="19" customWidth="1"/>
    <col min="7461" max="7461" width="13.109375" style="19" bestFit="1" customWidth="1"/>
    <col min="7462" max="7462" width="27.21875" style="19" customWidth="1"/>
    <col min="7463" max="7463" width="14.44140625" style="19" bestFit="1" customWidth="1"/>
    <col min="7464" max="7464" width="11.77734375" style="19" bestFit="1" customWidth="1"/>
    <col min="7465" max="7467" width="8.88671875" style="19"/>
    <col min="7468" max="7468" width="13.44140625" style="19" bestFit="1" customWidth="1"/>
    <col min="7469" max="7679" width="8.88671875" style="19"/>
    <col min="7680" max="7680" width="5.109375" style="19" customWidth="1"/>
    <col min="7681" max="7681" width="49.33203125" style="19" customWidth="1"/>
    <col min="7682" max="7713" width="15.77734375" style="19" customWidth="1"/>
    <col min="7714" max="7715" width="10.5546875" style="19" customWidth="1"/>
    <col min="7716" max="7716" width="11" style="19" customWidth="1"/>
    <col min="7717" max="7717" width="13.109375" style="19" bestFit="1" customWidth="1"/>
    <col min="7718" max="7718" width="27.21875" style="19" customWidth="1"/>
    <col min="7719" max="7719" width="14.44140625" style="19" bestFit="1" customWidth="1"/>
    <col min="7720" max="7720" width="11.77734375" style="19" bestFit="1" customWidth="1"/>
    <col min="7721" max="7723" width="8.88671875" style="19"/>
    <col min="7724" max="7724" width="13.44140625" style="19" bestFit="1" customWidth="1"/>
    <col min="7725" max="7935" width="8.88671875" style="19"/>
    <col min="7936" max="7936" width="5.109375" style="19" customWidth="1"/>
    <col min="7937" max="7937" width="49.33203125" style="19" customWidth="1"/>
    <col min="7938" max="7969" width="15.77734375" style="19" customWidth="1"/>
    <col min="7970" max="7971" width="10.5546875" style="19" customWidth="1"/>
    <col min="7972" max="7972" width="11" style="19" customWidth="1"/>
    <col min="7973" max="7973" width="13.109375" style="19" bestFit="1" customWidth="1"/>
    <col min="7974" max="7974" width="27.21875" style="19" customWidth="1"/>
    <col min="7975" max="7975" width="14.44140625" style="19" bestFit="1" customWidth="1"/>
    <col min="7976" max="7976" width="11.77734375" style="19" bestFit="1" customWidth="1"/>
    <col min="7977" max="7979" width="8.88671875" style="19"/>
    <col min="7980" max="7980" width="13.44140625" style="19" bestFit="1" customWidth="1"/>
    <col min="7981" max="8191" width="8.88671875" style="19"/>
    <col min="8192" max="8192" width="5.109375" style="19" customWidth="1"/>
    <col min="8193" max="8193" width="49.33203125" style="19" customWidth="1"/>
    <col min="8194" max="8225" width="15.77734375" style="19" customWidth="1"/>
    <col min="8226" max="8227" width="10.5546875" style="19" customWidth="1"/>
    <col min="8228" max="8228" width="11" style="19" customWidth="1"/>
    <col min="8229" max="8229" width="13.109375" style="19" bestFit="1" customWidth="1"/>
    <col min="8230" max="8230" width="27.21875" style="19" customWidth="1"/>
    <col min="8231" max="8231" width="14.44140625" style="19" bestFit="1" customWidth="1"/>
    <col min="8232" max="8232" width="11.77734375" style="19" bestFit="1" customWidth="1"/>
    <col min="8233" max="8235" width="8.88671875" style="19"/>
    <col min="8236" max="8236" width="13.44140625" style="19" bestFit="1" customWidth="1"/>
    <col min="8237" max="8447" width="8.88671875" style="19"/>
    <col min="8448" max="8448" width="5.109375" style="19" customWidth="1"/>
    <col min="8449" max="8449" width="49.33203125" style="19" customWidth="1"/>
    <col min="8450" max="8481" width="15.77734375" style="19" customWidth="1"/>
    <col min="8482" max="8483" width="10.5546875" style="19" customWidth="1"/>
    <col min="8484" max="8484" width="11" style="19" customWidth="1"/>
    <col min="8485" max="8485" width="13.109375" style="19" bestFit="1" customWidth="1"/>
    <col min="8486" max="8486" width="27.21875" style="19" customWidth="1"/>
    <col min="8487" max="8487" width="14.44140625" style="19" bestFit="1" customWidth="1"/>
    <col min="8488" max="8488" width="11.77734375" style="19" bestFit="1" customWidth="1"/>
    <col min="8489" max="8491" width="8.88671875" style="19"/>
    <col min="8492" max="8492" width="13.44140625" style="19" bestFit="1" customWidth="1"/>
    <col min="8493" max="8703" width="8.88671875" style="19"/>
    <col min="8704" max="8704" width="5.109375" style="19" customWidth="1"/>
    <col min="8705" max="8705" width="49.33203125" style="19" customWidth="1"/>
    <col min="8706" max="8737" width="15.77734375" style="19" customWidth="1"/>
    <col min="8738" max="8739" width="10.5546875" style="19" customWidth="1"/>
    <col min="8740" max="8740" width="11" style="19" customWidth="1"/>
    <col min="8741" max="8741" width="13.109375" style="19" bestFit="1" customWidth="1"/>
    <col min="8742" max="8742" width="27.21875" style="19" customWidth="1"/>
    <col min="8743" max="8743" width="14.44140625" style="19" bestFit="1" customWidth="1"/>
    <col min="8744" max="8744" width="11.77734375" style="19" bestFit="1" customWidth="1"/>
    <col min="8745" max="8747" width="8.88671875" style="19"/>
    <col min="8748" max="8748" width="13.44140625" style="19" bestFit="1" customWidth="1"/>
    <col min="8749" max="8959" width="8.88671875" style="19"/>
    <col min="8960" max="8960" width="5.109375" style="19" customWidth="1"/>
    <col min="8961" max="8961" width="49.33203125" style="19" customWidth="1"/>
    <col min="8962" max="8993" width="15.77734375" style="19" customWidth="1"/>
    <col min="8994" max="8995" width="10.5546875" style="19" customWidth="1"/>
    <col min="8996" max="8996" width="11" style="19" customWidth="1"/>
    <col min="8997" max="8997" width="13.109375" style="19" bestFit="1" customWidth="1"/>
    <col min="8998" max="8998" width="27.21875" style="19" customWidth="1"/>
    <col min="8999" max="8999" width="14.44140625" style="19" bestFit="1" customWidth="1"/>
    <col min="9000" max="9000" width="11.77734375" style="19" bestFit="1" customWidth="1"/>
    <col min="9001" max="9003" width="8.88671875" style="19"/>
    <col min="9004" max="9004" width="13.44140625" style="19" bestFit="1" customWidth="1"/>
    <col min="9005" max="9215" width="8.88671875" style="19"/>
    <col min="9216" max="9216" width="5.109375" style="19" customWidth="1"/>
    <col min="9217" max="9217" width="49.33203125" style="19" customWidth="1"/>
    <col min="9218" max="9249" width="15.77734375" style="19" customWidth="1"/>
    <col min="9250" max="9251" width="10.5546875" style="19" customWidth="1"/>
    <col min="9252" max="9252" width="11" style="19" customWidth="1"/>
    <col min="9253" max="9253" width="13.109375" style="19" bestFit="1" customWidth="1"/>
    <col min="9254" max="9254" width="27.21875" style="19" customWidth="1"/>
    <col min="9255" max="9255" width="14.44140625" style="19" bestFit="1" customWidth="1"/>
    <col min="9256" max="9256" width="11.77734375" style="19" bestFit="1" customWidth="1"/>
    <col min="9257" max="9259" width="8.88671875" style="19"/>
    <col min="9260" max="9260" width="13.44140625" style="19" bestFit="1" customWidth="1"/>
    <col min="9261" max="9471" width="8.88671875" style="19"/>
    <col min="9472" max="9472" width="5.109375" style="19" customWidth="1"/>
    <col min="9473" max="9473" width="49.33203125" style="19" customWidth="1"/>
    <col min="9474" max="9505" width="15.77734375" style="19" customWidth="1"/>
    <col min="9506" max="9507" width="10.5546875" style="19" customWidth="1"/>
    <col min="9508" max="9508" width="11" style="19" customWidth="1"/>
    <col min="9509" max="9509" width="13.109375" style="19" bestFit="1" customWidth="1"/>
    <col min="9510" max="9510" width="27.21875" style="19" customWidth="1"/>
    <col min="9511" max="9511" width="14.44140625" style="19" bestFit="1" customWidth="1"/>
    <col min="9512" max="9512" width="11.77734375" style="19" bestFit="1" customWidth="1"/>
    <col min="9513" max="9515" width="8.88671875" style="19"/>
    <col min="9516" max="9516" width="13.44140625" style="19" bestFit="1" customWidth="1"/>
    <col min="9517" max="9727" width="8.88671875" style="19"/>
    <col min="9728" max="9728" width="5.109375" style="19" customWidth="1"/>
    <col min="9729" max="9729" width="49.33203125" style="19" customWidth="1"/>
    <col min="9730" max="9761" width="15.77734375" style="19" customWidth="1"/>
    <col min="9762" max="9763" width="10.5546875" style="19" customWidth="1"/>
    <col min="9764" max="9764" width="11" style="19" customWidth="1"/>
    <col min="9765" max="9765" width="13.109375" style="19" bestFit="1" customWidth="1"/>
    <col min="9766" max="9766" width="27.21875" style="19" customWidth="1"/>
    <col min="9767" max="9767" width="14.44140625" style="19" bestFit="1" customWidth="1"/>
    <col min="9768" max="9768" width="11.77734375" style="19" bestFit="1" customWidth="1"/>
    <col min="9769" max="9771" width="8.88671875" style="19"/>
    <col min="9772" max="9772" width="13.44140625" style="19" bestFit="1" customWidth="1"/>
    <col min="9773" max="9983" width="8.88671875" style="19"/>
    <col min="9984" max="9984" width="5.109375" style="19" customWidth="1"/>
    <col min="9985" max="9985" width="49.33203125" style="19" customWidth="1"/>
    <col min="9986" max="10017" width="15.77734375" style="19" customWidth="1"/>
    <col min="10018" max="10019" width="10.5546875" style="19" customWidth="1"/>
    <col min="10020" max="10020" width="11" style="19" customWidth="1"/>
    <col min="10021" max="10021" width="13.109375" style="19" bestFit="1" customWidth="1"/>
    <col min="10022" max="10022" width="27.21875" style="19" customWidth="1"/>
    <col min="10023" max="10023" width="14.44140625" style="19" bestFit="1" customWidth="1"/>
    <col min="10024" max="10024" width="11.77734375" style="19" bestFit="1" customWidth="1"/>
    <col min="10025" max="10027" width="8.88671875" style="19"/>
    <col min="10028" max="10028" width="13.44140625" style="19" bestFit="1" customWidth="1"/>
    <col min="10029" max="10239" width="8.88671875" style="19"/>
    <col min="10240" max="10240" width="5.109375" style="19" customWidth="1"/>
    <col min="10241" max="10241" width="49.33203125" style="19" customWidth="1"/>
    <col min="10242" max="10273" width="15.77734375" style="19" customWidth="1"/>
    <col min="10274" max="10275" width="10.5546875" style="19" customWidth="1"/>
    <col min="10276" max="10276" width="11" style="19" customWidth="1"/>
    <col min="10277" max="10277" width="13.109375" style="19" bestFit="1" customWidth="1"/>
    <col min="10278" max="10278" width="27.21875" style="19" customWidth="1"/>
    <col min="10279" max="10279" width="14.44140625" style="19" bestFit="1" customWidth="1"/>
    <col min="10280" max="10280" width="11.77734375" style="19" bestFit="1" customWidth="1"/>
    <col min="10281" max="10283" width="8.88671875" style="19"/>
    <col min="10284" max="10284" width="13.44140625" style="19" bestFit="1" customWidth="1"/>
    <col min="10285" max="10495" width="8.88671875" style="19"/>
    <col min="10496" max="10496" width="5.109375" style="19" customWidth="1"/>
    <col min="10497" max="10497" width="49.33203125" style="19" customWidth="1"/>
    <col min="10498" max="10529" width="15.77734375" style="19" customWidth="1"/>
    <col min="10530" max="10531" width="10.5546875" style="19" customWidth="1"/>
    <col min="10532" max="10532" width="11" style="19" customWidth="1"/>
    <col min="10533" max="10533" width="13.109375" style="19" bestFit="1" customWidth="1"/>
    <col min="10534" max="10534" width="27.21875" style="19" customWidth="1"/>
    <col min="10535" max="10535" width="14.44140625" style="19" bestFit="1" customWidth="1"/>
    <col min="10536" max="10536" width="11.77734375" style="19" bestFit="1" customWidth="1"/>
    <col min="10537" max="10539" width="8.88671875" style="19"/>
    <col min="10540" max="10540" width="13.44140625" style="19" bestFit="1" customWidth="1"/>
    <col min="10541" max="10751" width="8.88671875" style="19"/>
    <col min="10752" max="10752" width="5.109375" style="19" customWidth="1"/>
    <col min="10753" max="10753" width="49.33203125" style="19" customWidth="1"/>
    <col min="10754" max="10785" width="15.77734375" style="19" customWidth="1"/>
    <col min="10786" max="10787" width="10.5546875" style="19" customWidth="1"/>
    <col min="10788" max="10788" width="11" style="19" customWidth="1"/>
    <col min="10789" max="10789" width="13.109375" style="19" bestFit="1" customWidth="1"/>
    <col min="10790" max="10790" width="27.21875" style="19" customWidth="1"/>
    <col min="10791" max="10791" width="14.44140625" style="19" bestFit="1" customWidth="1"/>
    <col min="10792" max="10792" width="11.77734375" style="19" bestFit="1" customWidth="1"/>
    <col min="10793" max="10795" width="8.88671875" style="19"/>
    <col min="10796" max="10796" width="13.44140625" style="19" bestFit="1" customWidth="1"/>
    <col min="10797" max="11007" width="8.88671875" style="19"/>
    <col min="11008" max="11008" width="5.109375" style="19" customWidth="1"/>
    <col min="11009" max="11009" width="49.33203125" style="19" customWidth="1"/>
    <col min="11010" max="11041" width="15.77734375" style="19" customWidth="1"/>
    <col min="11042" max="11043" width="10.5546875" style="19" customWidth="1"/>
    <col min="11044" max="11044" width="11" style="19" customWidth="1"/>
    <col min="11045" max="11045" width="13.109375" style="19" bestFit="1" customWidth="1"/>
    <col min="11046" max="11046" width="27.21875" style="19" customWidth="1"/>
    <col min="11047" max="11047" width="14.44140625" style="19" bestFit="1" customWidth="1"/>
    <col min="11048" max="11048" width="11.77734375" style="19" bestFit="1" customWidth="1"/>
    <col min="11049" max="11051" width="8.88671875" style="19"/>
    <col min="11052" max="11052" width="13.44140625" style="19" bestFit="1" customWidth="1"/>
    <col min="11053" max="11263" width="8.88671875" style="19"/>
    <col min="11264" max="11264" width="5.109375" style="19" customWidth="1"/>
    <col min="11265" max="11265" width="49.33203125" style="19" customWidth="1"/>
    <col min="11266" max="11297" width="15.77734375" style="19" customWidth="1"/>
    <col min="11298" max="11299" width="10.5546875" style="19" customWidth="1"/>
    <col min="11300" max="11300" width="11" style="19" customWidth="1"/>
    <col min="11301" max="11301" width="13.109375" style="19" bestFit="1" customWidth="1"/>
    <col min="11302" max="11302" width="27.21875" style="19" customWidth="1"/>
    <col min="11303" max="11303" width="14.44140625" style="19" bestFit="1" customWidth="1"/>
    <col min="11304" max="11304" width="11.77734375" style="19" bestFit="1" customWidth="1"/>
    <col min="11305" max="11307" width="8.88671875" style="19"/>
    <col min="11308" max="11308" width="13.44140625" style="19" bestFit="1" customWidth="1"/>
    <col min="11309" max="11519" width="8.88671875" style="19"/>
    <col min="11520" max="11520" width="5.109375" style="19" customWidth="1"/>
    <col min="11521" max="11521" width="49.33203125" style="19" customWidth="1"/>
    <col min="11522" max="11553" width="15.77734375" style="19" customWidth="1"/>
    <col min="11554" max="11555" width="10.5546875" style="19" customWidth="1"/>
    <col min="11556" max="11556" width="11" style="19" customWidth="1"/>
    <col min="11557" max="11557" width="13.109375" style="19" bestFit="1" customWidth="1"/>
    <col min="11558" max="11558" width="27.21875" style="19" customWidth="1"/>
    <col min="11559" max="11559" width="14.44140625" style="19" bestFit="1" customWidth="1"/>
    <col min="11560" max="11560" width="11.77734375" style="19" bestFit="1" customWidth="1"/>
    <col min="11561" max="11563" width="8.88671875" style="19"/>
    <col min="11564" max="11564" width="13.44140625" style="19" bestFit="1" customWidth="1"/>
    <col min="11565" max="11775" width="8.88671875" style="19"/>
    <col min="11776" max="11776" width="5.109375" style="19" customWidth="1"/>
    <col min="11777" max="11777" width="49.33203125" style="19" customWidth="1"/>
    <col min="11778" max="11809" width="15.77734375" style="19" customWidth="1"/>
    <col min="11810" max="11811" width="10.5546875" style="19" customWidth="1"/>
    <col min="11812" max="11812" width="11" style="19" customWidth="1"/>
    <col min="11813" max="11813" width="13.109375" style="19" bestFit="1" customWidth="1"/>
    <col min="11814" max="11814" width="27.21875" style="19" customWidth="1"/>
    <col min="11815" max="11815" width="14.44140625" style="19" bestFit="1" customWidth="1"/>
    <col min="11816" max="11816" width="11.77734375" style="19" bestFit="1" customWidth="1"/>
    <col min="11817" max="11819" width="8.88671875" style="19"/>
    <col min="11820" max="11820" width="13.44140625" style="19" bestFit="1" customWidth="1"/>
    <col min="11821" max="12031" width="8.88671875" style="19"/>
    <col min="12032" max="12032" width="5.109375" style="19" customWidth="1"/>
    <col min="12033" max="12033" width="49.33203125" style="19" customWidth="1"/>
    <col min="12034" max="12065" width="15.77734375" style="19" customWidth="1"/>
    <col min="12066" max="12067" width="10.5546875" style="19" customWidth="1"/>
    <col min="12068" max="12068" width="11" style="19" customWidth="1"/>
    <col min="12069" max="12069" width="13.109375" style="19" bestFit="1" customWidth="1"/>
    <col min="12070" max="12070" width="27.21875" style="19" customWidth="1"/>
    <col min="12071" max="12071" width="14.44140625" style="19" bestFit="1" customWidth="1"/>
    <col min="12072" max="12072" width="11.77734375" style="19" bestFit="1" customWidth="1"/>
    <col min="12073" max="12075" width="8.88671875" style="19"/>
    <col min="12076" max="12076" width="13.44140625" style="19" bestFit="1" customWidth="1"/>
    <col min="12077" max="12287" width="8.88671875" style="19"/>
    <col min="12288" max="12288" width="5.109375" style="19" customWidth="1"/>
    <col min="12289" max="12289" width="49.33203125" style="19" customWidth="1"/>
    <col min="12290" max="12321" width="15.77734375" style="19" customWidth="1"/>
    <col min="12322" max="12323" width="10.5546875" style="19" customWidth="1"/>
    <col min="12324" max="12324" width="11" style="19" customWidth="1"/>
    <col min="12325" max="12325" width="13.109375" style="19" bestFit="1" customWidth="1"/>
    <col min="12326" max="12326" width="27.21875" style="19" customWidth="1"/>
    <col min="12327" max="12327" width="14.44140625" style="19" bestFit="1" customWidth="1"/>
    <col min="12328" max="12328" width="11.77734375" style="19" bestFit="1" customWidth="1"/>
    <col min="12329" max="12331" width="8.88671875" style="19"/>
    <col min="12332" max="12332" width="13.44140625" style="19" bestFit="1" customWidth="1"/>
    <col min="12333" max="12543" width="8.88671875" style="19"/>
    <col min="12544" max="12544" width="5.109375" style="19" customWidth="1"/>
    <col min="12545" max="12545" width="49.33203125" style="19" customWidth="1"/>
    <col min="12546" max="12577" width="15.77734375" style="19" customWidth="1"/>
    <col min="12578" max="12579" width="10.5546875" style="19" customWidth="1"/>
    <col min="12580" max="12580" width="11" style="19" customWidth="1"/>
    <col min="12581" max="12581" width="13.109375" style="19" bestFit="1" customWidth="1"/>
    <col min="12582" max="12582" width="27.21875" style="19" customWidth="1"/>
    <col min="12583" max="12583" width="14.44140625" style="19" bestFit="1" customWidth="1"/>
    <col min="12584" max="12584" width="11.77734375" style="19" bestFit="1" customWidth="1"/>
    <col min="12585" max="12587" width="8.88671875" style="19"/>
    <col min="12588" max="12588" width="13.44140625" style="19" bestFit="1" customWidth="1"/>
    <col min="12589" max="12799" width="8.88671875" style="19"/>
    <col min="12800" max="12800" width="5.109375" style="19" customWidth="1"/>
    <col min="12801" max="12801" width="49.33203125" style="19" customWidth="1"/>
    <col min="12802" max="12833" width="15.77734375" style="19" customWidth="1"/>
    <col min="12834" max="12835" width="10.5546875" style="19" customWidth="1"/>
    <col min="12836" max="12836" width="11" style="19" customWidth="1"/>
    <col min="12837" max="12837" width="13.109375" style="19" bestFit="1" customWidth="1"/>
    <col min="12838" max="12838" width="27.21875" style="19" customWidth="1"/>
    <col min="12839" max="12839" width="14.44140625" style="19" bestFit="1" customWidth="1"/>
    <col min="12840" max="12840" width="11.77734375" style="19" bestFit="1" customWidth="1"/>
    <col min="12841" max="12843" width="8.88671875" style="19"/>
    <col min="12844" max="12844" width="13.44140625" style="19" bestFit="1" customWidth="1"/>
    <col min="12845" max="13055" width="8.88671875" style="19"/>
    <col min="13056" max="13056" width="5.109375" style="19" customWidth="1"/>
    <col min="13057" max="13057" width="49.33203125" style="19" customWidth="1"/>
    <col min="13058" max="13089" width="15.77734375" style="19" customWidth="1"/>
    <col min="13090" max="13091" width="10.5546875" style="19" customWidth="1"/>
    <col min="13092" max="13092" width="11" style="19" customWidth="1"/>
    <col min="13093" max="13093" width="13.109375" style="19" bestFit="1" customWidth="1"/>
    <col min="13094" max="13094" width="27.21875" style="19" customWidth="1"/>
    <col min="13095" max="13095" width="14.44140625" style="19" bestFit="1" customWidth="1"/>
    <col min="13096" max="13096" width="11.77734375" style="19" bestFit="1" customWidth="1"/>
    <col min="13097" max="13099" width="8.88671875" style="19"/>
    <col min="13100" max="13100" width="13.44140625" style="19" bestFit="1" customWidth="1"/>
    <col min="13101" max="13311" width="8.88671875" style="19"/>
    <col min="13312" max="13312" width="5.109375" style="19" customWidth="1"/>
    <col min="13313" max="13313" width="49.33203125" style="19" customWidth="1"/>
    <col min="13314" max="13345" width="15.77734375" style="19" customWidth="1"/>
    <col min="13346" max="13347" width="10.5546875" style="19" customWidth="1"/>
    <col min="13348" max="13348" width="11" style="19" customWidth="1"/>
    <col min="13349" max="13349" width="13.109375" style="19" bestFit="1" customWidth="1"/>
    <col min="13350" max="13350" width="27.21875" style="19" customWidth="1"/>
    <col min="13351" max="13351" width="14.44140625" style="19" bestFit="1" customWidth="1"/>
    <col min="13352" max="13352" width="11.77734375" style="19" bestFit="1" customWidth="1"/>
    <col min="13353" max="13355" width="8.88671875" style="19"/>
    <col min="13356" max="13356" width="13.44140625" style="19" bestFit="1" customWidth="1"/>
    <col min="13357" max="13567" width="8.88671875" style="19"/>
    <col min="13568" max="13568" width="5.109375" style="19" customWidth="1"/>
    <col min="13569" max="13569" width="49.33203125" style="19" customWidth="1"/>
    <col min="13570" max="13601" width="15.77734375" style="19" customWidth="1"/>
    <col min="13602" max="13603" width="10.5546875" style="19" customWidth="1"/>
    <col min="13604" max="13604" width="11" style="19" customWidth="1"/>
    <col min="13605" max="13605" width="13.109375" style="19" bestFit="1" customWidth="1"/>
    <col min="13606" max="13606" width="27.21875" style="19" customWidth="1"/>
    <col min="13607" max="13607" width="14.44140625" style="19" bestFit="1" customWidth="1"/>
    <col min="13608" max="13608" width="11.77734375" style="19" bestFit="1" customWidth="1"/>
    <col min="13609" max="13611" width="8.88671875" style="19"/>
    <col min="13612" max="13612" width="13.44140625" style="19" bestFit="1" customWidth="1"/>
    <col min="13613" max="13823" width="8.88671875" style="19"/>
    <col min="13824" max="13824" width="5.109375" style="19" customWidth="1"/>
    <col min="13825" max="13825" width="49.33203125" style="19" customWidth="1"/>
    <col min="13826" max="13857" width="15.77734375" style="19" customWidth="1"/>
    <col min="13858" max="13859" width="10.5546875" style="19" customWidth="1"/>
    <col min="13860" max="13860" width="11" style="19" customWidth="1"/>
    <col min="13861" max="13861" width="13.109375" style="19" bestFit="1" customWidth="1"/>
    <col min="13862" max="13862" width="27.21875" style="19" customWidth="1"/>
    <col min="13863" max="13863" width="14.44140625" style="19" bestFit="1" customWidth="1"/>
    <col min="13864" max="13864" width="11.77734375" style="19" bestFit="1" customWidth="1"/>
    <col min="13865" max="13867" width="8.88671875" style="19"/>
    <col min="13868" max="13868" width="13.44140625" style="19" bestFit="1" customWidth="1"/>
    <col min="13869" max="14079" width="8.88671875" style="19"/>
    <col min="14080" max="14080" width="5.109375" style="19" customWidth="1"/>
    <col min="14081" max="14081" width="49.33203125" style="19" customWidth="1"/>
    <col min="14082" max="14113" width="15.77734375" style="19" customWidth="1"/>
    <col min="14114" max="14115" width="10.5546875" style="19" customWidth="1"/>
    <col min="14116" max="14116" width="11" style="19" customWidth="1"/>
    <col min="14117" max="14117" width="13.109375" style="19" bestFit="1" customWidth="1"/>
    <col min="14118" max="14118" width="27.21875" style="19" customWidth="1"/>
    <col min="14119" max="14119" width="14.44140625" style="19" bestFit="1" customWidth="1"/>
    <col min="14120" max="14120" width="11.77734375" style="19" bestFit="1" customWidth="1"/>
    <col min="14121" max="14123" width="8.88671875" style="19"/>
    <col min="14124" max="14124" width="13.44140625" style="19" bestFit="1" customWidth="1"/>
    <col min="14125" max="14335" width="8.88671875" style="19"/>
    <col min="14336" max="14336" width="5.109375" style="19" customWidth="1"/>
    <col min="14337" max="14337" width="49.33203125" style="19" customWidth="1"/>
    <col min="14338" max="14369" width="15.77734375" style="19" customWidth="1"/>
    <col min="14370" max="14371" width="10.5546875" style="19" customWidth="1"/>
    <col min="14372" max="14372" width="11" style="19" customWidth="1"/>
    <col min="14373" max="14373" width="13.109375" style="19" bestFit="1" customWidth="1"/>
    <col min="14374" max="14374" width="27.21875" style="19" customWidth="1"/>
    <col min="14375" max="14375" width="14.44140625" style="19" bestFit="1" customWidth="1"/>
    <col min="14376" max="14376" width="11.77734375" style="19" bestFit="1" customWidth="1"/>
    <col min="14377" max="14379" width="8.88671875" style="19"/>
    <col min="14380" max="14380" width="13.44140625" style="19" bestFit="1" customWidth="1"/>
    <col min="14381" max="14591" width="8.88671875" style="19"/>
    <col min="14592" max="14592" width="5.109375" style="19" customWidth="1"/>
    <col min="14593" max="14593" width="49.33203125" style="19" customWidth="1"/>
    <col min="14594" max="14625" width="15.77734375" style="19" customWidth="1"/>
    <col min="14626" max="14627" width="10.5546875" style="19" customWidth="1"/>
    <col min="14628" max="14628" width="11" style="19" customWidth="1"/>
    <col min="14629" max="14629" width="13.109375" style="19" bestFit="1" customWidth="1"/>
    <col min="14630" max="14630" width="27.21875" style="19" customWidth="1"/>
    <col min="14631" max="14631" width="14.44140625" style="19" bestFit="1" customWidth="1"/>
    <col min="14632" max="14632" width="11.77734375" style="19" bestFit="1" customWidth="1"/>
    <col min="14633" max="14635" width="8.88671875" style="19"/>
    <col min="14636" max="14636" width="13.44140625" style="19" bestFit="1" customWidth="1"/>
    <col min="14637" max="14847" width="8.88671875" style="19"/>
    <col min="14848" max="14848" width="5.109375" style="19" customWidth="1"/>
    <col min="14849" max="14849" width="49.33203125" style="19" customWidth="1"/>
    <col min="14850" max="14881" width="15.77734375" style="19" customWidth="1"/>
    <col min="14882" max="14883" width="10.5546875" style="19" customWidth="1"/>
    <col min="14884" max="14884" width="11" style="19" customWidth="1"/>
    <col min="14885" max="14885" width="13.109375" style="19" bestFit="1" customWidth="1"/>
    <col min="14886" max="14886" width="27.21875" style="19" customWidth="1"/>
    <col min="14887" max="14887" width="14.44140625" style="19" bestFit="1" customWidth="1"/>
    <col min="14888" max="14888" width="11.77734375" style="19" bestFit="1" customWidth="1"/>
    <col min="14889" max="14891" width="8.88671875" style="19"/>
    <col min="14892" max="14892" width="13.44140625" style="19" bestFit="1" customWidth="1"/>
    <col min="14893" max="15103" width="8.88671875" style="19"/>
    <col min="15104" max="15104" width="5.109375" style="19" customWidth="1"/>
    <col min="15105" max="15105" width="49.33203125" style="19" customWidth="1"/>
    <col min="15106" max="15137" width="15.77734375" style="19" customWidth="1"/>
    <col min="15138" max="15139" width="10.5546875" style="19" customWidth="1"/>
    <col min="15140" max="15140" width="11" style="19" customWidth="1"/>
    <col min="15141" max="15141" width="13.109375" style="19" bestFit="1" customWidth="1"/>
    <col min="15142" max="15142" width="27.21875" style="19" customWidth="1"/>
    <col min="15143" max="15143" width="14.44140625" style="19" bestFit="1" customWidth="1"/>
    <col min="15144" max="15144" width="11.77734375" style="19" bestFit="1" customWidth="1"/>
    <col min="15145" max="15147" width="8.88671875" style="19"/>
    <col min="15148" max="15148" width="13.44140625" style="19" bestFit="1" customWidth="1"/>
    <col min="15149" max="15359" width="8.88671875" style="19"/>
    <col min="15360" max="15360" width="5.109375" style="19" customWidth="1"/>
    <col min="15361" max="15361" width="49.33203125" style="19" customWidth="1"/>
    <col min="15362" max="15393" width="15.77734375" style="19" customWidth="1"/>
    <col min="15394" max="15395" width="10.5546875" style="19" customWidth="1"/>
    <col min="15396" max="15396" width="11" style="19" customWidth="1"/>
    <col min="15397" max="15397" width="13.109375" style="19" bestFit="1" customWidth="1"/>
    <col min="15398" max="15398" width="27.21875" style="19" customWidth="1"/>
    <col min="15399" max="15399" width="14.44140625" style="19" bestFit="1" customWidth="1"/>
    <col min="15400" max="15400" width="11.77734375" style="19" bestFit="1" customWidth="1"/>
    <col min="15401" max="15403" width="8.88671875" style="19"/>
    <col min="15404" max="15404" width="13.44140625" style="19" bestFit="1" customWidth="1"/>
    <col min="15405" max="15615" width="8.88671875" style="19"/>
    <col min="15616" max="15616" width="5.109375" style="19" customWidth="1"/>
    <col min="15617" max="15617" width="49.33203125" style="19" customWidth="1"/>
    <col min="15618" max="15649" width="15.77734375" style="19" customWidth="1"/>
    <col min="15650" max="15651" width="10.5546875" style="19" customWidth="1"/>
    <col min="15652" max="15652" width="11" style="19" customWidth="1"/>
    <col min="15653" max="15653" width="13.109375" style="19" bestFit="1" customWidth="1"/>
    <col min="15654" max="15654" width="27.21875" style="19" customWidth="1"/>
    <col min="15655" max="15655" width="14.44140625" style="19" bestFit="1" customWidth="1"/>
    <col min="15656" max="15656" width="11.77734375" style="19" bestFit="1" customWidth="1"/>
    <col min="15657" max="15659" width="8.88671875" style="19"/>
    <col min="15660" max="15660" width="13.44140625" style="19" bestFit="1" customWidth="1"/>
    <col min="15661" max="15871" width="8.88671875" style="19"/>
    <col min="15872" max="15872" width="5.109375" style="19" customWidth="1"/>
    <col min="15873" max="15873" width="49.33203125" style="19" customWidth="1"/>
    <col min="15874" max="15905" width="15.77734375" style="19" customWidth="1"/>
    <col min="15906" max="15907" width="10.5546875" style="19" customWidth="1"/>
    <col min="15908" max="15908" width="11" style="19" customWidth="1"/>
    <col min="15909" max="15909" width="13.109375" style="19" bestFit="1" customWidth="1"/>
    <col min="15910" max="15910" width="27.21875" style="19" customWidth="1"/>
    <col min="15911" max="15911" width="14.44140625" style="19" bestFit="1" customWidth="1"/>
    <col min="15912" max="15912" width="11.77734375" style="19" bestFit="1" customWidth="1"/>
    <col min="15913" max="15915" width="8.88671875" style="19"/>
    <col min="15916" max="15916" width="13.44140625" style="19" bestFit="1" customWidth="1"/>
    <col min="15917" max="16127" width="8.88671875" style="19"/>
    <col min="16128" max="16128" width="5.109375" style="19" customWidth="1"/>
    <col min="16129" max="16129" width="49.33203125" style="19" customWidth="1"/>
    <col min="16130" max="16161" width="15.77734375" style="19" customWidth="1"/>
    <col min="16162" max="16163" width="10.5546875" style="19" customWidth="1"/>
    <col min="16164" max="16164" width="11" style="19" customWidth="1"/>
    <col min="16165" max="16165" width="13.109375" style="19" bestFit="1" customWidth="1"/>
    <col min="16166" max="16166" width="27.21875" style="19" customWidth="1"/>
    <col min="16167" max="16167" width="14.44140625" style="19" bestFit="1" customWidth="1"/>
    <col min="16168" max="16168" width="11.77734375" style="19" bestFit="1" customWidth="1"/>
    <col min="16169" max="16171" width="8.88671875" style="19"/>
    <col min="16172" max="16172" width="13.44140625" style="19" bestFit="1" customWidth="1"/>
    <col min="16173" max="16384" width="8.88671875" style="19"/>
  </cols>
  <sheetData>
    <row r="1" spans="1:40" ht="15.75" customHeight="1" x14ac:dyDescent="0.2">
      <c r="A1" s="115" t="s">
        <v>57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</row>
    <row r="2" spans="1:40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</row>
    <row r="3" spans="1:40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2" t="s">
        <v>18</v>
      </c>
      <c r="AH3" s="20"/>
      <c r="AI3" s="20"/>
      <c r="AJ3" s="21"/>
      <c r="AK3" s="22"/>
      <c r="AL3" s="23" t="s">
        <v>0</v>
      </c>
      <c r="AM3" s="24"/>
      <c r="AN3" s="24"/>
    </row>
    <row r="4" spans="1:40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122"/>
      <c r="AH4" s="27"/>
      <c r="AI4" s="27"/>
      <c r="AJ4" s="14"/>
      <c r="AK4" s="28"/>
      <c r="AL4" s="23" t="s">
        <v>19</v>
      </c>
      <c r="AM4" s="29"/>
      <c r="AN4" s="30"/>
    </row>
    <row r="5" spans="1:40" s="25" customFormat="1" ht="18" customHeight="1" x14ac:dyDescent="0.2">
      <c r="A5" s="31">
        <v>1</v>
      </c>
      <c r="B5" s="32" t="s">
        <v>2</v>
      </c>
      <c r="C5" s="32">
        <v>19900000</v>
      </c>
      <c r="D5" s="33"/>
      <c r="E5" s="32">
        <v>6672000</v>
      </c>
      <c r="F5" s="34">
        <v>4960000</v>
      </c>
      <c r="G5" s="34">
        <v>4308000</v>
      </c>
      <c r="H5" s="34">
        <v>16712000</v>
      </c>
      <c r="I5" s="32">
        <v>27216000</v>
      </c>
      <c r="J5" s="33"/>
      <c r="K5" s="32">
        <v>6104000</v>
      </c>
      <c r="L5" s="32">
        <v>6720000</v>
      </c>
      <c r="M5" s="32">
        <v>5368000</v>
      </c>
      <c r="N5" s="32">
        <v>5328000</v>
      </c>
      <c r="O5" s="32">
        <v>22112000</v>
      </c>
      <c r="P5" s="32">
        <v>25836000</v>
      </c>
      <c r="Q5" s="33"/>
      <c r="R5" s="32">
        <v>23164000</v>
      </c>
      <c r="S5" s="32">
        <v>6916000</v>
      </c>
      <c r="T5" s="32">
        <v>6200000</v>
      </c>
      <c r="U5" s="32">
        <v>6160000</v>
      </c>
      <c r="V5" s="32">
        <v>21584000</v>
      </c>
      <c r="W5" s="32">
        <v>31436000</v>
      </c>
      <c r="X5" s="33"/>
      <c r="Y5" s="32">
        <v>13992000</v>
      </c>
      <c r="Z5" s="32">
        <v>11500000</v>
      </c>
      <c r="AA5" s="32">
        <v>11832000</v>
      </c>
      <c r="AB5" s="32">
        <v>13868000</v>
      </c>
      <c r="AC5" s="32"/>
      <c r="AD5" s="32"/>
      <c r="AE5" s="33"/>
      <c r="AF5" s="32">
        <v>27864000</v>
      </c>
      <c r="AG5" s="35">
        <f t="shared" ref="AG5:AG22" si="0">SUM(C5:AF5)</f>
        <v>325752000</v>
      </c>
      <c r="AH5" s="107">
        <f>AG5/4000</f>
        <v>81438</v>
      </c>
      <c r="AI5" s="109">
        <v>284772000</v>
      </c>
      <c r="AJ5" s="111">
        <f>AG5+AI5</f>
        <v>610524000</v>
      </c>
      <c r="AK5" s="38"/>
      <c r="AL5" s="3" t="s">
        <v>2</v>
      </c>
      <c r="AM5" s="39">
        <f t="shared" ref="AM5:AM23" si="1">AG5</f>
        <v>325752000</v>
      </c>
      <c r="AN5" s="30"/>
    </row>
    <row r="6" spans="1:40" s="25" customFormat="1" ht="18" customHeight="1" x14ac:dyDescent="0.2">
      <c r="A6" s="40">
        <v>2</v>
      </c>
      <c r="B6" s="41" t="s">
        <v>3</v>
      </c>
      <c r="C6" s="41">
        <v>4572000</v>
      </c>
      <c r="D6" s="42"/>
      <c r="E6" s="41">
        <v>1221000</v>
      </c>
      <c r="F6" s="41">
        <v>795000</v>
      </c>
      <c r="G6" s="41">
        <v>795000</v>
      </c>
      <c r="H6" s="41">
        <v>3177000</v>
      </c>
      <c r="I6" s="41">
        <v>5313000</v>
      </c>
      <c r="J6" s="42"/>
      <c r="K6" s="41">
        <v>1389000</v>
      </c>
      <c r="L6" s="41">
        <v>1212000</v>
      </c>
      <c r="M6" s="41">
        <v>912000</v>
      </c>
      <c r="N6" s="41">
        <v>873000</v>
      </c>
      <c r="O6" s="41">
        <v>4287000</v>
      </c>
      <c r="P6" s="41">
        <v>5958000</v>
      </c>
      <c r="Q6" s="42"/>
      <c r="R6" s="41">
        <v>5046000</v>
      </c>
      <c r="S6" s="41">
        <v>1674000</v>
      </c>
      <c r="T6" s="41">
        <v>1800000</v>
      </c>
      <c r="U6" s="41">
        <v>1212000</v>
      </c>
      <c r="V6" s="41">
        <v>4728000</v>
      </c>
      <c r="W6" s="41">
        <v>8307000</v>
      </c>
      <c r="X6" s="42"/>
      <c r="Y6" s="41">
        <v>4617000</v>
      </c>
      <c r="Z6" s="41">
        <v>3699000</v>
      </c>
      <c r="AA6" s="41">
        <v>4152000</v>
      </c>
      <c r="AB6" s="41">
        <v>3585000</v>
      </c>
      <c r="AC6" s="41"/>
      <c r="AD6" s="41"/>
      <c r="AE6" s="42"/>
      <c r="AF6" s="41">
        <v>10575000</v>
      </c>
      <c r="AG6" s="84">
        <f t="shared" si="0"/>
        <v>79899000</v>
      </c>
      <c r="AH6" s="107">
        <f>AG6/3000</f>
        <v>26633</v>
      </c>
      <c r="AI6" s="109">
        <v>46983000</v>
      </c>
      <c r="AJ6" s="111">
        <f t="shared" ref="AJ6:AJ22" si="2">AG6+AI6</f>
        <v>126882000</v>
      </c>
      <c r="AK6" s="38"/>
      <c r="AL6" s="3" t="s">
        <v>3</v>
      </c>
      <c r="AM6" s="39">
        <f t="shared" si="1"/>
        <v>79899000</v>
      </c>
      <c r="AN6" s="30"/>
    </row>
    <row r="7" spans="1:40" s="25" customFormat="1" ht="18" customHeight="1" x14ac:dyDescent="0.2">
      <c r="A7" s="40">
        <v>3</v>
      </c>
      <c r="B7" s="41" t="s">
        <v>4</v>
      </c>
      <c r="C7" s="41"/>
      <c r="D7" s="42"/>
      <c r="E7" s="41"/>
      <c r="F7" s="41"/>
      <c r="G7" s="41"/>
      <c r="H7" s="41"/>
      <c r="I7" s="41"/>
      <c r="J7" s="42"/>
      <c r="K7" s="41"/>
      <c r="L7" s="41"/>
      <c r="M7" s="41"/>
      <c r="N7" s="41"/>
      <c r="O7" s="41"/>
      <c r="P7" s="41"/>
      <c r="Q7" s="42"/>
      <c r="R7" s="41"/>
      <c r="S7" s="41"/>
      <c r="T7" s="41"/>
      <c r="U7" s="41"/>
      <c r="V7" s="41"/>
      <c r="W7" s="41"/>
      <c r="X7" s="42"/>
      <c r="Y7" s="41"/>
      <c r="Z7" s="41"/>
      <c r="AA7" s="41"/>
      <c r="AB7" s="41"/>
      <c r="AC7" s="41"/>
      <c r="AD7" s="41"/>
      <c r="AE7" s="42"/>
      <c r="AF7" s="41"/>
      <c r="AG7" s="84">
        <f t="shared" si="0"/>
        <v>0</v>
      </c>
      <c r="AH7" s="107">
        <f>AG7/3000</f>
        <v>0</v>
      </c>
      <c r="AI7" s="109"/>
      <c r="AJ7" s="111">
        <f t="shared" si="2"/>
        <v>0</v>
      </c>
      <c r="AK7" s="38"/>
      <c r="AL7" s="3" t="s">
        <v>4</v>
      </c>
      <c r="AM7" s="39">
        <f t="shared" si="1"/>
        <v>0</v>
      </c>
      <c r="AN7" s="30"/>
    </row>
    <row r="8" spans="1:40" s="25" customFormat="1" ht="18" customHeight="1" x14ac:dyDescent="0.2">
      <c r="A8" s="40">
        <v>4</v>
      </c>
      <c r="B8" s="41" t="s">
        <v>5</v>
      </c>
      <c r="C8" s="41"/>
      <c r="D8" s="42"/>
      <c r="E8" s="41"/>
      <c r="F8" s="41"/>
      <c r="G8" s="41"/>
      <c r="H8" s="41"/>
      <c r="I8" s="41"/>
      <c r="J8" s="42"/>
      <c r="K8" s="41"/>
      <c r="L8" s="41"/>
      <c r="M8" s="41"/>
      <c r="N8" s="41"/>
      <c r="O8" s="41"/>
      <c r="P8" s="41"/>
      <c r="Q8" s="42"/>
      <c r="R8" s="41"/>
      <c r="S8" s="41"/>
      <c r="T8" s="41"/>
      <c r="U8" s="41"/>
      <c r="V8" s="41"/>
      <c r="W8" s="41"/>
      <c r="X8" s="42"/>
      <c r="Y8" s="41"/>
      <c r="Z8" s="41"/>
      <c r="AA8" s="41"/>
      <c r="AB8" s="41"/>
      <c r="AC8" s="41"/>
      <c r="AD8" s="41"/>
      <c r="AE8" s="42"/>
      <c r="AF8" s="41"/>
      <c r="AG8" s="84">
        <f t="shared" si="0"/>
        <v>0</v>
      </c>
      <c r="AH8" s="107">
        <f>AG8/2250</f>
        <v>0</v>
      </c>
      <c r="AI8" s="109"/>
      <c r="AJ8" s="111">
        <f t="shared" si="2"/>
        <v>0</v>
      </c>
      <c r="AK8" s="38"/>
      <c r="AL8" s="3" t="s">
        <v>5</v>
      </c>
      <c r="AM8" s="39">
        <f t="shared" si="1"/>
        <v>0</v>
      </c>
      <c r="AN8" s="30"/>
    </row>
    <row r="9" spans="1:40" s="25" customFormat="1" ht="18" customHeight="1" x14ac:dyDescent="0.2">
      <c r="A9" s="40">
        <v>5</v>
      </c>
      <c r="B9" s="43" t="s">
        <v>20</v>
      </c>
      <c r="C9" s="41">
        <v>797500</v>
      </c>
      <c r="D9" s="42"/>
      <c r="E9" s="41">
        <v>50000</v>
      </c>
      <c r="F9" s="41">
        <v>62500</v>
      </c>
      <c r="G9" s="41">
        <v>30000</v>
      </c>
      <c r="H9" s="41">
        <v>422500</v>
      </c>
      <c r="I9" s="41">
        <v>717500</v>
      </c>
      <c r="J9" s="42"/>
      <c r="K9" s="41">
        <v>55000</v>
      </c>
      <c r="L9" s="41">
        <v>187500</v>
      </c>
      <c r="M9" s="41">
        <v>77500</v>
      </c>
      <c r="N9" s="41">
        <v>67500</v>
      </c>
      <c r="O9" s="41">
        <v>405000</v>
      </c>
      <c r="P9" s="41">
        <v>850000</v>
      </c>
      <c r="Q9" s="42"/>
      <c r="R9" s="41">
        <v>602500</v>
      </c>
      <c r="S9" s="41">
        <v>45000</v>
      </c>
      <c r="T9" s="41">
        <v>37500</v>
      </c>
      <c r="U9" s="41">
        <v>42500</v>
      </c>
      <c r="V9" s="41">
        <v>377500</v>
      </c>
      <c r="W9" s="41">
        <v>1067500</v>
      </c>
      <c r="X9" s="42">
        <v>275000</v>
      </c>
      <c r="Y9" s="41">
        <v>52500</v>
      </c>
      <c r="Z9" s="41">
        <v>77500</v>
      </c>
      <c r="AA9" s="41">
        <v>167500</v>
      </c>
      <c r="AB9" s="41">
        <v>112500</v>
      </c>
      <c r="AC9" s="41">
        <v>1020000</v>
      </c>
      <c r="AD9" s="41">
        <v>1605000</v>
      </c>
      <c r="AE9" s="42"/>
      <c r="AF9" s="41">
        <v>460000</v>
      </c>
      <c r="AG9" s="84">
        <f t="shared" si="0"/>
        <v>9665000</v>
      </c>
      <c r="AH9" s="107">
        <f>AG9/2500</f>
        <v>3866</v>
      </c>
      <c r="AI9" s="109">
        <v>36635000</v>
      </c>
      <c r="AJ9" s="111">
        <f t="shared" si="2"/>
        <v>46300000</v>
      </c>
      <c r="AK9" s="38"/>
      <c r="AL9" s="3"/>
      <c r="AM9" s="39"/>
      <c r="AN9" s="30"/>
    </row>
    <row r="10" spans="1:40" s="25" customFormat="1" ht="18" customHeight="1" x14ac:dyDescent="0.2">
      <c r="A10" s="40">
        <v>6</v>
      </c>
      <c r="B10" s="44" t="s">
        <v>21</v>
      </c>
      <c r="C10" s="44"/>
      <c r="D10" s="42"/>
      <c r="E10" s="44">
        <v>1044000</v>
      </c>
      <c r="F10" s="44">
        <v>660000</v>
      </c>
      <c r="G10" s="44">
        <v>474000</v>
      </c>
      <c r="H10" s="44"/>
      <c r="I10" s="44"/>
      <c r="J10" s="42"/>
      <c r="K10" s="44">
        <v>888000</v>
      </c>
      <c r="L10" s="44">
        <v>1614000</v>
      </c>
      <c r="M10" s="44">
        <v>1380000</v>
      </c>
      <c r="N10" s="44">
        <v>840000</v>
      </c>
      <c r="O10" s="44"/>
      <c r="P10" s="44"/>
      <c r="Q10" s="42"/>
      <c r="R10" s="44"/>
      <c r="S10" s="44">
        <v>1104000</v>
      </c>
      <c r="T10" s="44">
        <v>1512000</v>
      </c>
      <c r="U10" s="44">
        <v>948000</v>
      </c>
      <c r="V10" s="44"/>
      <c r="W10" s="44"/>
      <c r="X10" s="42">
        <v>894000</v>
      </c>
      <c r="Y10" s="44">
        <v>1632000</v>
      </c>
      <c r="Z10" s="44">
        <v>2256000</v>
      </c>
      <c r="AA10" s="44">
        <v>2262000</v>
      </c>
      <c r="AB10" s="44">
        <v>2448000</v>
      </c>
      <c r="AC10" s="44"/>
      <c r="AD10" s="44"/>
      <c r="AE10" s="42"/>
      <c r="AF10" s="44">
        <v>5112000</v>
      </c>
      <c r="AG10" s="84">
        <f t="shared" si="0"/>
        <v>25068000</v>
      </c>
      <c r="AH10" s="107">
        <f>AG10/6000</f>
        <v>4178</v>
      </c>
      <c r="AI10" s="109">
        <v>54252000</v>
      </c>
      <c r="AJ10" s="111">
        <f t="shared" si="2"/>
        <v>79320000</v>
      </c>
      <c r="AK10" s="38"/>
      <c r="AL10" s="3" t="s">
        <v>10</v>
      </c>
      <c r="AM10" s="39">
        <f t="shared" si="1"/>
        <v>25068000</v>
      </c>
      <c r="AN10" s="30"/>
    </row>
    <row r="11" spans="1:40" s="50" customFormat="1" ht="18" customHeight="1" x14ac:dyDescent="0.2">
      <c r="A11" s="40">
        <v>7</v>
      </c>
      <c r="B11" s="44" t="s">
        <v>22</v>
      </c>
      <c r="C11" s="44"/>
      <c r="D11" s="42"/>
      <c r="E11" s="44">
        <v>246000</v>
      </c>
      <c r="F11" s="46">
        <v>492000</v>
      </c>
      <c r="G11" s="46">
        <v>264000</v>
      </c>
      <c r="H11" s="46"/>
      <c r="I11" s="44"/>
      <c r="J11" s="42"/>
      <c r="K11" s="44">
        <v>708000</v>
      </c>
      <c r="L11" s="44">
        <v>768000</v>
      </c>
      <c r="M11" s="44">
        <v>816000</v>
      </c>
      <c r="N11" s="44">
        <v>606000</v>
      </c>
      <c r="O11" s="44"/>
      <c r="P11" s="44"/>
      <c r="Q11" s="42"/>
      <c r="R11" s="44"/>
      <c r="S11" s="44">
        <v>732000</v>
      </c>
      <c r="T11" s="44">
        <v>1050000</v>
      </c>
      <c r="U11" s="44">
        <v>540000</v>
      </c>
      <c r="V11" s="44"/>
      <c r="W11" s="44"/>
      <c r="X11" s="42">
        <v>576000</v>
      </c>
      <c r="Y11" s="44">
        <v>870000</v>
      </c>
      <c r="Z11" s="44">
        <v>1374000</v>
      </c>
      <c r="AA11" s="44">
        <v>1200000</v>
      </c>
      <c r="AB11" s="44">
        <v>1746000</v>
      </c>
      <c r="AC11" s="44"/>
      <c r="AD11" s="44"/>
      <c r="AE11" s="42"/>
      <c r="AF11" s="44">
        <v>2694000</v>
      </c>
      <c r="AG11" s="84">
        <f t="shared" si="0"/>
        <v>14682000</v>
      </c>
      <c r="AH11" s="107">
        <f>AG11/6000</f>
        <v>2447</v>
      </c>
      <c r="AI11" s="109">
        <v>13356000</v>
      </c>
      <c r="AJ11" s="111">
        <f t="shared" si="2"/>
        <v>28038000</v>
      </c>
      <c r="AK11" s="47"/>
      <c r="AL11" s="48" t="s">
        <v>23</v>
      </c>
      <c r="AM11" s="39">
        <f t="shared" si="1"/>
        <v>14682000</v>
      </c>
      <c r="AN11" s="49"/>
    </row>
    <row r="12" spans="1:40" s="50" customFormat="1" ht="18" customHeight="1" x14ac:dyDescent="0.2">
      <c r="A12" s="40">
        <v>8</v>
      </c>
      <c r="B12" s="44" t="s">
        <v>24</v>
      </c>
      <c r="C12" s="44"/>
      <c r="D12" s="42"/>
      <c r="E12" s="51"/>
      <c r="F12" s="44"/>
      <c r="G12" s="44"/>
      <c r="H12" s="44"/>
      <c r="I12" s="44"/>
      <c r="J12" s="42"/>
      <c r="K12" s="44"/>
      <c r="L12" s="44"/>
      <c r="M12" s="44"/>
      <c r="N12" s="44"/>
      <c r="O12" s="44"/>
      <c r="P12" s="44"/>
      <c r="Q12" s="42"/>
      <c r="R12" s="44"/>
      <c r="S12" s="44"/>
      <c r="T12" s="44"/>
      <c r="U12" s="44"/>
      <c r="V12" s="44"/>
      <c r="W12" s="44"/>
      <c r="X12" s="42"/>
      <c r="Y12" s="44"/>
      <c r="Z12" s="44"/>
      <c r="AA12" s="44"/>
      <c r="AB12" s="44"/>
      <c r="AC12" s="44"/>
      <c r="AD12" s="44"/>
      <c r="AE12" s="42"/>
      <c r="AF12" s="44"/>
      <c r="AG12" s="84">
        <f t="shared" si="0"/>
        <v>0</v>
      </c>
      <c r="AH12" s="107">
        <f>AG12/4500</f>
        <v>0</v>
      </c>
      <c r="AI12" s="109"/>
      <c r="AJ12" s="111">
        <f t="shared" si="2"/>
        <v>0</v>
      </c>
      <c r="AK12" s="47"/>
      <c r="AL12" s="48" t="s">
        <v>25</v>
      </c>
      <c r="AM12" s="39">
        <f t="shared" si="1"/>
        <v>0</v>
      </c>
      <c r="AN12" s="49"/>
    </row>
    <row r="13" spans="1:40" s="50" customFormat="1" ht="18" customHeight="1" x14ac:dyDescent="0.2">
      <c r="A13" s="40">
        <v>9</v>
      </c>
      <c r="B13" s="44" t="s">
        <v>26</v>
      </c>
      <c r="C13" s="44"/>
      <c r="D13" s="42"/>
      <c r="E13" s="44"/>
      <c r="F13" s="44"/>
      <c r="G13" s="44"/>
      <c r="H13" s="44"/>
      <c r="I13" s="44"/>
      <c r="J13" s="42"/>
      <c r="K13" s="44"/>
      <c r="L13" s="44"/>
      <c r="M13" s="44"/>
      <c r="N13" s="44"/>
      <c r="O13" s="44"/>
      <c r="P13" s="44"/>
      <c r="Q13" s="42"/>
      <c r="R13" s="44"/>
      <c r="S13" s="44"/>
      <c r="T13" s="44"/>
      <c r="U13" s="44"/>
      <c r="V13" s="44"/>
      <c r="W13" s="44"/>
      <c r="X13" s="42"/>
      <c r="Y13" s="44"/>
      <c r="Z13" s="44"/>
      <c r="AA13" s="44"/>
      <c r="AB13" s="44"/>
      <c r="AC13" s="44"/>
      <c r="AD13" s="44"/>
      <c r="AE13" s="42"/>
      <c r="AF13" s="44"/>
      <c r="AG13" s="84">
        <f t="shared" si="0"/>
        <v>0</v>
      </c>
      <c r="AH13" s="107">
        <f>AG13/4500</f>
        <v>0</v>
      </c>
      <c r="AI13" s="109"/>
      <c r="AJ13" s="111">
        <f t="shared" si="2"/>
        <v>0</v>
      </c>
      <c r="AK13" s="47"/>
      <c r="AL13" s="48" t="s">
        <v>27</v>
      </c>
      <c r="AM13" s="39">
        <f t="shared" si="1"/>
        <v>0</v>
      </c>
      <c r="AN13" s="49"/>
    </row>
    <row r="14" spans="1:40" s="50" customFormat="1" ht="18" customHeight="1" x14ac:dyDescent="0.2">
      <c r="A14" s="40">
        <v>10</v>
      </c>
      <c r="B14" s="52" t="s">
        <v>28</v>
      </c>
      <c r="C14" s="52">
        <v>6277500</v>
      </c>
      <c r="D14" s="42"/>
      <c r="E14" s="52"/>
      <c r="F14" s="52"/>
      <c r="G14" s="52"/>
      <c r="H14" s="52">
        <v>4687500</v>
      </c>
      <c r="I14" s="52">
        <v>8115000</v>
      </c>
      <c r="J14" s="42"/>
      <c r="K14" s="52"/>
      <c r="L14" s="52"/>
      <c r="M14" s="52"/>
      <c r="N14" s="52"/>
      <c r="O14" s="52">
        <v>4702500</v>
      </c>
      <c r="P14" s="52">
        <v>6442500</v>
      </c>
      <c r="Q14" s="42"/>
      <c r="R14" s="52">
        <v>9817500</v>
      </c>
      <c r="S14" s="52"/>
      <c r="T14" s="52"/>
      <c r="U14" s="52"/>
      <c r="V14" s="52">
        <v>4957500</v>
      </c>
      <c r="W14" s="52">
        <v>9630000</v>
      </c>
      <c r="X14" s="42"/>
      <c r="Y14" s="52"/>
      <c r="Z14" s="52"/>
      <c r="AA14" s="52"/>
      <c r="AB14" s="52"/>
      <c r="AC14" s="52">
        <v>12697500</v>
      </c>
      <c r="AD14" s="52">
        <v>18202500</v>
      </c>
      <c r="AE14" s="42"/>
      <c r="AF14" s="52"/>
      <c r="AG14" s="84">
        <f t="shared" si="0"/>
        <v>85530000</v>
      </c>
      <c r="AH14" s="107">
        <f>AG14/7500</f>
        <v>11404</v>
      </c>
      <c r="AI14" s="109">
        <v>111577500</v>
      </c>
      <c r="AJ14" s="111">
        <f t="shared" si="2"/>
        <v>197107500</v>
      </c>
      <c r="AK14" s="47"/>
      <c r="AL14" s="48" t="s">
        <v>29</v>
      </c>
      <c r="AM14" s="39">
        <f t="shared" si="1"/>
        <v>85530000</v>
      </c>
      <c r="AN14" s="49"/>
    </row>
    <row r="15" spans="1:40" s="11" customFormat="1" ht="18" customHeight="1" x14ac:dyDescent="0.2">
      <c r="A15" s="40">
        <v>11</v>
      </c>
      <c r="B15" s="52" t="s">
        <v>30</v>
      </c>
      <c r="C15" s="52">
        <v>4635000</v>
      </c>
      <c r="D15" s="42"/>
      <c r="E15" s="52"/>
      <c r="F15" s="52"/>
      <c r="G15" s="52"/>
      <c r="H15" s="52">
        <v>3360000</v>
      </c>
      <c r="I15" s="52">
        <v>5730000</v>
      </c>
      <c r="J15" s="42"/>
      <c r="K15" s="52"/>
      <c r="L15" s="52"/>
      <c r="M15" s="52"/>
      <c r="N15" s="52"/>
      <c r="O15" s="52">
        <v>3157500</v>
      </c>
      <c r="P15" s="52">
        <v>4327500</v>
      </c>
      <c r="Q15" s="42"/>
      <c r="R15" s="52">
        <v>6525000</v>
      </c>
      <c r="S15" s="52"/>
      <c r="T15" s="52"/>
      <c r="U15" s="52"/>
      <c r="V15" s="52">
        <v>3742500</v>
      </c>
      <c r="W15" s="52">
        <v>6405000</v>
      </c>
      <c r="X15" s="42"/>
      <c r="Y15" s="52"/>
      <c r="Z15" s="52"/>
      <c r="AA15" s="52"/>
      <c r="AB15" s="52"/>
      <c r="AC15" s="52">
        <v>9382500</v>
      </c>
      <c r="AD15" s="52">
        <v>14332500</v>
      </c>
      <c r="AE15" s="42"/>
      <c r="AF15" s="52"/>
      <c r="AG15" s="84">
        <f t="shared" si="0"/>
        <v>61597500</v>
      </c>
      <c r="AH15" s="107">
        <f>AG15/7500</f>
        <v>8213</v>
      </c>
      <c r="AI15" s="109">
        <v>25185000</v>
      </c>
      <c r="AJ15" s="111">
        <f t="shared" si="2"/>
        <v>86782500</v>
      </c>
      <c r="AK15" s="38"/>
      <c r="AL15" s="54" t="s">
        <v>21</v>
      </c>
      <c r="AM15" s="39">
        <f t="shared" si="1"/>
        <v>61597500</v>
      </c>
      <c r="AN15" s="29"/>
    </row>
    <row r="16" spans="1:40" s="11" customFormat="1" ht="18" customHeight="1" x14ac:dyDescent="0.2">
      <c r="A16" s="40">
        <v>12</v>
      </c>
      <c r="B16" s="55" t="s">
        <v>31</v>
      </c>
      <c r="C16" s="52"/>
      <c r="D16" s="42"/>
      <c r="E16" s="52"/>
      <c r="F16" s="52"/>
      <c r="G16" s="52"/>
      <c r="H16" s="52"/>
      <c r="I16" s="52"/>
      <c r="J16" s="42"/>
      <c r="K16" s="52"/>
      <c r="L16" s="52"/>
      <c r="M16" s="52"/>
      <c r="N16" s="52"/>
      <c r="O16" s="52"/>
      <c r="P16" s="52"/>
      <c r="Q16" s="42"/>
      <c r="R16" s="52"/>
      <c r="S16" s="52"/>
      <c r="T16" s="52"/>
      <c r="U16" s="52"/>
      <c r="V16" s="52"/>
      <c r="W16" s="52"/>
      <c r="X16" s="42"/>
      <c r="Y16" s="52"/>
      <c r="Z16" s="52"/>
      <c r="AA16" s="52"/>
      <c r="AB16" s="52"/>
      <c r="AC16" s="52"/>
      <c r="AD16" s="52"/>
      <c r="AE16" s="42"/>
      <c r="AF16" s="52"/>
      <c r="AG16" s="84">
        <f t="shared" si="0"/>
        <v>0</v>
      </c>
      <c r="AH16" s="107">
        <f>AG16/5625</f>
        <v>0</v>
      </c>
      <c r="AI16" s="109"/>
      <c r="AJ16" s="111">
        <f t="shared" si="2"/>
        <v>0</v>
      </c>
      <c r="AK16" s="38"/>
      <c r="AL16" s="54" t="s">
        <v>22</v>
      </c>
      <c r="AM16" s="39">
        <f t="shared" si="1"/>
        <v>0</v>
      </c>
      <c r="AN16" s="29"/>
    </row>
    <row r="17" spans="1:40" s="11" customFormat="1" ht="18" customHeight="1" x14ac:dyDescent="0.2">
      <c r="A17" s="40">
        <v>13</v>
      </c>
      <c r="B17" s="52" t="s">
        <v>32</v>
      </c>
      <c r="C17" s="52"/>
      <c r="D17" s="42"/>
      <c r="E17" s="52"/>
      <c r="F17" s="52"/>
      <c r="G17" s="52"/>
      <c r="H17" s="52"/>
      <c r="I17" s="52"/>
      <c r="J17" s="42"/>
      <c r="K17" s="52"/>
      <c r="L17" s="52"/>
      <c r="M17" s="52"/>
      <c r="N17" s="52"/>
      <c r="O17" s="52"/>
      <c r="P17" s="52"/>
      <c r="Q17" s="42"/>
      <c r="R17" s="52"/>
      <c r="S17" s="52"/>
      <c r="T17" s="52"/>
      <c r="U17" s="52"/>
      <c r="V17" s="52"/>
      <c r="W17" s="52"/>
      <c r="X17" s="42"/>
      <c r="Y17" s="52"/>
      <c r="Z17" s="52"/>
      <c r="AA17" s="52"/>
      <c r="AB17" s="52"/>
      <c r="AC17" s="52"/>
      <c r="AD17" s="52"/>
      <c r="AE17" s="42"/>
      <c r="AF17" s="52"/>
      <c r="AG17" s="84">
        <f t="shared" si="0"/>
        <v>0</v>
      </c>
      <c r="AH17" s="107">
        <f>AG17/5625</f>
        <v>0</v>
      </c>
      <c r="AI17" s="109"/>
      <c r="AJ17" s="111">
        <f t="shared" si="2"/>
        <v>0</v>
      </c>
      <c r="AK17" s="38"/>
      <c r="AL17" s="54" t="s">
        <v>24</v>
      </c>
      <c r="AM17" s="39">
        <f t="shared" si="1"/>
        <v>0</v>
      </c>
      <c r="AN17" s="29"/>
    </row>
    <row r="18" spans="1:40" s="11" customFormat="1" ht="18" customHeight="1" x14ac:dyDescent="0.2">
      <c r="A18" s="40">
        <v>14</v>
      </c>
      <c r="B18" s="41" t="s">
        <v>6</v>
      </c>
      <c r="C18" s="41"/>
      <c r="D18" s="42"/>
      <c r="E18" s="41"/>
      <c r="F18" s="41"/>
      <c r="G18" s="41"/>
      <c r="H18" s="41"/>
      <c r="I18" s="41"/>
      <c r="J18" s="42"/>
      <c r="K18" s="41"/>
      <c r="L18" s="41"/>
      <c r="M18" s="41"/>
      <c r="N18" s="41"/>
      <c r="O18" s="41"/>
      <c r="P18" s="41"/>
      <c r="Q18" s="42"/>
      <c r="R18" s="41"/>
      <c r="S18" s="41"/>
      <c r="T18" s="41"/>
      <c r="U18" s="41"/>
      <c r="V18" s="41"/>
      <c r="W18" s="41"/>
      <c r="X18" s="42"/>
      <c r="Y18" s="41"/>
      <c r="Z18" s="41"/>
      <c r="AA18" s="41"/>
      <c r="AB18" s="41"/>
      <c r="AC18" s="41"/>
      <c r="AD18" s="41"/>
      <c r="AE18" s="42"/>
      <c r="AF18" s="41"/>
      <c r="AG18" s="84">
        <f t="shared" si="0"/>
        <v>0</v>
      </c>
      <c r="AH18" s="107">
        <f>AG18/15000</f>
        <v>0</v>
      </c>
      <c r="AI18" s="110">
        <v>1815000</v>
      </c>
      <c r="AJ18" s="111">
        <f t="shared" si="2"/>
        <v>1815000</v>
      </c>
      <c r="AK18" s="38"/>
      <c r="AL18" s="54" t="s">
        <v>26</v>
      </c>
      <c r="AM18" s="39">
        <f t="shared" si="1"/>
        <v>0</v>
      </c>
      <c r="AN18" s="29"/>
    </row>
    <row r="19" spans="1:40" s="11" customFormat="1" ht="18" customHeight="1" x14ac:dyDescent="0.2">
      <c r="A19" s="40">
        <v>15</v>
      </c>
      <c r="B19" s="41" t="s">
        <v>7</v>
      </c>
      <c r="C19" s="41"/>
      <c r="D19" s="42"/>
      <c r="E19" s="41"/>
      <c r="F19" s="41"/>
      <c r="G19" s="41"/>
      <c r="H19" s="41"/>
      <c r="I19" s="41"/>
      <c r="J19" s="42"/>
      <c r="K19" s="41"/>
      <c r="L19" s="41"/>
      <c r="M19" s="41"/>
      <c r="N19" s="41"/>
      <c r="O19" s="41"/>
      <c r="P19" s="41"/>
      <c r="Q19" s="42"/>
      <c r="R19" s="41"/>
      <c r="S19" s="41"/>
      <c r="T19" s="41"/>
      <c r="U19" s="41"/>
      <c r="V19" s="41"/>
      <c r="W19" s="41"/>
      <c r="X19" s="42"/>
      <c r="Y19" s="41"/>
      <c r="Z19" s="41"/>
      <c r="AA19" s="41"/>
      <c r="AB19" s="41"/>
      <c r="AC19" s="41"/>
      <c r="AD19" s="41"/>
      <c r="AE19" s="42"/>
      <c r="AF19" s="41"/>
      <c r="AG19" s="84">
        <f t="shared" si="0"/>
        <v>0</v>
      </c>
      <c r="AH19" s="107">
        <f>AG19/12500</f>
        <v>0</v>
      </c>
      <c r="AI19" s="110">
        <v>1087500</v>
      </c>
      <c r="AJ19" s="111">
        <f t="shared" si="2"/>
        <v>1087500</v>
      </c>
      <c r="AK19" s="38"/>
      <c r="AL19" s="58" t="s">
        <v>28</v>
      </c>
      <c r="AM19" s="39">
        <f t="shared" si="1"/>
        <v>0</v>
      </c>
      <c r="AN19" s="29"/>
    </row>
    <row r="20" spans="1:40" s="11" customFormat="1" ht="18" customHeight="1" x14ac:dyDescent="0.2">
      <c r="A20" s="40">
        <v>16</v>
      </c>
      <c r="B20" s="41" t="s">
        <v>8</v>
      </c>
      <c r="C20" s="41"/>
      <c r="D20" s="42"/>
      <c r="E20" s="41"/>
      <c r="F20" s="41"/>
      <c r="G20" s="41"/>
      <c r="H20" s="41"/>
      <c r="I20" s="41"/>
      <c r="J20" s="42"/>
      <c r="K20" s="41"/>
      <c r="L20" s="41"/>
      <c r="M20" s="41"/>
      <c r="N20" s="41"/>
      <c r="O20" s="41"/>
      <c r="P20" s="41"/>
      <c r="Q20" s="42"/>
      <c r="R20" s="41"/>
      <c r="S20" s="41"/>
      <c r="T20" s="41"/>
      <c r="U20" s="41"/>
      <c r="V20" s="41"/>
      <c r="W20" s="41"/>
      <c r="X20" s="42"/>
      <c r="Y20" s="41"/>
      <c r="Z20" s="41"/>
      <c r="AA20" s="41"/>
      <c r="AB20" s="41"/>
      <c r="AC20" s="41"/>
      <c r="AD20" s="41"/>
      <c r="AE20" s="42"/>
      <c r="AF20" s="41"/>
      <c r="AG20" s="84">
        <f t="shared" si="0"/>
        <v>0</v>
      </c>
      <c r="AH20" s="107">
        <f>AG20/6000</f>
        <v>0</v>
      </c>
      <c r="AI20" s="110">
        <v>25770000</v>
      </c>
      <c r="AJ20" s="111">
        <f t="shared" si="2"/>
        <v>25770000</v>
      </c>
      <c r="AK20" s="38"/>
      <c r="AL20" s="58" t="s">
        <v>30</v>
      </c>
      <c r="AM20" s="39">
        <f t="shared" si="1"/>
        <v>0</v>
      </c>
      <c r="AN20" s="29"/>
    </row>
    <row r="21" spans="1:40" s="11" customFormat="1" ht="18" customHeight="1" x14ac:dyDescent="0.2">
      <c r="A21" s="40">
        <v>17</v>
      </c>
      <c r="B21" s="41" t="s">
        <v>9</v>
      </c>
      <c r="C21" s="41"/>
      <c r="D21" s="42"/>
      <c r="E21" s="41"/>
      <c r="F21" s="41"/>
      <c r="G21" s="41"/>
      <c r="H21" s="41"/>
      <c r="I21" s="41"/>
      <c r="J21" s="42"/>
      <c r="K21" s="41"/>
      <c r="L21" s="41"/>
      <c r="M21" s="41"/>
      <c r="N21" s="41"/>
      <c r="O21" s="41"/>
      <c r="P21" s="41"/>
      <c r="Q21" s="42"/>
      <c r="R21" s="41"/>
      <c r="S21" s="41"/>
      <c r="T21" s="41"/>
      <c r="U21" s="41"/>
      <c r="V21" s="41"/>
      <c r="W21" s="41"/>
      <c r="X21" s="42"/>
      <c r="Y21" s="41"/>
      <c r="Z21" s="41"/>
      <c r="AA21" s="41"/>
      <c r="AB21" s="41"/>
      <c r="AC21" s="41"/>
      <c r="AD21" s="41"/>
      <c r="AE21" s="42"/>
      <c r="AF21" s="41"/>
      <c r="AG21" s="84">
        <f t="shared" si="0"/>
        <v>0</v>
      </c>
      <c r="AH21" s="107">
        <f>AG21/3000</f>
        <v>0</v>
      </c>
      <c r="AI21" s="110">
        <v>28068000</v>
      </c>
      <c r="AJ21" s="111">
        <f t="shared" si="2"/>
        <v>28068000</v>
      </c>
      <c r="AK21" s="38"/>
      <c r="AL21" s="58" t="s">
        <v>31</v>
      </c>
      <c r="AM21" s="39">
        <f t="shared" si="1"/>
        <v>0</v>
      </c>
      <c r="AN21" s="29"/>
    </row>
    <row r="22" spans="1:40" s="11" customFormat="1" ht="18" customHeight="1" thickBot="1" x14ac:dyDescent="0.25">
      <c r="A22" s="40">
        <v>18</v>
      </c>
      <c r="B22" s="59" t="s">
        <v>10</v>
      </c>
      <c r="C22" s="59"/>
      <c r="D22" s="60"/>
      <c r="E22" s="59"/>
      <c r="F22" s="61"/>
      <c r="G22" s="61"/>
      <c r="H22" s="61"/>
      <c r="I22" s="59"/>
      <c r="J22" s="60"/>
      <c r="K22" s="59"/>
      <c r="L22" s="59"/>
      <c r="M22" s="59"/>
      <c r="N22" s="59"/>
      <c r="O22" s="59"/>
      <c r="P22" s="59"/>
      <c r="Q22" s="60"/>
      <c r="R22" s="59"/>
      <c r="S22" s="59"/>
      <c r="T22" s="59"/>
      <c r="U22" s="59"/>
      <c r="V22" s="59"/>
      <c r="W22" s="59"/>
      <c r="X22" s="60"/>
      <c r="Y22" s="59"/>
      <c r="Z22" s="59"/>
      <c r="AA22" s="59"/>
      <c r="AB22" s="59"/>
      <c r="AC22" s="59"/>
      <c r="AD22" s="59"/>
      <c r="AE22" s="60"/>
      <c r="AF22" s="59"/>
      <c r="AG22" s="83">
        <f t="shared" si="0"/>
        <v>0</v>
      </c>
      <c r="AH22" s="107">
        <f>AG22/1000</f>
        <v>0</v>
      </c>
      <c r="AI22" s="110">
        <v>1713000</v>
      </c>
      <c r="AJ22" s="111">
        <f t="shared" si="2"/>
        <v>1713000</v>
      </c>
      <c r="AK22" s="38"/>
      <c r="AL22" s="58" t="s">
        <v>32</v>
      </c>
      <c r="AM22" s="39">
        <f t="shared" si="1"/>
        <v>0</v>
      </c>
      <c r="AN22" s="29"/>
    </row>
    <row r="23" spans="1:40" s="67" customFormat="1" ht="18" customHeight="1" x14ac:dyDescent="0.25">
      <c r="A23" s="63"/>
      <c r="B23" s="64" t="s">
        <v>11</v>
      </c>
      <c r="C23" s="65">
        <f t="shared" ref="C23:AI23" si="3">SUM(C5:C22)</f>
        <v>36182000</v>
      </c>
      <c r="D23" s="65">
        <f t="shared" si="3"/>
        <v>0</v>
      </c>
      <c r="E23" s="65">
        <f t="shared" si="3"/>
        <v>9233000</v>
      </c>
      <c r="F23" s="65">
        <f t="shared" si="3"/>
        <v>6969500</v>
      </c>
      <c r="G23" s="65">
        <f t="shared" si="3"/>
        <v>5871000</v>
      </c>
      <c r="H23" s="65">
        <f t="shared" si="3"/>
        <v>28359000</v>
      </c>
      <c r="I23" s="65">
        <f t="shared" si="3"/>
        <v>47091500</v>
      </c>
      <c r="J23" s="65">
        <f t="shared" si="3"/>
        <v>0</v>
      </c>
      <c r="K23" s="65">
        <f t="shared" si="3"/>
        <v>9144000</v>
      </c>
      <c r="L23" s="65">
        <f t="shared" si="3"/>
        <v>10501500</v>
      </c>
      <c r="M23" s="65">
        <f t="shared" si="3"/>
        <v>8553500</v>
      </c>
      <c r="N23" s="65">
        <f t="shared" si="3"/>
        <v>7714500</v>
      </c>
      <c r="O23" s="65">
        <f t="shared" si="3"/>
        <v>34664000</v>
      </c>
      <c r="P23" s="65">
        <f t="shared" si="3"/>
        <v>43414000</v>
      </c>
      <c r="Q23" s="65">
        <f t="shared" si="3"/>
        <v>0</v>
      </c>
      <c r="R23" s="65">
        <f t="shared" si="3"/>
        <v>45155000</v>
      </c>
      <c r="S23" s="65">
        <f t="shared" si="3"/>
        <v>10471000</v>
      </c>
      <c r="T23" s="65">
        <f t="shared" si="3"/>
        <v>10599500</v>
      </c>
      <c r="U23" s="65">
        <f t="shared" si="3"/>
        <v>8902500</v>
      </c>
      <c r="V23" s="65">
        <f t="shared" si="3"/>
        <v>35389500</v>
      </c>
      <c r="W23" s="65">
        <f t="shared" si="3"/>
        <v>56845500</v>
      </c>
      <c r="X23" s="65">
        <f t="shared" si="3"/>
        <v>1745000</v>
      </c>
      <c r="Y23" s="65">
        <f t="shared" si="3"/>
        <v>21163500</v>
      </c>
      <c r="Z23" s="65">
        <f t="shared" si="3"/>
        <v>18906500</v>
      </c>
      <c r="AA23" s="65">
        <f t="shared" si="3"/>
        <v>19613500</v>
      </c>
      <c r="AB23" s="65">
        <f t="shared" si="3"/>
        <v>21759500</v>
      </c>
      <c r="AC23" s="65">
        <f t="shared" si="3"/>
        <v>23100000</v>
      </c>
      <c r="AD23" s="65">
        <f t="shared" si="3"/>
        <v>34140000</v>
      </c>
      <c r="AE23" s="65">
        <f t="shared" si="3"/>
        <v>0</v>
      </c>
      <c r="AF23" s="65">
        <f t="shared" si="3"/>
        <v>46705000</v>
      </c>
      <c r="AG23" s="65">
        <f t="shared" si="3"/>
        <v>602193500</v>
      </c>
      <c r="AH23" s="65">
        <f t="shared" si="3"/>
        <v>138179</v>
      </c>
      <c r="AI23" s="65">
        <f t="shared" si="3"/>
        <v>631214000</v>
      </c>
      <c r="AJ23" s="108"/>
      <c r="AK23" s="38"/>
      <c r="AL23" s="66" t="s">
        <v>11</v>
      </c>
      <c r="AM23" s="39">
        <f t="shared" si="1"/>
        <v>602193500</v>
      </c>
    </row>
    <row r="24" spans="1:40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6"/>
      <c r="AH24" s="6"/>
      <c r="AI24" s="6"/>
      <c r="AJ24" s="7"/>
      <c r="AK24" s="28"/>
      <c r="AL24" s="69"/>
      <c r="AM24" s="29"/>
      <c r="AN24" s="39"/>
    </row>
    <row r="25" spans="1:40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6"/>
      <c r="AH25" s="6"/>
      <c r="AI25" s="6"/>
      <c r="AJ25" s="7"/>
      <c r="AK25" s="28"/>
      <c r="AL25" s="69"/>
      <c r="AM25" s="29"/>
      <c r="AN25" s="39"/>
    </row>
    <row r="26" spans="1:40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6"/>
      <c r="AH26" s="6"/>
      <c r="AI26" s="6"/>
      <c r="AJ26" s="37"/>
      <c r="AK26" s="28"/>
      <c r="AL26" s="69"/>
      <c r="AM26" s="29"/>
      <c r="AN26" s="30"/>
    </row>
    <row r="27" spans="1:40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6"/>
      <c r="AH27" s="6"/>
      <c r="AI27" s="6"/>
      <c r="AJ27" s="14"/>
      <c r="AK27" s="28"/>
      <c r="AL27" s="70" t="s">
        <v>13</v>
      </c>
      <c r="AM27" s="29"/>
      <c r="AN27" s="30"/>
    </row>
    <row r="28" spans="1:40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7" t="s">
        <v>1</v>
      </c>
      <c r="AH28" s="20"/>
      <c r="AI28" s="20"/>
      <c r="AJ28" s="21"/>
      <c r="AK28" s="28"/>
      <c r="AL28" s="71" t="s">
        <v>14</v>
      </c>
      <c r="AM28" s="72"/>
      <c r="AN28" s="30"/>
    </row>
    <row r="29" spans="1:40" s="25" customFormat="1" ht="18" customHeight="1" x14ac:dyDescent="0.2">
      <c r="B29" s="92" t="s">
        <v>2</v>
      </c>
      <c r="C29" s="92">
        <f t="shared" ref="C29:AF29" si="4">C5/4000</f>
        <v>4975</v>
      </c>
      <c r="D29" s="92">
        <f t="shared" si="4"/>
        <v>0</v>
      </c>
      <c r="E29" s="92">
        <f t="shared" si="4"/>
        <v>1668</v>
      </c>
      <c r="F29" s="92">
        <f t="shared" si="4"/>
        <v>1240</v>
      </c>
      <c r="G29" s="92">
        <f t="shared" si="4"/>
        <v>1077</v>
      </c>
      <c r="H29" s="92">
        <f t="shared" si="4"/>
        <v>4178</v>
      </c>
      <c r="I29" s="92">
        <f t="shared" si="4"/>
        <v>6804</v>
      </c>
      <c r="J29" s="92">
        <f t="shared" si="4"/>
        <v>0</v>
      </c>
      <c r="K29" s="92">
        <f t="shared" si="4"/>
        <v>1526</v>
      </c>
      <c r="L29" s="92">
        <f t="shared" si="4"/>
        <v>1680</v>
      </c>
      <c r="M29" s="92">
        <f t="shared" si="4"/>
        <v>1342</v>
      </c>
      <c r="N29" s="92">
        <f t="shared" si="4"/>
        <v>1332</v>
      </c>
      <c r="O29" s="92">
        <f t="shared" si="4"/>
        <v>5528</v>
      </c>
      <c r="P29" s="92">
        <f t="shared" si="4"/>
        <v>6459</v>
      </c>
      <c r="Q29" s="92">
        <f t="shared" si="4"/>
        <v>0</v>
      </c>
      <c r="R29" s="92">
        <f t="shared" si="4"/>
        <v>5791</v>
      </c>
      <c r="S29" s="92">
        <f t="shared" si="4"/>
        <v>1729</v>
      </c>
      <c r="T29" s="92">
        <f t="shared" si="4"/>
        <v>1550</v>
      </c>
      <c r="U29" s="92">
        <f t="shared" si="4"/>
        <v>1540</v>
      </c>
      <c r="V29" s="92">
        <f t="shared" si="4"/>
        <v>5396</v>
      </c>
      <c r="W29" s="92">
        <f t="shared" si="4"/>
        <v>7859</v>
      </c>
      <c r="X29" s="92">
        <f t="shared" si="4"/>
        <v>0</v>
      </c>
      <c r="Y29" s="92">
        <f t="shared" si="4"/>
        <v>3498</v>
      </c>
      <c r="Z29" s="92">
        <f t="shared" si="4"/>
        <v>2875</v>
      </c>
      <c r="AA29" s="92">
        <f t="shared" si="4"/>
        <v>2958</v>
      </c>
      <c r="AB29" s="92">
        <f t="shared" si="4"/>
        <v>3467</v>
      </c>
      <c r="AC29" s="92">
        <f t="shared" si="4"/>
        <v>0</v>
      </c>
      <c r="AD29" s="92">
        <f t="shared" si="4"/>
        <v>0</v>
      </c>
      <c r="AE29" s="92">
        <f t="shared" si="4"/>
        <v>0</v>
      </c>
      <c r="AF29" s="92">
        <f t="shared" si="4"/>
        <v>6966</v>
      </c>
      <c r="AG29" s="93">
        <f t="shared" ref="AG29:AG46" si="5">SUM(C29:AF29)</f>
        <v>81438</v>
      </c>
      <c r="AH29" s="27"/>
      <c r="AI29" s="27"/>
      <c r="AJ29" s="73"/>
      <c r="AK29" s="28"/>
      <c r="AL29" s="74" t="s">
        <v>2</v>
      </c>
      <c r="AM29" s="75">
        <f>AG29</f>
        <v>81438</v>
      </c>
      <c r="AN29" s="30"/>
    </row>
    <row r="30" spans="1:40" s="25" customFormat="1" ht="18" customHeight="1" x14ac:dyDescent="0.2">
      <c r="B30" s="92" t="s">
        <v>3</v>
      </c>
      <c r="C30" s="92">
        <f t="shared" ref="C30:AF31" si="6">C6/3000</f>
        <v>1524</v>
      </c>
      <c r="D30" s="92">
        <f t="shared" si="6"/>
        <v>0</v>
      </c>
      <c r="E30" s="92">
        <f t="shared" si="6"/>
        <v>407</v>
      </c>
      <c r="F30" s="92">
        <f t="shared" si="6"/>
        <v>265</v>
      </c>
      <c r="G30" s="92">
        <f t="shared" si="6"/>
        <v>265</v>
      </c>
      <c r="H30" s="92">
        <f t="shared" si="6"/>
        <v>1059</v>
      </c>
      <c r="I30" s="92">
        <f t="shared" si="6"/>
        <v>1771</v>
      </c>
      <c r="J30" s="92">
        <f t="shared" si="6"/>
        <v>0</v>
      </c>
      <c r="K30" s="92">
        <f t="shared" si="6"/>
        <v>463</v>
      </c>
      <c r="L30" s="92">
        <f t="shared" si="6"/>
        <v>404</v>
      </c>
      <c r="M30" s="92">
        <f t="shared" si="6"/>
        <v>304</v>
      </c>
      <c r="N30" s="92">
        <f t="shared" si="6"/>
        <v>291</v>
      </c>
      <c r="O30" s="92">
        <f t="shared" si="6"/>
        <v>1429</v>
      </c>
      <c r="P30" s="92">
        <f t="shared" si="6"/>
        <v>1986</v>
      </c>
      <c r="Q30" s="92">
        <f t="shared" si="6"/>
        <v>0</v>
      </c>
      <c r="R30" s="92">
        <f t="shared" si="6"/>
        <v>1682</v>
      </c>
      <c r="S30" s="92">
        <f t="shared" si="6"/>
        <v>558</v>
      </c>
      <c r="T30" s="92">
        <f t="shared" si="6"/>
        <v>600</v>
      </c>
      <c r="U30" s="92">
        <f t="shared" si="6"/>
        <v>404</v>
      </c>
      <c r="V30" s="92">
        <f t="shared" si="6"/>
        <v>1576</v>
      </c>
      <c r="W30" s="92">
        <f t="shared" si="6"/>
        <v>2769</v>
      </c>
      <c r="X30" s="92">
        <f t="shared" si="6"/>
        <v>0</v>
      </c>
      <c r="Y30" s="92">
        <f t="shared" si="6"/>
        <v>1539</v>
      </c>
      <c r="Z30" s="92">
        <f t="shared" si="6"/>
        <v>1233</v>
      </c>
      <c r="AA30" s="92">
        <f t="shared" si="6"/>
        <v>1384</v>
      </c>
      <c r="AB30" s="92">
        <f t="shared" si="6"/>
        <v>1195</v>
      </c>
      <c r="AC30" s="92">
        <f t="shared" si="6"/>
        <v>0</v>
      </c>
      <c r="AD30" s="92">
        <f t="shared" si="6"/>
        <v>0</v>
      </c>
      <c r="AE30" s="92">
        <f t="shared" si="6"/>
        <v>0</v>
      </c>
      <c r="AF30" s="92">
        <f t="shared" si="6"/>
        <v>3525</v>
      </c>
      <c r="AG30" s="93">
        <f t="shared" si="5"/>
        <v>26633</v>
      </c>
      <c r="AH30" s="27"/>
      <c r="AI30" s="27"/>
      <c r="AJ30" s="73"/>
      <c r="AK30" s="28"/>
      <c r="AL30" s="74" t="s">
        <v>3</v>
      </c>
      <c r="AM30" s="75">
        <f t="shared" ref="AM30:AM40" si="7">AG30</f>
        <v>26633</v>
      </c>
      <c r="AN30" s="76"/>
    </row>
    <row r="31" spans="1:40" s="25" customFormat="1" ht="18" customHeight="1" x14ac:dyDescent="0.2">
      <c r="B31" s="92" t="s">
        <v>4</v>
      </c>
      <c r="C31" s="92">
        <f t="shared" si="6"/>
        <v>0</v>
      </c>
      <c r="D31" s="92">
        <f t="shared" si="6"/>
        <v>0</v>
      </c>
      <c r="E31" s="92">
        <f t="shared" si="6"/>
        <v>0</v>
      </c>
      <c r="F31" s="92">
        <f t="shared" si="6"/>
        <v>0</v>
      </c>
      <c r="G31" s="92">
        <f t="shared" si="6"/>
        <v>0</v>
      </c>
      <c r="H31" s="92">
        <f t="shared" si="6"/>
        <v>0</v>
      </c>
      <c r="I31" s="92">
        <f t="shared" si="6"/>
        <v>0</v>
      </c>
      <c r="J31" s="92">
        <f t="shared" si="6"/>
        <v>0</v>
      </c>
      <c r="K31" s="92">
        <f t="shared" si="6"/>
        <v>0</v>
      </c>
      <c r="L31" s="92">
        <f t="shared" si="6"/>
        <v>0</v>
      </c>
      <c r="M31" s="92">
        <f t="shared" si="6"/>
        <v>0</v>
      </c>
      <c r="N31" s="92">
        <f t="shared" si="6"/>
        <v>0</v>
      </c>
      <c r="O31" s="92">
        <f t="shared" si="6"/>
        <v>0</v>
      </c>
      <c r="P31" s="92">
        <f t="shared" si="6"/>
        <v>0</v>
      </c>
      <c r="Q31" s="92">
        <f t="shared" si="6"/>
        <v>0</v>
      </c>
      <c r="R31" s="92">
        <f t="shared" si="6"/>
        <v>0</v>
      </c>
      <c r="S31" s="92">
        <f t="shared" si="6"/>
        <v>0</v>
      </c>
      <c r="T31" s="92">
        <f t="shared" si="6"/>
        <v>0</v>
      </c>
      <c r="U31" s="92">
        <f t="shared" si="6"/>
        <v>0</v>
      </c>
      <c r="V31" s="92">
        <f t="shared" si="6"/>
        <v>0</v>
      </c>
      <c r="W31" s="92">
        <f t="shared" si="6"/>
        <v>0</v>
      </c>
      <c r="X31" s="92">
        <f t="shared" si="6"/>
        <v>0</v>
      </c>
      <c r="Y31" s="92">
        <f t="shared" si="6"/>
        <v>0</v>
      </c>
      <c r="Z31" s="92">
        <f t="shared" si="6"/>
        <v>0</v>
      </c>
      <c r="AA31" s="92">
        <f t="shared" si="6"/>
        <v>0</v>
      </c>
      <c r="AB31" s="92">
        <f t="shared" si="6"/>
        <v>0</v>
      </c>
      <c r="AC31" s="92">
        <f t="shared" si="6"/>
        <v>0</v>
      </c>
      <c r="AD31" s="92">
        <f t="shared" si="6"/>
        <v>0</v>
      </c>
      <c r="AE31" s="92">
        <f t="shared" si="6"/>
        <v>0</v>
      </c>
      <c r="AF31" s="92">
        <f t="shared" si="6"/>
        <v>0</v>
      </c>
      <c r="AG31" s="93">
        <f t="shared" si="5"/>
        <v>0</v>
      </c>
      <c r="AH31" s="27"/>
      <c r="AI31" s="27"/>
      <c r="AJ31" s="73"/>
      <c r="AK31" s="28"/>
      <c r="AL31" s="3" t="s">
        <v>4</v>
      </c>
      <c r="AM31" s="75">
        <f t="shared" si="7"/>
        <v>0</v>
      </c>
      <c r="AN31" s="30"/>
    </row>
    <row r="32" spans="1:40" s="25" customFormat="1" ht="18" customHeight="1" x14ac:dyDescent="0.2">
      <c r="B32" s="92" t="s">
        <v>5</v>
      </c>
      <c r="C32" s="92">
        <f t="shared" ref="C32:AF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2">
        <f t="shared" si="8"/>
        <v>0</v>
      </c>
      <c r="AF32" s="92">
        <f t="shared" si="8"/>
        <v>0</v>
      </c>
      <c r="AG32" s="93">
        <f t="shared" si="5"/>
        <v>0</v>
      </c>
      <c r="AH32" s="27"/>
      <c r="AI32" s="27"/>
      <c r="AJ32" s="73"/>
      <c r="AK32" s="28"/>
      <c r="AL32" s="3" t="s">
        <v>5</v>
      </c>
      <c r="AM32" s="75">
        <f t="shared" si="7"/>
        <v>0</v>
      </c>
      <c r="AN32" s="30"/>
    </row>
    <row r="33" spans="2:40" s="25" customFormat="1" ht="18" customHeight="1" x14ac:dyDescent="0.2">
      <c r="B33" s="92" t="s">
        <v>33</v>
      </c>
      <c r="C33" s="92">
        <f>C9/2500</f>
        <v>319</v>
      </c>
      <c r="D33" s="92">
        <f t="shared" ref="D33:AF33" si="9">D9/2500</f>
        <v>0</v>
      </c>
      <c r="E33" s="92">
        <f t="shared" si="9"/>
        <v>20</v>
      </c>
      <c r="F33" s="92">
        <f t="shared" si="9"/>
        <v>25</v>
      </c>
      <c r="G33" s="92">
        <f t="shared" si="9"/>
        <v>12</v>
      </c>
      <c r="H33" s="92">
        <f t="shared" si="9"/>
        <v>169</v>
      </c>
      <c r="I33" s="92">
        <f t="shared" si="9"/>
        <v>287</v>
      </c>
      <c r="J33" s="92">
        <f t="shared" si="9"/>
        <v>0</v>
      </c>
      <c r="K33" s="92">
        <f t="shared" si="9"/>
        <v>22</v>
      </c>
      <c r="L33" s="92">
        <f t="shared" si="9"/>
        <v>75</v>
      </c>
      <c r="M33" s="92">
        <f t="shared" si="9"/>
        <v>31</v>
      </c>
      <c r="N33" s="92">
        <f t="shared" si="9"/>
        <v>27</v>
      </c>
      <c r="O33" s="92">
        <f t="shared" si="9"/>
        <v>162</v>
      </c>
      <c r="P33" s="92">
        <f t="shared" si="9"/>
        <v>340</v>
      </c>
      <c r="Q33" s="92">
        <f t="shared" si="9"/>
        <v>0</v>
      </c>
      <c r="R33" s="92">
        <f t="shared" si="9"/>
        <v>241</v>
      </c>
      <c r="S33" s="92">
        <f t="shared" si="9"/>
        <v>18</v>
      </c>
      <c r="T33" s="92">
        <f t="shared" si="9"/>
        <v>15</v>
      </c>
      <c r="U33" s="92">
        <f t="shared" si="9"/>
        <v>17</v>
      </c>
      <c r="V33" s="92">
        <f t="shared" si="9"/>
        <v>151</v>
      </c>
      <c r="W33" s="92">
        <f t="shared" si="9"/>
        <v>427</v>
      </c>
      <c r="X33" s="92">
        <f t="shared" si="9"/>
        <v>110</v>
      </c>
      <c r="Y33" s="92">
        <f t="shared" si="9"/>
        <v>21</v>
      </c>
      <c r="Z33" s="92">
        <f t="shared" si="9"/>
        <v>31</v>
      </c>
      <c r="AA33" s="92">
        <f t="shared" si="9"/>
        <v>67</v>
      </c>
      <c r="AB33" s="92">
        <f t="shared" si="9"/>
        <v>45</v>
      </c>
      <c r="AC33" s="92">
        <f t="shared" si="9"/>
        <v>408</v>
      </c>
      <c r="AD33" s="92">
        <f t="shared" si="9"/>
        <v>642</v>
      </c>
      <c r="AE33" s="92">
        <f t="shared" si="9"/>
        <v>0</v>
      </c>
      <c r="AF33" s="92">
        <f t="shared" si="9"/>
        <v>184</v>
      </c>
      <c r="AG33" s="93">
        <f t="shared" si="5"/>
        <v>3866</v>
      </c>
      <c r="AH33" s="27"/>
      <c r="AI33" s="27"/>
      <c r="AJ33" s="73"/>
      <c r="AK33" s="28"/>
      <c r="AL33" s="3"/>
      <c r="AM33" s="75"/>
      <c r="AN33" s="30"/>
    </row>
    <row r="34" spans="2:40" s="25" customFormat="1" ht="18" customHeight="1" x14ac:dyDescent="0.2">
      <c r="B34" s="100" t="s">
        <v>21</v>
      </c>
      <c r="C34" s="100">
        <f t="shared" ref="C34:AF35" si="10">C10/6000</f>
        <v>0</v>
      </c>
      <c r="D34" s="100">
        <f t="shared" si="10"/>
        <v>0</v>
      </c>
      <c r="E34" s="100">
        <f t="shared" si="10"/>
        <v>174</v>
      </c>
      <c r="F34" s="100">
        <f t="shared" si="10"/>
        <v>110</v>
      </c>
      <c r="G34" s="100">
        <f t="shared" si="10"/>
        <v>79</v>
      </c>
      <c r="H34" s="100">
        <f t="shared" si="10"/>
        <v>0</v>
      </c>
      <c r="I34" s="100">
        <f t="shared" si="10"/>
        <v>0</v>
      </c>
      <c r="J34" s="100">
        <f t="shared" si="10"/>
        <v>0</v>
      </c>
      <c r="K34" s="100">
        <f t="shared" si="10"/>
        <v>148</v>
      </c>
      <c r="L34" s="100">
        <f t="shared" si="10"/>
        <v>269</v>
      </c>
      <c r="M34" s="100">
        <f t="shared" si="10"/>
        <v>230</v>
      </c>
      <c r="N34" s="100">
        <f t="shared" si="10"/>
        <v>140</v>
      </c>
      <c r="O34" s="100">
        <f t="shared" si="10"/>
        <v>0</v>
      </c>
      <c r="P34" s="100">
        <f t="shared" si="10"/>
        <v>0</v>
      </c>
      <c r="Q34" s="100">
        <f t="shared" si="10"/>
        <v>0</v>
      </c>
      <c r="R34" s="100">
        <f t="shared" si="10"/>
        <v>0</v>
      </c>
      <c r="S34" s="100">
        <f t="shared" si="10"/>
        <v>184</v>
      </c>
      <c r="T34" s="100">
        <f t="shared" si="10"/>
        <v>252</v>
      </c>
      <c r="U34" s="100">
        <f t="shared" si="10"/>
        <v>158</v>
      </c>
      <c r="V34" s="100">
        <f t="shared" si="10"/>
        <v>0</v>
      </c>
      <c r="W34" s="100">
        <f t="shared" si="10"/>
        <v>0</v>
      </c>
      <c r="X34" s="100">
        <f t="shared" si="10"/>
        <v>149</v>
      </c>
      <c r="Y34" s="100">
        <f t="shared" si="10"/>
        <v>272</v>
      </c>
      <c r="Z34" s="100">
        <f t="shared" si="10"/>
        <v>376</v>
      </c>
      <c r="AA34" s="100">
        <f t="shared" si="10"/>
        <v>377</v>
      </c>
      <c r="AB34" s="100">
        <f t="shared" si="10"/>
        <v>408</v>
      </c>
      <c r="AC34" s="100">
        <f t="shared" si="10"/>
        <v>0</v>
      </c>
      <c r="AD34" s="100">
        <f t="shared" si="10"/>
        <v>0</v>
      </c>
      <c r="AE34" s="100">
        <f t="shared" si="10"/>
        <v>0</v>
      </c>
      <c r="AF34" s="100">
        <f t="shared" si="10"/>
        <v>852</v>
      </c>
      <c r="AG34" s="93">
        <f t="shared" si="5"/>
        <v>4178</v>
      </c>
      <c r="AH34" s="27"/>
      <c r="AI34" s="27"/>
      <c r="AJ34" s="73"/>
      <c r="AK34" s="28"/>
      <c r="AL34" s="3" t="s">
        <v>10</v>
      </c>
      <c r="AM34" s="75">
        <f t="shared" si="7"/>
        <v>4178</v>
      </c>
      <c r="AN34" s="30"/>
    </row>
    <row r="35" spans="2:40" s="25" customFormat="1" ht="18" customHeight="1" thickBot="1" x14ac:dyDescent="0.25">
      <c r="B35" s="100" t="s">
        <v>22</v>
      </c>
      <c r="C35" s="100">
        <f t="shared" si="10"/>
        <v>0</v>
      </c>
      <c r="D35" s="100">
        <f t="shared" si="10"/>
        <v>0</v>
      </c>
      <c r="E35" s="100">
        <f t="shared" si="10"/>
        <v>41</v>
      </c>
      <c r="F35" s="100">
        <f t="shared" si="10"/>
        <v>82</v>
      </c>
      <c r="G35" s="100">
        <f t="shared" si="10"/>
        <v>44</v>
      </c>
      <c r="H35" s="100">
        <f t="shared" si="10"/>
        <v>0</v>
      </c>
      <c r="I35" s="100">
        <f t="shared" si="10"/>
        <v>0</v>
      </c>
      <c r="J35" s="100">
        <f t="shared" si="10"/>
        <v>0</v>
      </c>
      <c r="K35" s="100">
        <f t="shared" si="10"/>
        <v>118</v>
      </c>
      <c r="L35" s="100">
        <f t="shared" si="10"/>
        <v>128</v>
      </c>
      <c r="M35" s="100">
        <f t="shared" si="10"/>
        <v>136</v>
      </c>
      <c r="N35" s="100">
        <f t="shared" si="10"/>
        <v>101</v>
      </c>
      <c r="O35" s="100">
        <f t="shared" si="10"/>
        <v>0</v>
      </c>
      <c r="P35" s="100">
        <f t="shared" si="10"/>
        <v>0</v>
      </c>
      <c r="Q35" s="100">
        <f t="shared" si="10"/>
        <v>0</v>
      </c>
      <c r="R35" s="100">
        <f t="shared" si="10"/>
        <v>0</v>
      </c>
      <c r="S35" s="100">
        <f t="shared" si="10"/>
        <v>122</v>
      </c>
      <c r="T35" s="100">
        <f t="shared" si="10"/>
        <v>175</v>
      </c>
      <c r="U35" s="100">
        <f t="shared" si="10"/>
        <v>90</v>
      </c>
      <c r="V35" s="100">
        <f t="shared" si="10"/>
        <v>0</v>
      </c>
      <c r="W35" s="100">
        <f t="shared" si="10"/>
        <v>0</v>
      </c>
      <c r="X35" s="100">
        <f t="shared" si="10"/>
        <v>96</v>
      </c>
      <c r="Y35" s="100">
        <f t="shared" si="10"/>
        <v>145</v>
      </c>
      <c r="Z35" s="100">
        <f t="shared" si="10"/>
        <v>229</v>
      </c>
      <c r="AA35" s="100">
        <f t="shared" si="10"/>
        <v>200</v>
      </c>
      <c r="AB35" s="100">
        <f t="shared" si="10"/>
        <v>291</v>
      </c>
      <c r="AC35" s="100">
        <f t="shared" si="10"/>
        <v>0</v>
      </c>
      <c r="AD35" s="100">
        <f t="shared" si="10"/>
        <v>0</v>
      </c>
      <c r="AE35" s="100">
        <f t="shared" si="10"/>
        <v>0</v>
      </c>
      <c r="AF35" s="100">
        <f t="shared" si="10"/>
        <v>449</v>
      </c>
      <c r="AG35" s="93">
        <f t="shared" si="5"/>
        <v>2447</v>
      </c>
      <c r="AH35" s="27"/>
      <c r="AI35" s="27"/>
      <c r="AJ35" s="73"/>
      <c r="AK35" s="28"/>
      <c r="AL35" s="77" t="s">
        <v>15</v>
      </c>
      <c r="AM35" s="75">
        <f t="shared" si="7"/>
        <v>2447</v>
      </c>
      <c r="AN35" s="30"/>
    </row>
    <row r="36" spans="2:40" s="29" customFormat="1" ht="18" customHeight="1" x14ac:dyDescent="0.2">
      <c r="B36" s="100" t="s">
        <v>24</v>
      </c>
      <c r="C36" s="100">
        <f t="shared" ref="C36:AF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100">
        <f t="shared" si="11"/>
        <v>0</v>
      </c>
      <c r="AF36" s="100">
        <f t="shared" si="11"/>
        <v>0</v>
      </c>
      <c r="AG36" s="93">
        <f t="shared" si="5"/>
        <v>0</v>
      </c>
      <c r="AH36" s="27"/>
      <c r="AI36" s="27"/>
      <c r="AJ36" s="73"/>
      <c r="AK36" s="28"/>
      <c r="AL36" s="78" t="s">
        <v>34</v>
      </c>
      <c r="AM36" s="75">
        <f t="shared" si="7"/>
        <v>0</v>
      </c>
    </row>
    <row r="37" spans="2:40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100">
        <f t="shared" si="11"/>
        <v>0</v>
      </c>
      <c r="AF37" s="100">
        <f t="shared" si="11"/>
        <v>0</v>
      </c>
      <c r="AG37" s="93">
        <f t="shared" si="5"/>
        <v>0</v>
      </c>
      <c r="AH37" s="27"/>
      <c r="AI37" s="27"/>
      <c r="AJ37" s="73"/>
      <c r="AK37" s="28"/>
      <c r="AL37" s="79" t="s">
        <v>35</v>
      </c>
      <c r="AM37" s="75">
        <f t="shared" si="7"/>
        <v>0</v>
      </c>
    </row>
    <row r="38" spans="2:40" s="29" customFormat="1" ht="18" customHeight="1" x14ac:dyDescent="0.2">
      <c r="B38" s="104" t="s">
        <v>28</v>
      </c>
      <c r="C38" s="104">
        <f t="shared" ref="C38:AF39" si="12">C14/7500</f>
        <v>837</v>
      </c>
      <c r="D38" s="104">
        <f t="shared" si="12"/>
        <v>0</v>
      </c>
      <c r="E38" s="104">
        <f t="shared" si="12"/>
        <v>0</v>
      </c>
      <c r="F38" s="104">
        <f t="shared" si="12"/>
        <v>0</v>
      </c>
      <c r="G38" s="104">
        <f t="shared" si="12"/>
        <v>0</v>
      </c>
      <c r="H38" s="104">
        <f t="shared" si="12"/>
        <v>625</v>
      </c>
      <c r="I38" s="104">
        <f t="shared" si="12"/>
        <v>1082</v>
      </c>
      <c r="J38" s="104">
        <f t="shared" si="12"/>
        <v>0</v>
      </c>
      <c r="K38" s="104">
        <f t="shared" si="12"/>
        <v>0</v>
      </c>
      <c r="L38" s="104">
        <f t="shared" si="12"/>
        <v>0</v>
      </c>
      <c r="M38" s="104">
        <f t="shared" si="12"/>
        <v>0</v>
      </c>
      <c r="N38" s="104">
        <f t="shared" si="12"/>
        <v>0</v>
      </c>
      <c r="O38" s="104">
        <f t="shared" si="12"/>
        <v>627</v>
      </c>
      <c r="P38" s="104">
        <f t="shared" si="12"/>
        <v>859</v>
      </c>
      <c r="Q38" s="104">
        <f t="shared" si="12"/>
        <v>0</v>
      </c>
      <c r="R38" s="104">
        <f t="shared" si="12"/>
        <v>1309</v>
      </c>
      <c r="S38" s="104">
        <f t="shared" si="12"/>
        <v>0</v>
      </c>
      <c r="T38" s="104">
        <f t="shared" si="12"/>
        <v>0</v>
      </c>
      <c r="U38" s="104">
        <f t="shared" si="12"/>
        <v>0</v>
      </c>
      <c r="V38" s="104">
        <f t="shared" si="12"/>
        <v>661</v>
      </c>
      <c r="W38" s="104">
        <f t="shared" si="12"/>
        <v>1284</v>
      </c>
      <c r="X38" s="104">
        <f t="shared" si="12"/>
        <v>0</v>
      </c>
      <c r="Y38" s="104">
        <f t="shared" si="12"/>
        <v>0</v>
      </c>
      <c r="Z38" s="104">
        <f t="shared" si="12"/>
        <v>0</v>
      </c>
      <c r="AA38" s="104">
        <f t="shared" si="12"/>
        <v>0</v>
      </c>
      <c r="AB38" s="104">
        <f t="shared" si="12"/>
        <v>0</v>
      </c>
      <c r="AC38" s="104">
        <f t="shared" si="12"/>
        <v>1693</v>
      </c>
      <c r="AD38" s="104">
        <f t="shared" si="12"/>
        <v>2427</v>
      </c>
      <c r="AE38" s="104">
        <f t="shared" si="12"/>
        <v>0</v>
      </c>
      <c r="AF38" s="104">
        <f t="shared" si="12"/>
        <v>0</v>
      </c>
      <c r="AG38" s="93">
        <f t="shared" si="5"/>
        <v>11404</v>
      </c>
      <c r="AH38" s="27"/>
      <c r="AI38" s="27"/>
      <c r="AJ38" s="73"/>
      <c r="AK38" s="28"/>
      <c r="AL38" s="79" t="s">
        <v>36</v>
      </c>
      <c r="AM38" s="75">
        <f t="shared" si="7"/>
        <v>11404</v>
      </c>
    </row>
    <row r="39" spans="2:40" s="29" customFormat="1" ht="18" customHeight="1" x14ac:dyDescent="0.2">
      <c r="B39" s="104" t="s">
        <v>30</v>
      </c>
      <c r="C39" s="104">
        <f t="shared" si="12"/>
        <v>618</v>
      </c>
      <c r="D39" s="104">
        <f t="shared" si="12"/>
        <v>0</v>
      </c>
      <c r="E39" s="104">
        <f t="shared" si="12"/>
        <v>0</v>
      </c>
      <c r="F39" s="104">
        <f t="shared" si="12"/>
        <v>0</v>
      </c>
      <c r="G39" s="104">
        <f t="shared" si="12"/>
        <v>0</v>
      </c>
      <c r="H39" s="104">
        <f t="shared" si="12"/>
        <v>448</v>
      </c>
      <c r="I39" s="104">
        <f t="shared" si="12"/>
        <v>764</v>
      </c>
      <c r="J39" s="104">
        <f t="shared" si="12"/>
        <v>0</v>
      </c>
      <c r="K39" s="104">
        <f t="shared" si="12"/>
        <v>0</v>
      </c>
      <c r="L39" s="104">
        <f t="shared" si="12"/>
        <v>0</v>
      </c>
      <c r="M39" s="104">
        <f t="shared" si="12"/>
        <v>0</v>
      </c>
      <c r="N39" s="104">
        <f t="shared" si="12"/>
        <v>0</v>
      </c>
      <c r="O39" s="104">
        <f t="shared" si="12"/>
        <v>421</v>
      </c>
      <c r="P39" s="104">
        <f t="shared" si="12"/>
        <v>577</v>
      </c>
      <c r="Q39" s="104">
        <f t="shared" si="12"/>
        <v>0</v>
      </c>
      <c r="R39" s="104">
        <f t="shared" si="12"/>
        <v>870</v>
      </c>
      <c r="S39" s="104">
        <f t="shared" si="12"/>
        <v>0</v>
      </c>
      <c r="T39" s="104">
        <f t="shared" si="12"/>
        <v>0</v>
      </c>
      <c r="U39" s="104">
        <f t="shared" si="12"/>
        <v>0</v>
      </c>
      <c r="V39" s="104">
        <f t="shared" si="12"/>
        <v>499</v>
      </c>
      <c r="W39" s="104">
        <f t="shared" si="12"/>
        <v>854</v>
      </c>
      <c r="X39" s="104">
        <f t="shared" si="12"/>
        <v>0</v>
      </c>
      <c r="Y39" s="104">
        <f t="shared" si="12"/>
        <v>0</v>
      </c>
      <c r="Z39" s="104">
        <f t="shared" si="12"/>
        <v>0</v>
      </c>
      <c r="AA39" s="104">
        <f t="shared" si="12"/>
        <v>0</v>
      </c>
      <c r="AB39" s="104">
        <f t="shared" si="12"/>
        <v>0</v>
      </c>
      <c r="AC39" s="104">
        <f t="shared" si="12"/>
        <v>1251</v>
      </c>
      <c r="AD39" s="104">
        <f t="shared" si="12"/>
        <v>1911</v>
      </c>
      <c r="AE39" s="104">
        <f t="shared" si="12"/>
        <v>0</v>
      </c>
      <c r="AF39" s="104">
        <f t="shared" si="12"/>
        <v>0</v>
      </c>
      <c r="AG39" s="93">
        <f t="shared" si="5"/>
        <v>8213</v>
      </c>
      <c r="AH39" s="27"/>
      <c r="AI39" s="27"/>
      <c r="AJ39" s="73"/>
      <c r="AK39" s="28"/>
      <c r="AL39" s="79" t="s">
        <v>37</v>
      </c>
      <c r="AM39" s="75">
        <f t="shared" si="7"/>
        <v>8213</v>
      </c>
    </row>
    <row r="40" spans="2:40" s="29" customFormat="1" ht="18" customHeight="1" thickBot="1" x14ac:dyDescent="0.25">
      <c r="B40" s="104" t="s">
        <v>31</v>
      </c>
      <c r="C40" s="104">
        <f t="shared" ref="C40:AF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>
        <f t="shared" si="13"/>
        <v>0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>
        <f t="shared" si="13"/>
        <v>0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104">
        <f t="shared" si="13"/>
        <v>0</v>
      </c>
      <c r="AF40" s="104">
        <f t="shared" si="13"/>
        <v>0</v>
      </c>
      <c r="AG40" s="93">
        <f t="shared" si="5"/>
        <v>0</v>
      </c>
      <c r="AH40" s="27"/>
      <c r="AI40" s="27"/>
      <c r="AJ40" s="73"/>
      <c r="AK40" s="28"/>
      <c r="AL40" s="77" t="s">
        <v>15</v>
      </c>
      <c r="AM40" s="75">
        <f t="shared" si="7"/>
        <v>0</v>
      </c>
    </row>
    <row r="41" spans="2:40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104">
        <f t="shared" si="13"/>
        <v>0</v>
      </c>
      <c r="AF41" s="104">
        <f t="shared" si="13"/>
        <v>0</v>
      </c>
      <c r="AG41" s="93">
        <f t="shared" si="5"/>
        <v>0</v>
      </c>
      <c r="AH41" s="6"/>
      <c r="AI41" s="6"/>
      <c r="AJ41" s="14"/>
      <c r="AK41" s="28"/>
      <c r="AL41" s="70"/>
      <c r="AM41" s="80"/>
      <c r="AN41" s="30"/>
    </row>
    <row r="42" spans="2:40" s="25" customFormat="1" ht="18" customHeight="1" x14ac:dyDescent="0.2">
      <c r="B42" s="92" t="s">
        <v>6</v>
      </c>
      <c r="C42" s="92">
        <f t="shared" ref="C42:AF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2">
        <f t="shared" si="14"/>
        <v>0</v>
      </c>
      <c r="AF42" s="92">
        <f t="shared" si="14"/>
        <v>0</v>
      </c>
      <c r="AG42" s="93">
        <f t="shared" si="5"/>
        <v>0</v>
      </c>
      <c r="AH42" s="6"/>
      <c r="AI42" s="6"/>
      <c r="AJ42" s="14"/>
      <c r="AK42" s="28"/>
      <c r="AL42" s="70"/>
      <c r="AM42" s="29"/>
      <c r="AN42" s="30"/>
    </row>
    <row r="43" spans="2:40" s="17" customFormat="1" ht="18" customHeight="1" x14ac:dyDescent="0.2">
      <c r="B43" s="92" t="s">
        <v>7</v>
      </c>
      <c r="C43" s="92">
        <f t="shared" ref="C43:AF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2">
        <f t="shared" si="15"/>
        <v>0</v>
      </c>
      <c r="AF43" s="92">
        <f t="shared" si="15"/>
        <v>0</v>
      </c>
      <c r="AG43" s="93">
        <f t="shared" si="5"/>
        <v>0</v>
      </c>
      <c r="AH43" s="2"/>
      <c r="AI43" s="2"/>
      <c r="AJ43" s="14"/>
      <c r="AK43" s="15"/>
      <c r="AL43" s="16"/>
    </row>
    <row r="44" spans="2:40" s="17" customFormat="1" ht="18" customHeight="1" x14ac:dyDescent="0.2">
      <c r="B44" s="92" t="s">
        <v>8</v>
      </c>
      <c r="C44" s="92">
        <f t="shared" ref="C44:AF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2">
        <f t="shared" si="16"/>
        <v>0</v>
      </c>
      <c r="AF44" s="92">
        <f t="shared" si="16"/>
        <v>0</v>
      </c>
      <c r="AG44" s="93">
        <f t="shared" si="5"/>
        <v>0</v>
      </c>
      <c r="AH44" s="2"/>
      <c r="AI44" s="2"/>
      <c r="AJ44" s="14"/>
      <c r="AK44" s="15"/>
      <c r="AL44" s="16"/>
    </row>
    <row r="45" spans="2:40" s="17" customFormat="1" ht="18" customHeight="1" x14ac:dyDescent="0.2">
      <c r="B45" s="92" t="s">
        <v>9</v>
      </c>
      <c r="C45" s="92">
        <f t="shared" ref="C45:AF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2">
        <f t="shared" si="17"/>
        <v>0</v>
      </c>
      <c r="AF45" s="92">
        <f t="shared" si="17"/>
        <v>0</v>
      </c>
      <c r="AG45" s="93">
        <f t="shared" si="5"/>
        <v>0</v>
      </c>
      <c r="AH45" s="2"/>
      <c r="AI45" s="2"/>
      <c r="AJ45" s="14"/>
      <c r="AK45" s="15"/>
      <c r="AL45" s="16"/>
    </row>
    <row r="46" spans="2:40" s="17" customFormat="1" ht="18" customHeight="1" x14ac:dyDescent="0.2">
      <c r="B46" s="92" t="s">
        <v>10</v>
      </c>
      <c r="C46" s="92">
        <f t="shared" ref="C46:AF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2">
        <f t="shared" si="18"/>
        <v>0</v>
      </c>
      <c r="AF46" s="92">
        <f t="shared" si="18"/>
        <v>0</v>
      </c>
      <c r="AG46" s="93">
        <f t="shared" si="5"/>
        <v>0</v>
      </c>
      <c r="AH46" s="2"/>
      <c r="AI46" s="2"/>
      <c r="AJ46" s="14"/>
      <c r="AK46" s="15"/>
      <c r="AL46" s="16"/>
    </row>
    <row r="47" spans="2:40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2"/>
      <c r="AH47" s="2"/>
      <c r="AI47" s="2"/>
      <c r="AJ47" s="14"/>
      <c r="AK47" s="15"/>
      <c r="AL47" s="16"/>
    </row>
    <row r="48" spans="2:40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2"/>
      <c r="AH48" s="2"/>
      <c r="AI48" s="2"/>
      <c r="AJ48" s="14"/>
      <c r="AK48" s="15"/>
      <c r="AL48" s="16"/>
    </row>
    <row r="49" spans="2:39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2"/>
      <c r="AH49" s="2"/>
      <c r="AI49" s="2"/>
      <c r="AJ49" s="14"/>
      <c r="AK49" s="15"/>
      <c r="AL49" s="16"/>
    </row>
    <row r="50" spans="2:39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2"/>
      <c r="AH50" s="2"/>
      <c r="AI50" s="2"/>
      <c r="AJ50" s="14"/>
      <c r="AK50" s="15"/>
      <c r="AL50" s="81"/>
      <c r="AM50" s="17"/>
    </row>
    <row r="51" spans="2:39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2"/>
      <c r="AH51" s="2"/>
      <c r="AI51" s="2"/>
      <c r="AJ51" s="14"/>
      <c r="AK51" s="15"/>
      <c r="AL51" s="81"/>
      <c r="AM51" s="17"/>
    </row>
    <row r="52" spans="2:39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2"/>
      <c r="AH52" s="2"/>
      <c r="AI52" s="2"/>
      <c r="AJ52" s="14"/>
      <c r="AK52" s="15"/>
      <c r="AL52" s="81"/>
      <c r="AM52" s="17"/>
    </row>
    <row r="53" spans="2:39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2"/>
      <c r="AH53" s="2"/>
      <c r="AI53" s="2"/>
      <c r="AJ53" s="14"/>
      <c r="AK53" s="15"/>
      <c r="AL53" s="81"/>
      <c r="AM53" s="17"/>
    </row>
    <row r="54" spans="2:39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2"/>
      <c r="AH54" s="2"/>
      <c r="AI54" s="2"/>
      <c r="AJ54" s="14"/>
      <c r="AK54" s="15"/>
      <c r="AL54" s="81"/>
      <c r="AM54" s="17"/>
    </row>
    <row r="55" spans="2:39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2"/>
      <c r="AH55" s="2"/>
      <c r="AI55" s="2"/>
      <c r="AJ55" s="14"/>
      <c r="AK55" s="15"/>
      <c r="AL55" s="81"/>
      <c r="AM55" s="17"/>
    </row>
    <row r="56" spans="2:39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2"/>
      <c r="AH56" s="2"/>
      <c r="AI56" s="2"/>
      <c r="AJ56" s="14"/>
      <c r="AK56" s="15"/>
      <c r="AL56" s="81"/>
      <c r="AM56" s="17"/>
    </row>
    <row r="57" spans="2:39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2"/>
      <c r="AH57" s="2"/>
      <c r="AI57" s="2"/>
      <c r="AJ57" s="14"/>
      <c r="AK57" s="15"/>
      <c r="AL57" s="81"/>
      <c r="AM57" s="17"/>
    </row>
    <row r="58" spans="2:39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2"/>
      <c r="AH58" s="2"/>
      <c r="AI58" s="2"/>
      <c r="AJ58" s="14"/>
      <c r="AK58" s="15"/>
      <c r="AL58" s="81"/>
      <c r="AM58" s="17"/>
    </row>
    <row r="59" spans="2:39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2"/>
      <c r="AH59" s="2"/>
      <c r="AI59" s="2"/>
      <c r="AJ59" s="14"/>
      <c r="AK59" s="15"/>
      <c r="AL59" s="81"/>
      <c r="AM59" s="17"/>
    </row>
    <row r="60" spans="2:39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2"/>
      <c r="AH60" s="2"/>
      <c r="AI60" s="2"/>
      <c r="AJ60" s="14"/>
      <c r="AK60" s="15"/>
      <c r="AL60" s="81"/>
      <c r="AM60" s="17"/>
    </row>
    <row r="61" spans="2:39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2"/>
      <c r="AH61" s="2"/>
      <c r="AI61" s="2"/>
      <c r="AJ61" s="14"/>
      <c r="AK61" s="15"/>
      <c r="AL61" s="81"/>
      <c r="AM61" s="17"/>
    </row>
    <row r="62" spans="2:39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2"/>
      <c r="AH62" s="2"/>
      <c r="AI62" s="2"/>
      <c r="AJ62" s="14"/>
      <c r="AK62" s="15"/>
      <c r="AL62" s="81"/>
      <c r="AM62" s="17"/>
    </row>
    <row r="63" spans="2:39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2"/>
      <c r="AH63" s="2"/>
      <c r="AI63" s="2"/>
      <c r="AJ63" s="14"/>
      <c r="AK63" s="15"/>
      <c r="AL63" s="81"/>
      <c r="AM63" s="17"/>
    </row>
    <row r="64" spans="2:39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2"/>
      <c r="AH64" s="2"/>
      <c r="AI64" s="2"/>
      <c r="AJ64" s="14"/>
      <c r="AK64" s="15"/>
      <c r="AL64" s="81"/>
      <c r="AM64" s="17"/>
    </row>
    <row r="65" spans="2:39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2"/>
      <c r="AH65" s="2"/>
      <c r="AI65" s="2"/>
      <c r="AJ65" s="14"/>
      <c r="AK65" s="15"/>
      <c r="AL65" s="81"/>
      <c r="AM65" s="17"/>
    </row>
    <row r="66" spans="2:39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2"/>
      <c r="AH66" s="2"/>
      <c r="AI66" s="2"/>
      <c r="AJ66" s="14"/>
      <c r="AK66" s="15"/>
      <c r="AL66" s="81"/>
      <c r="AM66" s="17"/>
    </row>
    <row r="67" spans="2:39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  <c r="AH67" s="2"/>
      <c r="AI67" s="2"/>
      <c r="AJ67" s="14"/>
      <c r="AK67" s="15"/>
      <c r="AL67" s="81"/>
      <c r="AM67" s="17"/>
    </row>
    <row r="68" spans="2:39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2"/>
      <c r="AI68" s="2"/>
      <c r="AJ68" s="14"/>
      <c r="AK68" s="15"/>
      <c r="AL68" s="81"/>
      <c r="AM68" s="17"/>
    </row>
    <row r="69" spans="2:39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"/>
      <c r="AH69" s="2"/>
      <c r="AI69" s="2"/>
      <c r="AJ69" s="14"/>
      <c r="AK69" s="15"/>
      <c r="AL69" s="81"/>
      <c r="AM69" s="17"/>
    </row>
    <row r="70" spans="2:39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2"/>
      <c r="AH70" s="2"/>
      <c r="AI70" s="2"/>
      <c r="AJ70" s="14"/>
      <c r="AK70" s="15"/>
      <c r="AL70" s="81"/>
      <c r="AM70" s="17"/>
    </row>
    <row r="71" spans="2:39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2"/>
      <c r="AH71" s="2"/>
      <c r="AI71" s="2"/>
      <c r="AJ71" s="14"/>
      <c r="AK71" s="15"/>
      <c r="AL71" s="81"/>
      <c r="AM71" s="17"/>
    </row>
    <row r="72" spans="2:39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2"/>
      <c r="AH72" s="2"/>
      <c r="AI72" s="2"/>
      <c r="AJ72" s="14"/>
      <c r="AK72" s="15"/>
      <c r="AL72" s="81"/>
      <c r="AM72" s="17"/>
    </row>
    <row r="73" spans="2:39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2"/>
      <c r="AH73" s="2"/>
      <c r="AI73" s="2"/>
      <c r="AJ73" s="14"/>
      <c r="AK73" s="15"/>
      <c r="AL73" s="81"/>
      <c r="AM73" s="17"/>
    </row>
    <row r="74" spans="2:39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2"/>
      <c r="AH74" s="2"/>
      <c r="AI74" s="2"/>
      <c r="AJ74" s="14"/>
      <c r="AK74" s="15"/>
      <c r="AL74" s="81"/>
      <c r="AM74" s="17"/>
    </row>
    <row r="75" spans="2:39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2"/>
      <c r="AH75" s="2"/>
      <c r="AI75" s="2"/>
      <c r="AJ75" s="14"/>
      <c r="AK75" s="15"/>
      <c r="AL75" s="81"/>
      <c r="AM75" s="17"/>
    </row>
    <row r="76" spans="2:39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2"/>
      <c r="AH76" s="2"/>
      <c r="AI76" s="2"/>
      <c r="AJ76" s="14"/>
      <c r="AK76" s="15"/>
      <c r="AL76" s="81"/>
      <c r="AM76" s="17"/>
    </row>
    <row r="77" spans="2:39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2"/>
      <c r="AH77" s="2"/>
      <c r="AI77" s="2"/>
      <c r="AJ77" s="14"/>
      <c r="AK77" s="15"/>
      <c r="AL77" s="81"/>
      <c r="AM77" s="17"/>
    </row>
    <row r="78" spans="2:39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2"/>
      <c r="AH78" s="2"/>
      <c r="AI78" s="2"/>
      <c r="AJ78" s="14"/>
      <c r="AK78" s="15"/>
      <c r="AL78" s="81"/>
      <c r="AM78" s="17"/>
    </row>
    <row r="79" spans="2:39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"/>
      <c r="AH79" s="2"/>
      <c r="AI79" s="2"/>
      <c r="AJ79" s="14"/>
      <c r="AK79" s="15"/>
      <c r="AL79" s="81"/>
      <c r="AM79" s="17"/>
    </row>
    <row r="80" spans="2:39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"/>
      <c r="AH80" s="2"/>
      <c r="AI80" s="2"/>
      <c r="AJ80" s="14"/>
      <c r="AK80" s="15"/>
      <c r="AL80" s="81"/>
      <c r="AM80" s="17"/>
    </row>
    <row r="81" spans="2:40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2"/>
      <c r="AH81" s="2"/>
      <c r="AI81" s="2"/>
      <c r="AJ81" s="14"/>
      <c r="AK81" s="15"/>
      <c r="AL81" s="81"/>
      <c r="AM81" s="17"/>
    </row>
    <row r="82" spans="2:40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"/>
      <c r="AH82" s="2"/>
      <c r="AI82" s="2"/>
      <c r="AJ82" s="14"/>
      <c r="AK82" s="15"/>
      <c r="AL82" s="81"/>
      <c r="AM82" s="17"/>
    </row>
    <row r="83" spans="2:40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  <c r="AH83" s="2"/>
      <c r="AI83" s="2"/>
      <c r="AJ83" s="14"/>
      <c r="AK83" s="15"/>
      <c r="AL83" s="81"/>
      <c r="AM83" s="17"/>
    </row>
    <row r="84" spans="2:40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"/>
      <c r="AH84" s="2"/>
      <c r="AI84" s="2"/>
      <c r="AJ84" s="14"/>
      <c r="AK84" s="15"/>
      <c r="AL84" s="81"/>
      <c r="AM84" s="17"/>
    </row>
    <row r="85" spans="2:40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"/>
      <c r="AH85" s="2"/>
      <c r="AI85" s="2"/>
      <c r="AJ85" s="14"/>
      <c r="AK85" s="15"/>
      <c r="AL85" s="81"/>
      <c r="AM85" s="17"/>
    </row>
    <row r="86" spans="2:40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"/>
      <c r="AH86" s="2"/>
      <c r="AI86" s="2"/>
      <c r="AJ86" s="14"/>
      <c r="AK86" s="15"/>
      <c r="AL86" s="81"/>
      <c r="AM86" s="17"/>
    </row>
    <row r="87" spans="2:40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"/>
      <c r="AH87" s="2"/>
      <c r="AI87" s="2"/>
      <c r="AJ87" s="14"/>
      <c r="AK87" s="15"/>
      <c r="AL87" s="81"/>
      <c r="AM87" s="17"/>
    </row>
    <row r="88" spans="2:40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  <c r="AH88" s="2"/>
      <c r="AI88" s="2"/>
      <c r="AJ88" s="14"/>
      <c r="AK88" s="15"/>
      <c r="AL88" s="81"/>
      <c r="AM88" s="17"/>
    </row>
    <row r="89" spans="2:40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"/>
      <c r="AH89" s="2"/>
      <c r="AI89" s="2"/>
      <c r="AJ89" s="14"/>
      <c r="AK89" s="15"/>
      <c r="AL89" s="81"/>
      <c r="AM89" s="17"/>
    </row>
    <row r="90" spans="2:40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2"/>
      <c r="AH90" s="2"/>
      <c r="AI90" s="2"/>
      <c r="AJ90" s="14"/>
      <c r="AK90" s="15"/>
      <c r="AL90" s="81"/>
      <c r="AM90" s="17"/>
    </row>
    <row r="91" spans="2:40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2"/>
      <c r="AH91" s="2"/>
      <c r="AI91" s="2"/>
      <c r="AJ91" s="14"/>
      <c r="AK91" s="15"/>
      <c r="AL91" s="81"/>
      <c r="AM91" s="17"/>
    </row>
    <row r="92" spans="2:40" x14ac:dyDescent="0.2">
      <c r="AN92" s="19"/>
    </row>
  </sheetData>
  <mergeCells count="5">
    <mergeCell ref="A1:AG1"/>
    <mergeCell ref="A3:A4"/>
    <mergeCell ref="B3:B4"/>
    <mergeCell ref="C3:AF3"/>
    <mergeCell ref="AG3:AG4"/>
  </mergeCells>
  <pageMargins left="0.75" right="0.75" top="1" bottom="1" header="0.5" footer="0.5"/>
  <pageSetup paperSize="12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4ED8-C4D1-471E-A6A4-3BCD5D96B979}">
  <dimension ref="A1:AO92"/>
  <sheetViews>
    <sheetView zoomScale="90" zoomScaleNormal="90" workbookViewId="0">
      <pane xSplit="2" topLeftCell="C1" activePane="topRight" state="frozen"/>
      <selection pane="topRight" activeCell="AK5" sqref="AK5:AK22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3" width="15.77734375" style="1" customWidth="1"/>
    <col min="34" max="34" width="15.77734375" style="2" customWidth="1"/>
    <col min="35" max="35" width="10.5546875" style="2" customWidth="1"/>
    <col min="36" max="36" width="14.21875" style="2" customWidth="1"/>
    <col min="37" max="37" width="12.88671875" style="14" customWidth="1"/>
    <col min="38" max="38" width="13.109375" style="15" bestFit="1" customWidth="1"/>
    <col min="39" max="39" width="27.21875" style="16" customWidth="1"/>
    <col min="40" max="40" width="14.44140625" style="17" bestFit="1" customWidth="1"/>
    <col min="41" max="41" width="11.77734375" style="18" bestFit="1" customWidth="1"/>
    <col min="42" max="44" width="8.88671875" style="19"/>
    <col min="45" max="45" width="13.44140625" style="19" bestFit="1" customWidth="1"/>
    <col min="46" max="256" width="8.88671875" style="19"/>
    <col min="257" max="257" width="5.109375" style="19" customWidth="1"/>
    <col min="258" max="258" width="49.33203125" style="19" customWidth="1"/>
    <col min="259" max="290" width="15.77734375" style="19" customWidth="1"/>
    <col min="291" max="292" width="10.5546875" style="19" customWidth="1"/>
    <col min="293" max="293" width="11" style="19" customWidth="1"/>
    <col min="294" max="294" width="13.109375" style="19" bestFit="1" customWidth="1"/>
    <col min="295" max="295" width="27.21875" style="19" customWidth="1"/>
    <col min="296" max="296" width="14.44140625" style="19" bestFit="1" customWidth="1"/>
    <col min="297" max="297" width="11.77734375" style="19" bestFit="1" customWidth="1"/>
    <col min="298" max="300" width="8.88671875" style="19"/>
    <col min="301" max="301" width="13.44140625" style="19" bestFit="1" customWidth="1"/>
    <col min="302" max="512" width="8.88671875" style="19"/>
    <col min="513" max="513" width="5.109375" style="19" customWidth="1"/>
    <col min="514" max="514" width="49.33203125" style="19" customWidth="1"/>
    <col min="515" max="546" width="15.77734375" style="19" customWidth="1"/>
    <col min="547" max="548" width="10.5546875" style="19" customWidth="1"/>
    <col min="549" max="549" width="11" style="19" customWidth="1"/>
    <col min="550" max="550" width="13.109375" style="19" bestFit="1" customWidth="1"/>
    <col min="551" max="551" width="27.21875" style="19" customWidth="1"/>
    <col min="552" max="552" width="14.44140625" style="19" bestFit="1" customWidth="1"/>
    <col min="553" max="553" width="11.77734375" style="19" bestFit="1" customWidth="1"/>
    <col min="554" max="556" width="8.88671875" style="19"/>
    <col min="557" max="557" width="13.44140625" style="19" bestFit="1" customWidth="1"/>
    <col min="558" max="768" width="8.88671875" style="19"/>
    <col min="769" max="769" width="5.109375" style="19" customWidth="1"/>
    <col min="770" max="770" width="49.33203125" style="19" customWidth="1"/>
    <col min="771" max="802" width="15.77734375" style="19" customWidth="1"/>
    <col min="803" max="804" width="10.5546875" style="19" customWidth="1"/>
    <col min="805" max="805" width="11" style="19" customWidth="1"/>
    <col min="806" max="806" width="13.109375" style="19" bestFit="1" customWidth="1"/>
    <col min="807" max="807" width="27.21875" style="19" customWidth="1"/>
    <col min="808" max="808" width="14.44140625" style="19" bestFit="1" customWidth="1"/>
    <col min="809" max="809" width="11.77734375" style="19" bestFit="1" customWidth="1"/>
    <col min="810" max="812" width="8.88671875" style="19"/>
    <col min="813" max="813" width="13.44140625" style="19" bestFit="1" customWidth="1"/>
    <col min="814" max="1024" width="8.88671875" style="19"/>
    <col min="1025" max="1025" width="5.109375" style="19" customWidth="1"/>
    <col min="1026" max="1026" width="49.33203125" style="19" customWidth="1"/>
    <col min="1027" max="1058" width="15.77734375" style="19" customWidth="1"/>
    <col min="1059" max="1060" width="10.5546875" style="19" customWidth="1"/>
    <col min="1061" max="1061" width="11" style="19" customWidth="1"/>
    <col min="1062" max="1062" width="13.109375" style="19" bestFit="1" customWidth="1"/>
    <col min="1063" max="1063" width="27.21875" style="19" customWidth="1"/>
    <col min="1064" max="1064" width="14.44140625" style="19" bestFit="1" customWidth="1"/>
    <col min="1065" max="1065" width="11.77734375" style="19" bestFit="1" customWidth="1"/>
    <col min="1066" max="1068" width="8.88671875" style="19"/>
    <col min="1069" max="1069" width="13.44140625" style="19" bestFit="1" customWidth="1"/>
    <col min="1070" max="1280" width="8.88671875" style="19"/>
    <col min="1281" max="1281" width="5.109375" style="19" customWidth="1"/>
    <col min="1282" max="1282" width="49.33203125" style="19" customWidth="1"/>
    <col min="1283" max="1314" width="15.77734375" style="19" customWidth="1"/>
    <col min="1315" max="1316" width="10.5546875" style="19" customWidth="1"/>
    <col min="1317" max="1317" width="11" style="19" customWidth="1"/>
    <col min="1318" max="1318" width="13.109375" style="19" bestFit="1" customWidth="1"/>
    <col min="1319" max="1319" width="27.21875" style="19" customWidth="1"/>
    <col min="1320" max="1320" width="14.44140625" style="19" bestFit="1" customWidth="1"/>
    <col min="1321" max="1321" width="11.77734375" style="19" bestFit="1" customWidth="1"/>
    <col min="1322" max="1324" width="8.88671875" style="19"/>
    <col min="1325" max="1325" width="13.44140625" style="19" bestFit="1" customWidth="1"/>
    <col min="1326" max="1536" width="8.88671875" style="19"/>
    <col min="1537" max="1537" width="5.109375" style="19" customWidth="1"/>
    <col min="1538" max="1538" width="49.33203125" style="19" customWidth="1"/>
    <col min="1539" max="1570" width="15.77734375" style="19" customWidth="1"/>
    <col min="1571" max="1572" width="10.5546875" style="19" customWidth="1"/>
    <col min="1573" max="1573" width="11" style="19" customWidth="1"/>
    <col min="1574" max="1574" width="13.109375" style="19" bestFit="1" customWidth="1"/>
    <col min="1575" max="1575" width="27.21875" style="19" customWidth="1"/>
    <col min="1576" max="1576" width="14.44140625" style="19" bestFit="1" customWidth="1"/>
    <col min="1577" max="1577" width="11.77734375" style="19" bestFit="1" customWidth="1"/>
    <col min="1578" max="1580" width="8.88671875" style="19"/>
    <col min="1581" max="1581" width="13.44140625" style="19" bestFit="1" customWidth="1"/>
    <col min="1582" max="1792" width="8.88671875" style="19"/>
    <col min="1793" max="1793" width="5.109375" style="19" customWidth="1"/>
    <col min="1794" max="1794" width="49.33203125" style="19" customWidth="1"/>
    <col min="1795" max="1826" width="15.77734375" style="19" customWidth="1"/>
    <col min="1827" max="1828" width="10.5546875" style="19" customWidth="1"/>
    <col min="1829" max="1829" width="11" style="19" customWidth="1"/>
    <col min="1830" max="1830" width="13.109375" style="19" bestFit="1" customWidth="1"/>
    <col min="1831" max="1831" width="27.21875" style="19" customWidth="1"/>
    <col min="1832" max="1832" width="14.44140625" style="19" bestFit="1" customWidth="1"/>
    <col min="1833" max="1833" width="11.77734375" style="19" bestFit="1" customWidth="1"/>
    <col min="1834" max="1836" width="8.88671875" style="19"/>
    <col min="1837" max="1837" width="13.44140625" style="19" bestFit="1" customWidth="1"/>
    <col min="1838" max="2048" width="8.88671875" style="19"/>
    <col min="2049" max="2049" width="5.109375" style="19" customWidth="1"/>
    <col min="2050" max="2050" width="49.33203125" style="19" customWidth="1"/>
    <col min="2051" max="2082" width="15.77734375" style="19" customWidth="1"/>
    <col min="2083" max="2084" width="10.5546875" style="19" customWidth="1"/>
    <col min="2085" max="2085" width="11" style="19" customWidth="1"/>
    <col min="2086" max="2086" width="13.109375" style="19" bestFit="1" customWidth="1"/>
    <col min="2087" max="2087" width="27.21875" style="19" customWidth="1"/>
    <col min="2088" max="2088" width="14.44140625" style="19" bestFit="1" customWidth="1"/>
    <col min="2089" max="2089" width="11.77734375" style="19" bestFit="1" customWidth="1"/>
    <col min="2090" max="2092" width="8.88671875" style="19"/>
    <col min="2093" max="2093" width="13.44140625" style="19" bestFit="1" customWidth="1"/>
    <col min="2094" max="2304" width="8.88671875" style="19"/>
    <col min="2305" max="2305" width="5.109375" style="19" customWidth="1"/>
    <col min="2306" max="2306" width="49.33203125" style="19" customWidth="1"/>
    <col min="2307" max="2338" width="15.77734375" style="19" customWidth="1"/>
    <col min="2339" max="2340" width="10.5546875" style="19" customWidth="1"/>
    <col min="2341" max="2341" width="11" style="19" customWidth="1"/>
    <col min="2342" max="2342" width="13.109375" style="19" bestFit="1" customWidth="1"/>
    <col min="2343" max="2343" width="27.21875" style="19" customWidth="1"/>
    <col min="2344" max="2344" width="14.44140625" style="19" bestFit="1" customWidth="1"/>
    <col min="2345" max="2345" width="11.77734375" style="19" bestFit="1" customWidth="1"/>
    <col min="2346" max="2348" width="8.88671875" style="19"/>
    <col min="2349" max="2349" width="13.44140625" style="19" bestFit="1" customWidth="1"/>
    <col min="2350" max="2560" width="8.88671875" style="19"/>
    <col min="2561" max="2561" width="5.109375" style="19" customWidth="1"/>
    <col min="2562" max="2562" width="49.33203125" style="19" customWidth="1"/>
    <col min="2563" max="2594" width="15.77734375" style="19" customWidth="1"/>
    <col min="2595" max="2596" width="10.5546875" style="19" customWidth="1"/>
    <col min="2597" max="2597" width="11" style="19" customWidth="1"/>
    <col min="2598" max="2598" width="13.109375" style="19" bestFit="1" customWidth="1"/>
    <col min="2599" max="2599" width="27.21875" style="19" customWidth="1"/>
    <col min="2600" max="2600" width="14.44140625" style="19" bestFit="1" customWidth="1"/>
    <col min="2601" max="2601" width="11.77734375" style="19" bestFit="1" customWidth="1"/>
    <col min="2602" max="2604" width="8.88671875" style="19"/>
    <col min="2605" max="2605" width="13.44140625" style="19" bestFit="1" customWidth="1"/>
    <col min="2606" max="2816" width="8.88671875" style="19"/>
    <col min="2817" max="2817" width="5.109375" style="19" customWidth="1"/>
    <col min="2818" max="2818" width="49.33203125" style="19" customWidth="1"/>
    <col min="2819" max="2850" width="15.77734375" style="19" customWidth="1"/>
    <col min="2851" max="2852" width="10.5546875" style="19" customWidth="1"/>
    <col min="2853" max="2853" width="11" style="19" customWidth="1"/>
    <col min="2854" max="2854" width="13.109375" style="19" bestFit="1" customWidth="1"/>
    <col min="2855" max="2855" width="27.21875" style="19" customWidth="1"/>
    <col min="2856" max="2856" width="14.44140625" style="19" bestFit="1" customWidth="1"/>
    <col min="2857" max="2857" width="11.77734375" style="19" bestFit="1" customWidth="1"/>
    <col min="2858" max="2860" width="8.88671875" style="19"/>
    <col min="2861" max="2861" width="13.44140625" style="19" bestFit="1" customWidth="1"/>
    <col min="2862" max="3072" width="8.88671875" style="19"/>
    <col min="3073" max="3073" width="5.109375" style="19" customWidth="1"/>
    <col min="3074" max="3074" width="49.33203125" style="19" customWidth="1"/>
    <col min="3075" max="3106" width="15.77734375" style="19" customWidth="1"/>
    <col min="3107" max="3108" width="10.5546875" style="19" customWidth="1"/>
    <col min="3109" max="3109" width="11" style="19" customWidth="1"/>
    <col min="3110" max="3110" width="13.109375" style="19" bestFit="1" customWidth="1"/>
    <col min="3111" max="3111" width="27.21875" style="19" customWidth="1"/>
    <col min="3112" max="3112" width="14.44140625" style="19" bestFit="1" customWidth="1"/>
    <col min="3113" max="3113" width="11.77734375" style="19" bestFit="1" customWidth="1"/>
    <col min="3114" max="3116" width="8.88671875" style="19"/>
    <col min="3117" max="3117" width="13.44140625" style="19" bestFit="1" customWidth="1"/>
    <col min="3118" max="3328" width="8.88671875" style="19"/>
    <col min="3329" max="3329" width="5.109375" style="19" customWidth="1"/>
    <col min="3330" max="3330" width="49.33203125" style="19" customWidth="1"/>
    <col min="3331" max="3362" width="15.77734375" style="19" customWidth="1"/>
    <col min="3363" max="3364" width="10.5546875" style="19" customWidth="1"/>
    <col min="3365" max="3365" width="11" style="19" customWidth="1"/>
    <col min="3366" max="3366" width="13.109375" style="19" bestFit="1" customWidth="1"/>
    <col min="3367" max="3367" width="27.21875" style="19" customWidth="1"/>
    <col min="3368" max="3368" width="14.44140625" style="19" bestFit="1" customWidth="1"/>
    <col min="3369" max="3369" width="11.77734375" style="19" bestFit="1" customWidth="1"/>
    <col min="3370" max="3372" width="8.88671875" style="19"/>
    <col min="3373" max="3373" width="13.44140625" style="19" bestFit="1" customWidth="1"/>
    <col min="3374" max="3584" width="8.88671875" style="19"/>
    <col min="3585" max="3585" width="5.109375" style="19" customWidth="1"/>
    <col min="3586" max="3586" width="49.33203125" style="19" customWidth="1"/>
    <col min="3587" max="3618" width="15.77734375" style="19" customWidth="1"/>
    <col min="3619" max="3620" width="10.5546875" style="19" customWidth="1"/>
    <col min="3621" max="3621" width="11" style="19" customWidth="1"/>
    <col min="3622" max="3622" width="13.109375" style="19" bestFit="1" customWidth="1"/>
    <col min="3623" max="3623" width="27.21875" style="19" customWidth="1"/>
    <col min="3624" max="3624" width="14.44140625" style="19" bestFit="1" customWidth="1"/>
    <col min="3625" max="3625" width="11.77734375" style="19" bestFit="1" customWidth="1"/>
    <col min="3626" max="3628" width="8.88671875" style="19"/>
    <col min="3629" max="3629" width="13.44140625" style="19" bestFit="1" customWidth="1"/>
    <col min="3630" max="3840" width="8.88671875" style="19"/>
    <col min="3841" max="3841" width="5.109375" style="19" customWidth="1"/>
    <col min="3842" max="3842" width="49.33203125" style="19" customWidth="1"/>
    <col min="3843" max="3874" width="15.77734375" style="19" customWidth="1"/>
    <col min="3875" max="3876" width="10.5546875" style="19" customWidth="1"/>
    <col min="3877" max="3877" width="11" style="19" customWidth="1"/>
    <col min="3878" max="3878" width="13.109375" style="19" bestFit="1" customWidth="1"/>
    <col min="3879" max="3879" width="27.21875" style="19" customWidth="1"/>
    <col min="3880" max="3880" width="14.44140625" style="19" bestFit="1" customWidth="1"/>
    <col min="3881" max="3881" width="11.77734375" style="19" bestFit="1" customWidth="1"/>
    <col min="3882" max="3884" width="8.88671875" style="19"/>
    <col min="3885" max="3885" width="13.44140625" style="19" bestFit="1" customWidth="1"/>
    <col min="3886" max="4096" width="8.88671875" style="19"/>
    <col min="4097" max="4097" width="5.109375" style="19" customWidth="1"/>
    <col min="4098" max="4098" width="49.33203125" style="19" customWidth="1"/>
    <col min="4099" max="4130" width="15.77734375" style="19" customWidth="1"/>
    <col min="4131" max="4132" width="10.5546875" style="19" customWidth="1"/>
    <col min="4133" max="4133" width="11" style="19" customWidth="1"/>
    <col min="4134" max="4134" width="13.109375" style="19" bestFit="1" customWidth="1"/>
    <col min="4135" max="4135" width="27.21875" style="19" customWidth="1"/>
    <col min="4136" max="4136" width="14.44140625" style="19" bestFit="1" customWidth="1"/>
    <col min="4137" max="4137" width="11.77734375" style="19" bestFit="1" customWidth="1"/>
    <col min="4138" max="4140" width="8.88671875" style="19"/>
    <col min="4141" max="4141" width="13.44140625" style="19" bestFit="1" customWidth="1"/>
    <col min="4142" max="4352" width="8.88671875" style="19"/>
    <col min="4353" max="4353" width="5.109375" style="19" customWidth="1"/>
    <col min="4354" max="4354" width="49.33203125" style="19" customWidth="1"/>
    <col min="4355" max="4386" width="15.77734375" style="19" customWidth="1"/>
    <col min="4387" max="4388" width="10.5546875" style="19" customWidth="1"/>
    <col min="4389" max="4389" width="11" style="19" customWidth="1"/>
    <col min="4390" max="4390" width="13.109375" style="19" bestFit="1" customWidth="1"/>
    <col min="4391" max="4391" width="27.21875" style="19" customWidth="1"/>
    <col min="4392" max="4392" width="14.44140625" style="19" bestFit="1" customWidth="1"/>
    <col min="4393" max="4393" width="11.77734375" style="19" bestFit="1" customWidth="1"/>
    <col min="4394" max="4396" width="8.88671875" style="19"/>
    <col min="4397" max="4397" width="13.44140625" style="19" bestFit="1" customWidth="1"/>
    <col min="4398" max="4608" width="8.88671875" style="19"/>
    <col min="4609" max="4609" width="5.109375" style="19" customWidth="1"/>
    <col min="4610" max="4610" width="49.33203125" style="19" customWidth="1"/>
    <col min="4611" max="4642" width="15.77734375" style="19" customWidth="1"/>
    <col min="4643" max="4644" width="10.5546875" style="19" customWidth="1"/>
    <col min="4645" max="4645" width="11" style="19" customWidth="1"/>
    <col min="4646" max="4646" width="13.109375" style="19" bestFit="1" customWidth="1"/>
    <col min="4647" max="4647" width="27.21875" style="19" customWidth="1"/>
    <col min="4648" max="4648" width="14.44140625" style="19" bestFit="1" customWidth="1"/>
    <col min="4649" max="4649" width="11.77734375" style="19" bestFit="1" customWidth="1"/>
    <col min="4650" max="4652" width="8.88671875" style="19"/>
    <col min="4653" max="4653" width="13.44140625" style="19" bestFit="1" customWidth="1"/>
    <col min="4654" max="4864" width="8.88671875" style="19"/>
    <col min="4865" max="4865" width="5.109375" style="19" customWidth="1"/>
    <col min="4866" max="4866" width="49.33203125" style="19" customWidth="1"/>
    <col min="4867" max="4898" width="15.77734375" style="19" customWidth="1"/>
    <col min="4899" max="4900" width="10.5546875" style="19" customWidth="1"/>
    <col min="4901" max="4901" width="11" style="19" customWidth="1"/>
    <col min="4902" max="4902" width="13.109375" style="19" bestFit="1" customWidth="1"/>
    <col min="4903" max="4903" width="27.21875" style="19" customWidth="1"/>
    <col min="4904" max="4904" width="14.44140625" style="19" bestFit="1" customWidth="1"/>
    <col min="4905" max="4905" width="11.77734375" style="19" bestFit="1" customWidth="1"/>
    <col min="4906" max="4908" width="8.88671875" style="19"/>
    <col min="4909" max="4909" width="13.44140625" style="19" bestFit="1" customWidth="1"/>
    <col min="4910" max="5120" width="8.88671875" style="19"/>
    <col min="5121" max="5121" width="5.109375" style="19" customWidth="1"/>
    <col min="5122" max="5122" width="49.33203125" style="19" customWidth="1"/>
    <col min="5123" max="5154" width="15.77734375" style="19" customWidth="1"/>
    <col min="5155" max="5156" width="10.5546875" style="19" customWidth="1"/>
    <col min="5157" max="5157" width="11" style="19" customWidth="1"/>
    <col min="5158" max="5158" width="13.109375" style="19" bestFit="1" customWidth="1"/>
    <col min="5159" max="5159" width="27.21875" style="19" customWidth="1"/>
    <col min="5160" max="5160" width="14.44140625" style="19" bestFit="1" customWidth="1"/>
    <col min="5161" max="5161" width="11.77734375" style="19" bestFit="1" customWidth="1"/>
    <col min="5162" max="5164" width="8.88671875" style="19"/>
    <col min="5165" max="5165" width="13.44140625" style="19" bestFit="1" customWidth="1"/>
    <col min="5166" max="5376" width="8.88671875" style="19"/>
    <col min="5377" max="5377" width="5.109375" style="19" customWidth="1"/>
    <col min="5378" max="5378" width="49.33203125" style="19" customWidth="1"/>
    <col min="5379" max="5410" width="15.77734375" style="19" customWidth="1"/>
    <col min="5411" max="5412" width="10.5546875" style="19" customWidth="1"/>
    <col min="5413" max="5413" width="11" style="19" customWidth="1"/>
    <col min="5414" max="5414" width="13.109375" style="19" bestFit="1" customWidth="1"/>
    <col min="5415" max="5415" width="27.21875" style="19" customWidth="1"/>
    <col min="5416" max="5416" width="14.44140625" style="19" bestFit="1" customWidth="1"/>
    <col min="5417" max="5417" width="11.77734375" style="19" bestFit="1" customWidth="1"/>
    <col min="5418" max="5420" width="8.88671875" style="19"/>
    <col min="5421" max="5421" width="13.44140625" style="19" bestFit="1" customWidth="1"/>
    <col min="5422" max="5632" width="8.88671875" style="19"/>
    <col min="5633" max="5633" width="5.109375" style="19" customWidth="1"/>
    <col min="5634" max="5634" width="49.33203125" style="19" customWidth="1"/>
    <col min="5635" max="5666" width="15.77734375" style="19" customWidth="1"/>
    <col min="5667" max="5668" width="10.5546875" style="19" customWidth="1"/>
    <col min="5669" max="5669" width="11" style="19" customWidth="1"/>
    <col min="5670" max="5670" width="13.109375" style="19" bestFit="1" customWidth="1"/>
    <col min="5671" max="5671" width="27.21875" style="19" customWidth="1"/>
    <col min="5672" max="5672" width="14.44140625" style="19" bestFit="1" customWidth="1"/>
    <col min="5673" max="5673" width="11.77734375" style="19" bestFit="1" customWidth="1"/>
    <col min="5674" max="5676" width="8.88671875" style="19"/>
    <col min="5677" max="5677" width="13.44140625" style="19" bestFit="1" customWidth="1"/>
    <col min="5678" max="5888" width="8.88671875" style="19"/>
    <col min="5889" max="5889" width="5.109375" style="19" customWidth="1"/>
    <col min="5890" max="5890" width="49.33203125" style="19" customWidth="1"/>
    <col min="5891" max="5922" width="15.77734375" style="19" customWidth="1"/>
    <col min="5923" max="5924" width="10.5546875" style="19" customWidth="1"/>
    <col min="5925" max="5925" width="11" style="19" customWidth="1"/>
    <col min="5926" max="5926" width="13.109375" style="19" bestFit="1" customWidth="1"/>
    <col min="5927" max="5927" width="27.21875" style="19" customWidth="1"/>
    <col min="5928" max="5928" width="14.44140625" style="19" bestFit="1" customWidth="1"/>
    <col min="5929" max="5929" width="11.77734375" style="19" bestFit="1" customWidth="1"/>
    <col min="5930" max="5932" width="8.88671875" style="19"/>
    <col min="5933" max="5933" width="13.44140625" style="19" bestFit="1" customWidth="1"/>
    <col min="5934" max="6144" width="8.88671875" style="19"/>
    <col min="6145" max="6145" width="5.109375" style="19" customWidth="1"/>
    <col min="6146" max="6146" width="49.33203125" style="19" customWidth="1"/>
    <col min="6147" max="6178" width="15.77734375" style="19" customWidth="1"/>
    <col min="6179" max="6180" width="10.5546875" style="19" customWidth="1"/>
    <col min="6181" max="6181" width="11" style="19" customWidth="1"/>
    <col min="6182" max="6182" width="13.109375" style="19" bestFit="1" customWidth="1"/>
    <col min="6183" max="6183" width="27.21875" style="19" customWidth="1"/>
    <col min="6184" max="6184" width="14.44140625" style="19" bestFit="1" customWidth="1"/>
    <col min="6185" max="6185" width="11.77734375" style="19" bestFit="1" customWidth="1"/>
    <col min="6186" max="6188" width="8.88671875" style="19"/>
    <col min="6189" max="6189" width="13.44140625" style="19" bestFit="1" customWidth="1"/>
    <col min="6190" max="6400" width="8.88671875" style="19"/>
    <col min="6401" max="6401" width="5.109375" style="19" customWidth="1"/>
    <col min="6402" max="6402" width="49.33203125" style="19" customWidth="1"/>
    <col min="6403" max="6434" width="15.77734375" style="19" customWidth="1"/>
    <col min="6435" max="6436" width="10.5546875" style="19" customWidth="1"/>
    <col min="6437" max="6437" width="11" style="19" customWidth="1"/>
    <col min="6438" max="6438" width="13.109375" style="19" bestFit="1" customWidth="1"/>
    <col min="6439" max="6439" width="27.21875" style="19" customWidth="1"/>
    <col min="6440" max="6440" width="14.44140625" style="19" bestFit="1" customWidth="1"/>
    <col min="6441" max="6441" width="11.77734375" style="19" bestFit="1" customWidth="1"/>
    <col min="6442" max="6444" width="8.88671875" style="19"/>
    <col min="6445" max="6445" width="13.44140625" style="19" bestFit="1" customWidth="1"/>
    <col min="6446" max="6656" width="8.88671875" style="19"/>
    <col min="6657" max="6657" width="5.109375" style="19" customWidth="1"/>
    <col min="6658" max="6658" width="49.33203125" style="19" customWidth="1"/>
    <col min="6659" max="6690" width="15.77734375" style="19" customWidth="1"/>
    <col min="6691" max="6692" width="10.5546875" style="19" customWidth="1"/>
    <col min="6693" max="6693" width="11" style="19" customWidth="1"/>
    <col min="6694" max="6694" width="13.109375" style="19" bestFit="1" customWidth="1"/>
    <col min="6695" max="6695" width="27.21875" style="19" customWidth="1"/>
    <col min="6696" max="6696" width="14.44140625" style="19" bestFit="1" customWidth="1"/>
    <col min="6697" max="6697" width="11.77734375" style="19" bestFit="1" customWidth="1"/>
    <col min="6698" max="6700" width="8.88671875" style="19"/>
    <col min="6701" max="6701" width="13.44140625" style="19" bestFit="1" customWidth="1"/>
    <col min="6702" max="6912" width="8.88671875" style="19"/>
    <col min="6913" max="6913" width="5.109375" style="19" customWidth="1"/>
    <col min="6914" max="6914" width="49.33203125" style="19" customWidth="1"/>
    <col min="6915" max="6946" width="15.77734375" style="19" customWidth="1"/>
    <col min="6947" max="6948" width="10.5546875" style="19" customWidth="1"/>
    <col min="6949" max="6949" width="11" style="19" customWidth="1"/>
    <col min="6950" max="6950" width="13.109375" style="19" bestFit="1" customWidth="1"/>
    <col min="6951" max="6951" width="27.21875" style="19" customWidth="1"/>
    <col min="6952" max="6952" width="14.44140625" style="19" bestFit="1" customWidth="1"/>
    <col min="6953" max="6953" width="11.77734375" style="19" bestFit="1" customWidth="1"/>
    <col min="6954" max="6956" width="8.88671875" style="19"/>
    <col min="6957" max="6957" width="13.44140625" style="19" bestFit="1" customWidth="1"/>
    <col min="6958" max="7168" width="8.88671875" style="19"/>
    <col min="7169" max="7169" width="5.109375" style="19" customWidth="1"/>
    <col min="7170" max="7170" width="49.33203125" style="19" customWidth="1"/>
    <col min="7171" max="7202" width="15.77734375" style="19" customWidth="1"/>
    <col min="7203" max="7204" width="10.5546875" style="19" customWidth="1"/>
    <col min="7205" max="7205" width="11" style="19" customWidth="1"/>
    <col min="7206" max="7206" width="13.109375" style="19" bestFit="1" customWidth="1"/>
    <col min="7207" max="7207" width="27.21875" style="19" customWidth="1"/>
    <col min="7208" max="7208" width="14.44140625" style="19" bestFit="1" customWidth="1"/>
    <col min="7209" max="7209" width="11.77734375" style="19" bestFit="1" customWidth="1"/>
    <col min="7210" max="7212" width="8.88671875" style="19"/>
    <col min="7213" max="7213" width="13.44140625" style="19" bestFit="1" customWidth="1"/>
    <col min="7214" max="7424" width="8.88671875" style="19"/>
    <col min="7425" max="7425" width="5.109375" style="19" customWidth="1"/>
    <col min="7426" max="7426" width="49.33203125" style="19" customWidth="1"/>
    <col min="7427" max="7458" width="15.77734375" style="19" customWidth="1"/>
    <col min="7459" max="7460" width="10.5546875" style="19" customWidth="1"/>
    <col min="7461" max="7461" width="11" style="19" customWidth="1"/>
    <col min="7462" max="7462" width="13.109375" style="19" bestFit="1" customWidth="1"/>
    <col min="7463" max="7463" width="27.21875" style="19" customWidth="1"/>
    <col min="7464" max="7464" width="14.44140625" style="19" bestFit="1" customWidth="1"/>
    <col min="7465" max="7465" width="11.77734375" style="19" bestFit="1" customWidth="1"/>
    <col min="7466" max="7468" width="8.88671875" style="19"/>
    <col min="7469" max="7469" width="13.44140625" style="19" bestFit="1" customWidth="1"/>
    <col min="7470" max="7680" width="8.88671875" style="19"/>
    <col min="7681" max="7681" width="5.109375" style="19" customWidth="1"/>
    <col min="7682" max="7682" width="49.33203125" style="19" customWidth="1"/>
    <col min="7683" max="7714" width="15.77734375" style="19" customWidth="1"/>
    <col min="7715" max="7716" width="10.5546875" style="19" customWidth="1"/>
    <col min="7717" max="7717" width="11" style="19" customWidth="1"/>
    <col min="7718" max="7718" width="13.109375" style="19" bestFit="1" customWidth="1"/>
    <col min="7719" max="7719" width="27.21875" style="19" customWidth="1"/>
    <col min="7720" max="7720" width="14.44140625" style="19" bestFit="1" customWidth="1"/>
    <col min="7721" max="7721" width="11.77734375" style="19" bestFit="1" customWidth="1"/>
    <col min="7722" max="7724" width="8.88671875" style="19"/>
    <col min="7725" max="7725" width="13.44140625" style="19" bestFit="1" customWidth="1"/>
    <col min="7726" max="7936" width="8.88671875" style="19"/>
    <col min="7937" max="7937" width="5.109375" style="19" customWidth="1"/>
    <col min="7938" max="7938" width="49.33203125" style="19" customWidth="1"/>
    <col min="7939" max="7970" width="15.77734375" style="19" customWidth="1"/>
    <col min="7971" max="7972" width="10.5546875" style="19" customWidth="1"/>
    <col min="7973" max="7973" width="11" style="19" customWidth="1"/>
    <col min="7974" max="7974" width="13.109375" style="19" bestFit="1" customWidth="1"/>
    <col min="7975" max="7975" width="27.21875" style="19" customWidth="1"/>
    <col min="7976" max="7976" width="14.44140625" style="19" bestFit="1" customWidth="1"/>
    <col min="7977" max="7977" width="11.77734375" style="19" bestFit="1" customWidth="1"/>
    <col min="7978" max="7980" width="8.88671875" style="19"/>
    <col min="7981" max="7981" width="13.44140625" style="19" bestFit="1" customWidth="1"/>
    <col min="7982" max="8192" width="8.88671875" style="19"/>
    <col min="8193" max="8193" width="5.109375" style="19" customWidth="1"/>
    <col min="8194" max="8194" width="49.33203125" style="19" customWidth="1"/>
    <col min="8195" max="8226" width="15.77734375" style="19" customWidth="1"/>
    <col min="8227" max="8228" width="10.5546875" style="19" customWidth="1"/>
    <col min="8229" max="8229" width="11" style="19" customWidth="1"/>
    <col min="8230" max="8230" width="13.109375" style="19" bestFit="1" customWidth="1"/>
    <col min="8231" max="8231" width="27.21875" style="19" customWidth="1"/>
    <col min="8232" max="8232" width="14.44140625" style="19" bestFit="1" customWidth="1"/>
    <col min="8233" max="8233" width="11.77734375" style="19" bestFit="1" customWidth="1"/>
    <col min="8234" max="8236" width="8.88671875" style="19"/>
    <col min="8237" max="8237" width="13.44140625" style="19" bestFit="1" customWidth="1"/>
    <col min="8238" max="8448" width="8.88671875" style="19"/>
    <col min="8449" max="8449" width="5.109375" style="19" customWidth="1"/>
    <col min="8450" max="8450" width="49.33203125" style="19" customWidth="1"/>
    <col min="8451" max="8482" width="15.77734375" style="19" customWidth="1"/>
    <col min="8483" max="8484" width="10.5546875" style="19" customWidth="1"/>
    <col min="8485" max="8485" width="11" style="19" customWidth="1"/>
    <col min="8486" max="8486" width="13.109375" style="19" bestFit="1" customWidth="1"/>
    <col min="8487" max="8487" width="27.21875" style="19" customWidth="1"/>
    <col min="8488" max="8488" width="14.44140625" style="19" bestFit="1" customWidth="1"/>
    <col min="8489" max="8489" width="11.77734375" style="19" bestFit="1" customWidth="1"/>
    <col min="8490" max="8492" width="8.88671875" style="19"/>
    <col min="8493" max="8493" width="13.44140625" style="19" bestFit="1" customWidth="1"/>
    <col min="8494" max="8704" width="8.88671875" style="19"/>
    <col min="8705" max="8705" width="5.109375" style="19" customWidth="1"/>
    <col min="8706" max="8706" width="49.33203125" style="19" customWidth="1"/>
    <col min="8707" max="8738" width="15.77734375" style="19" customWidth="1"/>
    <col min="8739" max="8740" width="10.5546875" style="19" customWidth="1"/>
    <col min="8741" max="8741" width="11" style="19" customWidth="1"/>
    <col min="8742" max="8742" width="13.109375" style="19" bestFit="1" customWidth="1"/>
    <col min="8743" max="8743" width="27.21875" style="19" customWidth="1"/>
    <col min="8744" max="8744" width="14.44140625" style="19" bestFit="1" customWidth="1"/>
    <col min="8745" max="8745" width="11.77734375" style="19" bestFit="1" customWidth="1"/>
    <col min="8746" max="8748" width="8.88671875" style="19"/>
    <col min="8749" max="8749" width="13.44140625" style="19" bestFit="1" customWidth="1"/>
    <col min="8750" max="8960" width="8.88671875" style="19"/>
    <col min="8961" max="8961" width="5.109375" style="19" customWidth="1"/>
    <col min="8962" max="8962" width="49.33203125" style="19" customWidth="1"/>
    <col min="8963" max="8994" width="15.77734375" style="19" customWidth="1"/>
    <col min="8995" max="8996" width="10.5546875" style="19" customWidth="1"/>
    <col min="8997" max="8997" width="11" style="19" customWidth="1"/>
    <col min="8998" max="8998" width="13.109375" style="19" bestFit="1" customWidth="1"/>
    <col min="8999" max="8999" width="27.21875" style="19" customWidth="1"/>
    <col min="9000" max="9000" width="14.44140625" style="19" bestFit="1" customWidth="1"/>
    <col min="9001" max="9001" width="11.77734375" style="19" bestFit="1" customWidth="1"/>
    <col min="9002" max="9004" width="8.88671875" style="19"/>
    <col min="9005" max="9005" width="13.44140625" style="19" bestFit="1" customWidth="1"/>
    <col min="9006" max="9216" width="8.88671875" style="19"/>
    <col min="9217" max="9217" width="5.109375" style="19" customWidth="1"/>
    <col min="9218" max="9218" width="49.33203125" style="19" customWidth="1"/>
    <col min="9219" max="9250" width="15.77734375" style="19" customWidth="1"/>
    <col min="9251" max="9252" width="10.5546875" style="19" customWidth="1"/>
    <col min="9253" max="9253" width="11" style="19" customWidth="1"/>
    <col min="9254" max="9254" width="13.109375" style="19" bestFit="1" customWidth="1"/>
    <col min="9255" max="9255" width="27.21875" style="19" customWidth="1"/>
    <col min="9256" max="9256" width="14.44140625" style="19" bestFit="1" customWidth="1"/>
    <col min="9257" max="9257" width="11.77734375" style="19" bestFit="1" customWidth="1"/>
    <col min="9258" max="9260" width="8.88671875" style="19"/>
    <col min="9261" max="9261" width="13.44140625" style="19" bestFit="1" customWidth="1"/>
    <col min="9262" max="9472" width="8.88671875" style="19"/>
    <col min="9473" max="9473" width="5.109375" style="19" customWidth="1"/>
    <col min="9474" max="9474" width="49.33203125" style="19" customWidth="1"/>
    <col min="9475" max="9506" width="15.77734375" style="19" customWidth="1"/>
    <col min="9507" max="9508" width="10.5546875" style="19" customWidth="1"/>
    <col min="9509" max="9509" width="11" style="19" customWidth="1"/>
    <col min="9510" max="9510" width="13.109375" style="19" bestFit="1" customWidth="1"/>
    <col min="9511" max="9511" width="27.21875" style="19" customWidth="1"/>
    <col min="9512" max="9512" width="14.44140625" style="19" bestFit="1" customWidth="1"/>
    <col min="9513" max="9513" width="11.77734375" style="19" bestFit="1" customWidth="1"/>
    <col min="9514" max="9516" width="8.88671875" style="19"/>
    <col min="9517" max="9517" width="13.44140625" style="19" bestFit="1" customWidth="1"/>
    <col min="9518" max="9728" width="8.88671875" style="19"/>
    <col min="9729" max="9729" width="5.109375" style="19" customWidth="1"/>
    <col min="9730" max="9730" width="49.33203125" style="19" customWidth="1"/>
    <col min="9731" max="9762" width="15.77734375" style="19" customWidth="1"/>
    <col min="9763" max="9764" width="10.5546875" style="19" customWidth="1"/>
    <col min="9765" max="9765" width="11" style="19" customWidth="1"/>
    <col min="9766" max="9766" width="13.109375" style="19" bestFit="1" customWidth="1"/>
    <col min="9767" max="9767" width="27.21875" style="19" customWidth="1"/>
    <col min="9768" max="9768" width="14.44140625" style="19" bestFit="1" customWidth="1"/>
    <col min="9769" max="9769" width="11.77734375" style="19" bestFit="1" customWidth="1"/>
    <col min="9770" max="9772" width="8.88671875" style="19"/>
    <col min="9773" max="9773" width="13.44140625" style="19" bestFit="1" customWidth="1"/>
    <col min="9774" max="9984" width="8.88671875" style="19"/>
    <col min="9985" max="9985" width="5.109375" style="19" customWidth="1"/>
    <col min="9986" max="9986" width="49.33203125" style="19" customWidth="1"/>
    <col min="9987" max="10018" width="15.77734375" style="19" customWidth="1"/>
    <col min="10019" max="10020" width="10.5546875" style="19" customWidth="1"/>
    <col min="10021" max="10021" width="11" style="19" customWidth="1"/>
    <col min="10022" max="10022" width="13.109375" style="19" bestFit="1" customWidth="1"/>
    <col min="10023" max="10023" width="27.21875" style="19" customWidth="1"/>
    <col min="10024" max="10024" width="14.44140625" style="19" bestFit="1" customWidth="1"/>
    <col min="10025" max="10025" width="11.77734375" style="19" bestFit="1" customWidth="1"/>
    <col min="10026" max="10028" width="8.88671875" style="19"/>
    <col min="10029" max="10029" width="13.44140625" style="19" bestFit="1" customWidth="1"/>
    <col min="10030" max="10240" width="8.88671875" style="19"/>
    <col min="10241" max="10241" width="5.109375" style="19" customWidth="1"/>
    <col min="10242" max="10242" width="49.33203125" style="19" customWidth="1"/>
    <col min="10243" max="10274" width="15.77734375" style="19" customWidth="1"/>
    <col min="10275" max="10276" width="10.5546875" style="19" customWidth="1"/>
    <col min="10277" max="10277" width="11" style="19" customWidth="1"/>
    <col min="10278" max="10278" width="13.109375" style="19" bestFit="1" customWidth="1"/>
    <col min="10279" max="10279" width="27.21875" style="19" customWidth="1"/>
    <col min="10280" max="10280" width="14.44140625" style="19" bestFit="1" customWidth="1"/>
    <col min="10281" max="10281" width="11.77734375" style="19" bestFit="1" customWidth="1"/>
    <col min="10282" max="10284" width="8.88671875" style="19"/>
    <col min="10285" max="10285" width="13.44140625" style="19" bestFit="1" customWidth="1"/>
    <col min="10286" max="10496" width="8.88671875" style="19"/>
    <col min="10497" max="10497" width="5.109375" style="19" customWidth="1"/>
    <col min="10498" max="10498" width="49.33203125" style="19" customWidth="1"/>
    <col min="10499" max="10530" width="15.77734375" style="19" customWidth="1"/>
    <col min="10531" max="10532" width="10.5546875" style="19" customWidth="1"/>
    <col min="10533" max="10533" width="11" style="19" customWidth="1"/>
    <col min="10534" max="10534" width="13.109375" style="19" bestFit="1" customWidth="1"/>
    <col min="10535" max="10535" width="27.21875" style="19" customWidth="1"/>
    <col min="10536" max="10536" width="14.44140625" style="19" bestFit="1" customWidth="1"/>
    <col min="10537" max="10537" width="11.77734375" style="19" bestFit="1" customWidth="1"/>
    <col min="10538" max="10540" width="8.88671875" style="19"/>
    <col min="10541" max="10541" width="13.44140625" style="19" bestFit="1" customWidth="1"/>
    <col min="10542" max="10752" width="8.88671875" style="19"/>
    <col min="10753" max="10753" width="5.109375" style="19" customWidth="1"/>
    <col min="10754" max="10754" width="49.33203125" style="19" customWidth="1"/>
    <col min="10755" max="10786" width="15.77734375" style="19" customWidth="1"/>
    <col min="10787" max="10788" width="10.5546875" style="19" customWidth="1"/>
    <col min="10789" max="10789" width="11" style="19" customWidth="1"/>
    <col min="10790" max="10790" width="13.109375" style="19" bestFit="1" customWidth="1"/>
    <col min="10791" max="10791" width="27.21875" style="19" customWidth="1"/>
    <col min="10792" max="10792" width="14.44140625" style="19" bestFit="1" customWidth="1"/>
    <col min="10793" max="10793" width="11.77734375" style="19" bestFit="1" customWidth="1"/>
    <col min="10794" max="10796" width="8.88671875" style="19"/>
    <col min="10797" max="10797" width="13.44140625" style="19" bestFit="1" customWidth="1"/>
    <col min="10798" max="11008" width="8.88671875" style="19"/>
    <col min="11009" max="11009" width="5.109375" style="19" customWidth="1"/>
    <col min="11010" max="11010" width="49.33203125" style="19" customWidth="1"/>
    <col min="11011" max="11042" width="15.77734375" style="19" customWidth="1"/>
    <col min="11043" max="11044" width="10.5546875" style="19" customWidth="1"/>
    <col min="11045" max="11045" width="11" style="19" customWidth="1"/>
    <col min="11046" max="11046" width="13.109375" style="19" bestFit="1" customWidth="1"/>
    <col min="11047" max="11047" width="27.21875" style="19" customWidth="1"/>
    <col min="11048" max="11048" width="14.44140625" style="19" bestFit="1" customWidth="1"/>
    <col min="11049" max="11049" width="11.77734375" style="19" bestFit="1" customWidth="1"/>
    <col min="11050" max="11052" width="8.88671875" style="19"/>
    <col min="11053" max="11053" width="13.44140625" style="19" bestFit="1" customWidth="1"/>
    <col min="11054" max="11264" width="8.88671875" style="19"/>
    <col min="11265" max="11265" width="5.109375" style="19" customWidth="1"/>
    <col min="11266" max="11266" width="49.33203125" style="19" customWidth="1"/>
    <col min="11267" max="11298" width="15.77734375" style="19" customWidth="1"/>
    <col min="11299" max="11300" width="10.5546875" style="19" customWidth="1"/>
    <col min="11301" max="11301" width="11" style="19" customWidth="1"/>
    <col min="11302" max="11302" width="13.109375" style="19" bestFit="1" customWidth="1"/>
    <col min="11303" max="11303" width="27.21875" style="19" customWidth="1"/>
    <col min="11304" max="11304" width="14.44140625" style="19" bestFit="1" customWidth="1"/>
    <col min="11305" max="11305" width="11.77734375" style="19" bestFit="1" customWidth="1"/>
    <col min="11306" max="11308" width="8.88671875" style="19"/>
    <col min="11309" max="11309" width="13.44140625" style="19" bestFit="1" customWidth="1"/>
    <col min="11310" max="11520" width="8.88671875" style="19"/>
    <col min="11521" max="11521" width="5.109375" style="19" customWidth="1"/>
    <col min="11522" max="11522" width="49.33203125" style="19" customWidth="1"/>
    <col min="11523" max="11554" width="15.77734375" style="19" customWidth="1"/>
    <col min="11555" max="11556" width="10.5546875" style="19" customWidth="1"/>
    <col min="11557" max="11557" width="11" style="19" customWidth="1"/>
    <col min="11558" max="11558" width="13.109375" style="19" bestFit="1" customWidth="1"/>
    <col min="11559" max="11559" width="27.21875" style="19" customWidth="1"/>
    <col min="11560" max="11560" width="14.44140625" style="19" bestFit="1" customWidth="1"/>
    <col min="11561" max="11561" width="11.77734375" style="19" bestFit="1" customWidth="1"/>
    <col min="11562" max="11564" width="8.88671875" style="19"/>
    <col min="11565" max="11565" width="13.44140625" style="19" bestFit="1" customWidth="1"/>
    <col min="11566" max="11776" width="8.88671875" style="19"/>
    <col min="11777" max="11777" width="5.109375" style="19" customWidth="1"/>
    <col min="11778" max="11778" width="49.33203125" style="19" customWidth="1"/>
    <col min="11779" max="11810" width="15.77734375" style="19" customWidth="1"/>
    <col min="11811" max="11812" width="10.5546875" style="19" customWidth="1"/>
    <col min="11813" max="11813" width="11" style="19" customWidth="1"/>
    <col min="11814" max="11814" width="13.109375" style="19" bestFit="1" customWidth="1"/>
    <col min="11815" max="11815" width="27.21875" style="19" customWidth="1"/>
    <col min="11816" max="11816" width="14.44140625" style="19" bestFit="1" customWidth="1"/>
    <col min="11817" max="11817" width="11.77734375" style="19" bestFit="1" customWidth="1"/>
    <col min="11818" max="11820" width="8.88671875" style="19"/>
    <col min="11821" max="11821" width="13.44140625" style="19" bestFit="1" customWidth="1"/>
    <col min="11822" max="12032" width="8.88671875" style="19"/>
    <col min="12033" max="12033" width="5.109375" style="19" customWidth="1"/>
    <col min="12034" max="12034" width="49.33203125" style="19" customWidth="1"/>
    <col min="12035" max="12066" width="15.77734375" style="19" customWidth="1"/>
    <col min="12067" max="12068" width="10.5546875" style="19" customWidth="1"/>
    <col min="12069" max="12069" width="11" style="19" customWidth="1"/>
    <col min="12070" max="12070" width="13.109375" style="19" bestFit="1" customWidth="1"/>
    <col min="12071" max="12071" width="27.21875" style="19" customWidth="1"/>
    <col min="12072" max="12072" width="14.44140625" style="19" bestFit="1" customWidth="1"/>
    <col min="12073" max="12073" width="11.77734375" style="19" bestFit="1" customWidth="1"/>
    <col min="12074" max="12076" width="8.88671875" style="19"/>
    <col min="12077" max="12077" width="13.44140625" style="19" bestFit="1" customWidth="1"/>
    <col min="12078" max="12288" width="8.88671875" style="19"/>
    <col min="12289" max="12289" width="5.109375" style="19" customWidth="1"/>
    <col min="12290" max="12290" width="49.33203125" style="19" customWidth="1"/>
    <col min="12291" max="12322" width="15.77734375" style="19" customWidth="1"/>
    <col min="12323" max="12324" width="10.5546875" style="19" customWidth="1"/>
    <col min="12325" max="12325" width="11" style="19" customWidth="1"/>
    <col min="12326" max="12326" width="13.109375" style="19" bestFit="1" customWidth="1"/>
    <col min="12327" max="12327" width="27.21875" style="19" customWidth="1"/>
    <col min="12328" max="12328" width="14.44140625" style="19" bestFit="1" customWidth="1"/>
    <col min="12329" max="12329" width="11.77734375" style="19" bestFit="1" customWidth="1"/>
    <col min="12330" max="12332" width="8.88671875" style="19"/>
    <col min="12333" max="12333" width="13.44140625" style="19" bestFit="1" customWidth="1"/>
    <col min="12334" max="12544" width="8.88671875" style="19"/>
    <col min="12545" max="12545" width="5.109375" style="19" customWidth="1"/>
    <col min="12546" max="12546" width="49.33203125" style="19" customWidth="1"/>
    <col min="12547" max="12578" width="15.77734375" style="19" customWidth="1"/>
    <col min="12579" max="12580" width="10.5546875" style="19" customWidth="1"/>
    <col min="12581" max="12581" width="11" style="19" customWidth="1"/>
    <col min="12582" max="12582" width="13.109375" style="19" bestFit="1" customWidth="1"/>
    <col min="12583" max="12583" width="27.21875" style="19" customWidth="1"/>
    <col min="12584" max="12584" width="14.44140625" style="19" bestFit="1" customWidth="1"/>
    <col min="12585" max="12585" width="11.77734375" style="19" bestFit="1" customWidth="1"/>
    <col min="12586" max="12588" width="8.88671875" style="19"/>
    <col min="12589" max="12589" width="13.44140625" style="19" bestFit="1" customWidth="1"/>
    <col min="12590" max="12800" width="8.88671875" style="19"/>
    <col min="12801" max="12801" width="5.109375" style="19" customWidth="1"/>
    <col min="12802" max="12802" width="49.33203125" style="19" customWidth="1"/>
    <col min="12803" max="12834" width="15.77734375" style="19" customWidth="1"/>
    <col min="12835" max="12836" width="10.5546875" style="19" customWidth="1"/>
    <col min="12837" max="12837" width="11" style="19" customWidth="1"/>
    <col min="12838" max="12838" width="13.109375" style="19" bestFit="1" customWidth="1"/>
    <col min="12839" max="12839" width="27.21875" style="19" customWidth="1"/>
    <col min="12840" max="12840" width="14.44140625" style="19" bestFit="1" customWidth="1"/>
    <col min="12841" max="12841" width="11.77734375" style="19" bestFit="1" customWidth="1"/>
    <col min="12842" max="12844" width="8.88671875" style="19"/>
    <col min="12845" max="12845" width="13.44140625" style="19" bestFit="1" customWidth="1"/>
    <col min="12846" max="13056" width="8.88671875" style="19"/>
    <col min="13057" max="13057" width="5.109375" style="19" customWidth="1"/>
    <col min="13058" max="13058" width="49.33203125" style="19" customWidth="1"/>
    <col min="13059" max="13090" width="15.77734375" style="19" customWidth="1"/>
    <col min="13091" max="13092" width="10.5546875" style="19" customWidth="1"/>
    <col min="13093" max="13093" width="11" style="19" customWidth="1"/>
    <col min="13094" max="13094" width="13.109375" style="19" bestFit="1" customWidth="1"/>
    <col min="13095" max="13095" width="27.21875" style="19" customWidth="1"/>
    <col min="13096" max="13096" width="14.44140625" style="19" bestFit="1" customWidth="1"/>
    <col min="13097" max="13097" width="11.77734375" style="19" bestFit="1" customWidth="1"/>
    <col min="13098" max="13100" width="8.88671875" style="19"/>
    <col min="13101" max="13101" width="13.44140625" style="19" bestFit="1" customWidth="1"/>
    <col min="13102" max="13312" width="8.88671875" style="19"/>
    <col min="13313" max="13313" width="5.109375" style="19" customWidth="1"/>
    <col min="13314" max="13314" width="49.33203125" style="19" customWidth="1"/>
    <col min="13315" max="13346" width="15.77734375" style="19" customWidth="1"/>
    <col min="13347" max="13348" width="10.5546875" style="19" customWidth="1"/>
    <col min="13349" max="13349" width="11" style="19" customWidth="1"/>
    <col min="13350" max="13350" width="13.109375" style="19" bestFit="1" customWidth="1"/>
    <col min="13351" max="13351" width="27.21875" style="19" customWidth="1"/>
    <col min="13352" max="13352" width="14.44140625" style="19" bestFit="1" customWidth="1"/>
    <col min="13353" max="13353" width="11.77734375" style="19" bestFit="1" customWidth="1"/>
    <col min="13354" max="13356" width="8.88671875" style="19"/>
    <col min="13357" max="13357" width="13.44140625" style="19" bestFit="1" customWidth="1"/>
    <col min="13358" max="13568" width="8.88671875" style="19"/>
    <col min="13569" max="13569" width="5.109375" style="19" customWidth="1"/>
    <col min="13570" max="13570" width="49.33203125" style="19" customWidth="1"/>
    <col min="13571" max="13602" width="15.77734375" style="19" customWidth="1"/>
    <col min="13603" max="13604" width="10.5546875" style="19" customWidth="1"/>
    <col min="13605" max="13605" width="11" style="19" customWidth="1"/>
    <col min="13606" max="13606" width="13.109375" style="19" bestFit="1" customWidth="1"/>
    <col min="13607" max="13607" width="27.21875" style="19" customWidth="1"/>
    <col min="13608" max="13608" width="14.44140625" style="19" bestFit="1" customWidth="1"/>
    <col min="13609" max="13609" width="11.77734375" style="19" bestFit="1" customWidth="1"/>
    <col min="13610" max="13612" width="8.88671875" style="19"/>
    <col min="13613" max="13613" width="13.44140625" style="19" bestFit="1" customWidth="1"/>
    <col min="13614" max="13824" width="8.88671875" style="19"/>
    <col min="13825" max="13825" width="5.109375" style="19" customWidth="1"/>
    <col min="13826" max="13826" width="49.33203125" style="19" customWidth="1"/>
    <col min="13827" max="13858" width="15.77734375" style="19" customWidth="1"/>
    <col min="13859" max="13860" width="10.5546875" style="19" customWidth="1"/>
    <col min="13861" max="13861" width="11" style="19" customWidth="1"/>
    <col min="13862" max="13862" width="13.109375" style="19" bestFit="1" customWidth="1"/>
    <col min="13863" max="13863" width="27.21875" style="19" customWidth="1"/>
    <col min="13864" max="13864" width="14.44140625" style="19" bestFit="1" customWidth="1"/>
    <col min="13865" max="13865" width="11.77734375" style="19" bestFit="1" customWidth="1"/>
    <col min="13866" max="13868" width="8.88671875" style="19"/>
    <col min="13869" max="13869" width="13.44140625" style="19" bestFit="1" customWidth="1"/>
    <col min="13870" max="14080" width="8.88671875" style="19"/>
    <col min="14081" max="14081" width="5.109375" style="19" customWidth="1"/>
    <col min="14082" max="14082" width="49.33203125" style="19" customWidth="1"/>
    <col min="14083" max="14114" width="15.77734375" style="19" customWidth="1"/>
    <col min="14115" max="14116" width="10.5546875" style="19" customWidth="1"/>
    <col min="14117" max="14117" width="11" style="19" customWidth="1"/>
    <col min="14118" max="14118" width="13.109375" style="19" bestFit="1" customWidth="1"/>
    <col min="14119" max="14119" width="27.21875" style="19" customWidth="1"/>
    <col min="14120" max="14120" width="14.44140625" style="19" bestFit="1" customWidth="1"/>
    <col min="14121" max="14121" width="11.77734375" style="19" bestFit="1" customWidth="1"/>
    <col min="14122" max="14124" width="8.88671875" style="19"/>
    <col min="14125" max="14125" width="13.44140625" style="19" bestFit="1" customWidth="1"/>
    <col min="14126" max="14336" width="8.88671875" style="19"/>
    <col min="14337" max="14337" width="5.109375" style="19" customWidth="1"/>
    <col min="14338" max="14338" width="49.33203125" style="19" customWidth="1"/>
    <col min="14339" max="14370" width="15.77734375" style="19" customWidth="1"/>
    <col min="14371" max="14372" width="10.5546875" style="19" customWidth="1"/>
    <col min="14373" max="14373" width="11" style="19" customWidth="1"/>
    <col min="14374" max="14374" width="13.109375" style="19" bestFit="1" customWidth="1"/>
    <col min="14375" max="14375" width="27.21875" style="19" customWidth="1"/>
    <col min="14376" max="14376" width="14.44140625" style="19" bestFit="1" customWidth="1"/>
    <col min="14377" max="14377" width="11.77734375" style="19" bestFit="1" customWidth="1"/>
    <col min="14378" max="14380" width="8.88671875" style="19"/>
    <col min="14381" max="14381" width="13.44140625" style="19" bestFit="1" customWidth="1"/>
    <col min="14382" max="14592" width="8.88671875" style="19"/>
    <col min="14593" max="14593" width="5.109375" style="19" customWidth="1"/>
    <col min="14594" max="14594" width="49.33203125" style="19" customWidth="1"/>
    <col min="14595" max="14626" width="15.77734375" style="19" customWidth="1"/>
    <col min="14627" max="14628" width="10.5546875" style="19" customWidth="1"/>
    <col min="14629" max="14629" width="11" style="19" customWidth="1"/>
    <col min="14630" max="14630" width="13.109375" style="19" bestFit="1" customWidth="1"/>
    <col min="14631" max="14631" width="27.21875" style="19" customWidth="1"/>
    <col min="14632" max="14632" width="14.44140625" style="19" bestFit="1" customWidth="1"/>
    <col min="14633" max="14633" width="11.77734375" style="19" bestFit="1" customWidth="1"/>
    <col min="14634" max="14636" width="8.88671875" style="19"/>
    <col min="14637" max="14637" width="13.44140625" style="19" bestFit="1" customWidth="1"/>
    <col min="14638" max="14848" width="8.88671875" style="19"/>
    <col min="14849" max="14849" width="5.109375" style="19" customWidth="1"/>
    <col min="14850" max="14850" width="49.33203125" style="19" customWidth="1"/>
    <col min="14851" max="14882" width="15.77734375" style="19" customWidth="1"/>
    <col min="14883" max="14884" width="10.5546875" style="19" customWidth="1"/>
    <col min="14885" max="14885" width="11" style="19" customWidth="1"/>
    <col min="14886" max="14886" width="13.109375" style="19" bestFit="1" customWidth="1"/>
    <col min="14887" max="14887" width="27.21875" style="19" customWidth="1"/>
    <col min="14888" max="14888" width="14.44140625" style="19" bestFit="1" customWidth="1"/>
    <col min="14889" max="14889" width="11.77734375" style="19" bestFit="1" customWidth="1"/>
    <col min="14890" max="14892" width="8.88671875" style="19"/>
    <col min="14893" max="14893" width="13.44140625" style="19" bestFit="1" customWidth="1"/>
    <col min="14894" max="15104" width="8.88671875" style="19"/>
    <col min="15105" max="15105" width="5.109375" style="19" customWidth="1"/>
    <col min="15106" max="15106" width="49.33203125" style="19" customWidth="1"/>
    <col min="15107" max="15138" width="15.77734375" style="19" customWidth="1"/>
    <col min="15139" max="15140" width="10.5546875" style="19" customWidth="1"/>
    <col min="15141" max="15141" width="11" style="19" customWidth="1"/>
    <col min="15142" max="15142" width="13.109375" style="19" bestFit="1" customWidth="1"/>
    <col min="15143" max="15143" width="27.21875" style="19" customWidth="1"/>
    <col min="15144" max="15144" width="14.44140625" style="19" bestFit="1" customWidth="1"/>
    <col min="15145" max="15145" width="11.77734375" style="19" bestFit="1" customWidth="1"/>
    <col min="15146" max="15148" width="8.88671875" style="19"/>
    <col min="15149" max="15149" width="13.44140625" style="19" bestFit="1" customWidth="1"/>
    <col min="15150" max="15360" width="8.88671875" style="19"/>
    <col min="15361" max="15361" width="5.109375" style="19" customWidth="1"/>
    <col min="15362" max="15362" width="49.33203125" style="19" customWidth="1"/>
    <col min="15363" max="15394" width="15.77734375" style="19" customWidth="1"/>
    <col min="15395" max="15396" width="10.5546875" style="19" customWidth="1"/>
    <col min="15397" max="15397" width="11" style="19" customWidth="1"/>
    <col min="15398" max="15398" width="13.109375" style="19" bestFit="1" customWidth="1"/>
    <col min="15399" max="15399" width="27.21875" style="19" customWidth="1"/>
    <col min="15400" max="15400" width="14.44140625" style="19" bestFit="1" customWidth="1"/>
    <col min="15401" max="15401" width="11.77734375" style="19" bestFit="1" customWidth="1"/>
    <col min="15402" max="15404" width="8.88671875" style="19"/>
    <col min="15405" max="15405" width="13.44140625" style="19" bestFit="1" customWidth="1"/>
    <col min="15406" max="15616" width="8.88671875" style="19"/>
    <col min="15617" max="15617" width="5.109375" style="19" customWidth="1"/>
    <col min="15618" max="15618" width="49.33203125" style="19" customWidth="1"/>
    <col min="15619" max="15650" width="15.77734375" style="19" customWidth="1"/>
    <col min="15651" max="15652" width="10.5546875" style="19" customWidth="1"/>
    <col min="15653" max="15653" width="11" style="19" customWidth="1"/>
    <col min="15654" max="15654" width="13.109375" style="19" bestFit="1" customWidth="1"/>
    <col min="15655" max="15655" width="27.21875" style="19" customWidth="1"/>
    <col min="15656" max="15656" width="14.44140625" style="19" bestFit="1" customWidth="1"/>
    <col min="15657" max="15657" width="11.77734375" style="19" bestFit="1" customWidth="1"/>
    <col min="15658" max="15660" width="8.88671875" style="19"/>
    <col min="15661" max="15661" width="13.44140625" style="19" bestFit="1" customWidth="1"/>
    <col min="15662" max="15872" width="8.88671875" style="19"/>
    <col min="15873" max="15873" width="5.109375" style="19" customWidth="1"/>
    <col min="15874" max="15874" width="49.33203125" style="19" customWidth="1"/>
    <col min="15875" max="15906" width="15.77734375" style="19" customWidth="1"/>
    <col min="15907" max="15908" width="10.5546875" style="19" customWidth="1"/>
    <col min="15909" max="15909" width="11" style="19" customWidth="1"/>
    <col min="15910" max="15910" width="13.109375" style="19" bestFit="1" customWidth="1"/>
    <col min="15911" max="15911" width="27.21875" style="19" customWidth="1"/>
    <col min="15912" max="15912" width="14.44140625" style="19" bestFit="1" customWidth="1"/>
    <col min="15913" max="15913" width="11.77734375" style="19" bestFit="1" customWidth="1"/>
    <col min="15914" max="15916" width="8.88671875" style="19"/>
    <col min="15917" max="15917" width="13.44140625" style="19" bestFit="1" customWidth="1"/>
    <col min="15918" max="16128" width="8.88671875" style="19"/>
    <col min="16129" max="16129" width="5.109375" style="19" customWidth="1"/>
    <col min="16130" max="16130" width="49.33203125" style="19" customWidth="1"/>
    <col min="16131" max="16162" width="15.77734375" style="19" customWidth="1"/>
    <col min="16163" max="16164" width="10.5546875" style="19" customWidth="1"/>
    <col min="16165" max="16165" width="11" style="19" customWidth="1"/>
    <col min="16166" max="16166" width="13.109375" style="19" bestFit="1" customWidth="1"/>
    <col min="16167" max="16167" width="27.21875" style="19" customWidth="1"/>
    <col min="16168" max="16168" width="14.44140625" style="19" bestFit="1" customWidth="1"/>
    <col min="16169" max="16169" width="11.77734375" style="19" bestFit="1" customWidth="1"/>
    <col min="16170" max="16172" width="8.88671875" style="19"/>
    <col min="16173" max="16173" width="13.44140625" style="19" bestFit="1" customWidth="1"/>
    <col min="16174" max="16384" width="8.88671875" style="19"/>
  </cols>
  <sheetData>
    <row r="1" spans="1:41" ht="15.75" customHeight="1" x14ac:dyDescent="0.2">
      <c r="A1" s="115" t="s">
        <v>60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41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41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1"/>
      <c r="AH3" s="122" t="s">
        <v>18</v>
      </c>
      <c r="AI3" s="20"/>
      <c r="AJ3" s="20"/>
      <c r="AK3" s="21"/>
      <c r="AL3" s="22"/>
      <c r="AM3" s="23" t="s">
        <v>0</v>
      </c>
      <c r="AN3" s="24"/>
      <c r="AO3" s="24"/>
    </row>
    <row r="4" spans="1:41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26">
        <v>31</v>
      </c>
      <c r="AH4" s="122"/>
      <c r="AI4" s="27"/>
      <c r="AJ4" s="27"/>
      <c r="AK4" s="14"/>
      <c r="AL4" s="28"/>
      <c r="AM4" s="23" t="s">
        <v>19</v>
      </c>
      <c r="AN4" s="29"/>
      <c r="AO4" s="30"/>
    </row>
    <row r="5" spans="1:41" s="25" customFormat="1" ht="18" customHeight="1" x14ac:dyDescent="0.2">
      <c r="A5" s="31">
        <v>1</v>
      </c>
      <c r="B5" s="32" t="s">
        <v>2</v>
      </c>
      <c r="C5" s="32">
        <v>28532000</v>
      </c>
      <c r="D5" s="32">
        <v>17428000</v>
      </c>
      <c r="E5" s="32">
        <v>13440000</v>
      </c>
      <c r="F5" s="34">
        <v>37040000</v>
      </c>
      <c r="G5" s="34">
        <v>85804000</v>
      </c>
      <c r="H5" s="33"/>
      <c r="I5" s="32">
        <v>18032000</v>
      </c>
      <c r="J5" s="32">
        <v>20476000</v>
      </c>
      <c r="K5" s="32">
        <v>15676000</v>
      </c>
      <c r="L5" s="32">
        <v>9968000</v>
      </c>
      <c r="M5" s="32">
        <v>31796000</v>
      </c>
      <c r="N5" s="32">
        <v>32348000</v>
      </c>
      <c r="O5" s="33"/>
      <c r="P5" s="32">
        <v>8120000</v>
      </c>
      <c r="Q5" s="32">
        <v>6764000</v>
      </c>
      <c r="R5" s="32">
        <v>6096000</v>
      </c>
      <c r="S5" s="32">
        <v>6500000</v>
      </c>
      <c r="T5" s="32">
        <v>19024000</v>
      </c>
      <c r="U5" s="32">
        <v>27316000</v>
      </c>
      <c r="V5" s="33"/>
      <c r="W5" s="32">
        <v>6440000</v>
      </c>
      <c r="X5" s="32">
        <v>5620000</v>
      </c>
      <c r="Y5" s="32">
        <v>4996000</v>
      </c>
      <c r="Z5" s="32">
        <v>5024000</v>
      </c>
      <c r="AA5" s="32">
        <v>20008000</v>
      </c>
      <c r="AB5" s="32">
        <v>22772000</v>
      </c>
      <c r="AC5" s="33"/>
      <c r="AD5" s="32">
        <v>7260000</v>
      </c>
      <c r="AE5" s="32">
        <v>6192000</v>
      </c>
      <c r="AF5" s="32">
        <v>5372000</v>
      </c>
      <c r="AG5" s="32">
        <v>5324000</v>
      </c>
      <c r="AH5" s="35">
        <f>SUM(C5:AG5)</f>
        <v>473368000</v>
      </c>
      <c r="AI5" s="107">
        <f>AH5/4000</f>
        <v>118342</v>
      </c>
      <c r="AJ5" s="109">
        <v>422112000</v>
      </c>
      <c r="AK5" s="111">
        <f>AH5+AJ5</f>
        <v>895480000</v>
      </c>
      <c r="AL5" s="38"/>
      <c r="AM5" s="3" t="s">
        <v>2</v>
      </c>
      <c r="AN5" s="39">
        <f t="shared" ref="AN5:AN23" si="0">AH5</f>
        <v>473368000</v>
      </c>
      <c r="AO5" s="30"/>
    </row>
    <row r="6" spans="1:41" s="25" customFormat="1" ht="18" customHeight="1" x14ac:dyDescent="0.2">
      <c r="A6" s="40">
        <v>2</v>
      </c>
      <c r="B6" s="41" t="s">
        <v>3</v>
      </c>
      <c r="C6" s="41">
        <v>12087000</v>
      </c>
      <c r="D6" s="41">
        <v>6483000</v>
      </c>
      <c r="E6" s="41">
        <v>4422000</v>
      </c>
      <c r="F6" s="41">
        <v>11751000</v>
      </c>
      <c r="G6" s="41">
        <v>28530000</v>
      </c>
      <c r="H6" s="42"/>
      <c r="I6" s="41">
        <v>6744000</v>
      </c>
      <c r="J6" s="41">
        <v>7989000</v>
      </c>
      <c r="K6" s="41">
        <v>5691000</v>
      </c>
      <c r="L6" s="41">
        <v>3420000</v>
      </c>
      <c r="M6" s="41">
        <v>9504000</v>
      </c>
      <c r="N6" s="41">
        <v>8193000</v>
      </c>
      <c r="O6" s="42"/>
      <c r="P6" s="41">
        <v>1416000</v>
      </c>
      <c r="Q6" s="41">
        <v>849000</v>
      </c>
      <c r="R6" s="41">
        <v>768000</v>
      </c>
      <c r="S6" s="41">
        <v>903000</v>
      </c>
      <c r="T6" s="41">
        <v>3810000</v>
      </c>
      <c r="U6" s="41">
        <v>5337000</v>
      </c>
      <c r="V6" s="42"/>
      <c r="W6" s="41">
        <v>870000</v>
      </c>
      <c r="X6" s="41">
        <v>708000</v>
      </c>
      <c r="Y6" s="41">
        <v>597000</v>
      </c>
      <c r="Z6" s="41">
        <v>525000</v>
      </c>
      <c r="AA6" s="41">
        <v>4011000</v>
      </c>
      <c r="AB6" s="41">
        <v>4473000</v>
      </c>
      <c r="AC6" s="42"/>
      <c r="AD6" s="41">
        <v>915000</v>
      </c>
      <c r="AE6" s="41">
        <v>723000</v>
      </c>
      <c r="AF6" s="41">
        <v>705000</v>
      </c>
      <c r="AG6" s="41">
        <v>636000</v>
      </c>
      <c r="AH6" s="84">
        <f t="shared" ref="AH6:AH22" si="1">SUM(C6:AG6)</f>
        <v>132060000</v>
      </c>
      <c r="AI6" s="107">
        <f>AH6/3000</f>
        <v>44020</v>
      </c>
      <c r="AJ6" s="109">
        <v>79002000</v>
      </c>
      <c r="AK6" s="111">
        <f t="shared" ref="AK6:AK22" si="2">AH6+AJ6</f>
        <v>211062000</v>
      </c>
      <c r="AL6" s="38"/>
      <c r="AM6" s="3" t="s">
        <v>3</v>
      </c>
      <c r="AN6" s="39">
        <f t="shared" si="0"/>
        <v>132060000</v>
      </c>
      <c r="AO6" s="30"/>
    </row>
    <row r="7" spans="1:41" s="25" customFormat="1" ht="18" customHeight="1" x14ac:dyDescent="0.2">
      <c r="A7" s="40">
        <v>3</v>
      </c>
      <c r="B7" s="41" t="s">
        <v>4</v>
      </c>
      <c r="C7" s="41"/>
      <c r="D7" s="41"/>
      <c r="E7" s="41"/>
      <c r="F7" s="41"/>
      <c r="G7" s="41"/>
      <c r="H7" s="42"/>
      <c r="I7" s="41"/>
      <c r="J7" s="41"/>
      <c r="K7" s="41"/>
      <c r="L7" s="41"/>
      <c r="M7" s="41"/>
      <c r="N7" s="41"/>
      <c r="O7" s="42"/>
      <c r="P7" s="41"/>
      <c r="Q7" s="41"/>
      <c r="R7" s="41"/>
      <c r="S7" s="41"/>
      <c r="T7" s="41"/>
      <c r="U7" s="41"/>
      <c r="V7" s="42"/>
      <c r="W7" s="41"/>
      <c r="X7" s="41"/>
      <c r="Y7" s="41"/>
      <c r="Z7" s="41"/>
      <c r="AA7" s="41"/>
      <c r="AB7" s="41"/>
      <c r="AC7" s="42"/>
      <c r="AD7" s="41"/>
      <c r="AE7" s="41"/>
      <c r="AF7" s="41"/>
      <c r="AG7" s="41"/>
      <c r="AH7" s="84">
        <f t="shared" si="1"/>
        <v>0</v>
      </c>
      <c r="AI7" s="107">
        <f>AH7/3000</f>
        <v>0</v>
      </c>
      <c r="AJ7" s="109"/>
      <c r="AK7" s="111">
        <f t="shared" si="2"/>
        <v>0</v>
      </c>
      <c r="AL7" s="38"/>
      <c r="AM7" s="3" t="s">
        <v>4</v>
      </c>
      <c r="AN7" s="39">
        <f t="shared" si="0"/>
        <v>0</v>
      </c>
      <c r="AO7" s="30"/>
    </row>
    <row r="8" spans="1:41" s="25" customFormat="1" ht="18" customHeight="1" x14ac:dyDescent="0.2">
      <c r="A8" s="40">
        <v>4</v>
      </c>
      <c r="B8" s="41" t="s">
        <v>5</v>
      </c>
      <c r="C8" s="41"/>
      <c r="D8" s="41"/>
      <c r="E8" s="41"/>
      <c r="F8" s="41"/>
      <c r="G8" s="41"/>
      <c r="H8" s="42"/>
      <c r="I8" s="41"/>
      <c r="J8" s="41"/>
      <c r="K8" s="41"/>
      <c r="L8" s="41"/>
      <c r="M8" s="41"/>
      <c r="N8" s="41"/>
      <c r="O8" s="42"/>
      <c r="P8" s="41"/>
      <c r="Q8" s="41"/>
      <c r="R8" s="41"/>
      <c r="S8" s="41"/>
      <c r="T8" s="41"/>
      <c r="U8" s="41"/>
      <c r="V8" s="42"/>
      <c r="W8" s="41"/>
      <c r="X8" s="41"/>
      <c r="Y8" s="41"/>
      <c r="Z8" s="41"/>
      <c r="AA8" s="41"/>
      <c r="AB8" s="41"/>
      <c r="AC8" s="42"/>
      <c r="AD8" s="41"/>
      <c r="AE8" s="41"/>
      <c r="AF8" s="41"/>
      <c r="AG8" s="41"/>
      <c r="AH8" s="84">
        <f t="shared" si="1"/>
        <v>0</v>
      </c>
      <c r="AI8" s="107">
        <f>AH8/2250</f>
        <v>0</v>
      </c>
      <c r="AJ8" s="109"/>
      <c r="AK8" s="111">
        <f t="shared" si="2"/>
        <v>0</v>
      </c>
      <c r="AL8" s="38"/>
      <c r="AM8" s="3" t="s">
        <v>5</v>
      </c>
      <c r="AN8" s="39">
        <f t="shared" si="0"/>
        <v>0</v>
      </c>
      <c r="AO8" s="30"/>
    </row>
    <row r="9" spans="1:41" s="25" customFormat="1" ht="18" customHeight="1" x14ac:dyDescent="0.2">
      <c r="A9" s="40">
        <v>5</v>
      </c>
      <c r="B9" s="43" t="s">
        <v>20</v>
      </c>
      <c r="C9" s="41">
        <v>617500</v>
      </c>
      <c r="D9" s="41">
        <v>577500</v>
      </c>
      <c r="E9" s="41">
        <v>260000</v>
      </c>
      <c r="F9" s="41">
        <v>1512500</v>
      </c>
      <c r="G9" s="41">
        <v>2730000</v>
      </c>
      <c r="H9" s="42"/>
      <c r="I9" s="41">
        <v>495000</v>
      </c>
      <c r="J9" s="41">
        <v>620000</v>
      </c>
      <c r="K9" s="41">
        <v>422500</v>
      </c>
      <c r="L9" s="41">
        <v>217500</v>
      </c>
      <c r="M9" s="41">
        <v>1640000</v>
      </c>
      <c r="N9" s="41">
        <v>1835000</v>
      </c>
      <c r="O9" s="42"/>
      <c r="P9" s="41">
        <v>135000</v>
      </c>
      <c r="Q9" s="41">
        <v>62500</v>
      </c>
      <c r="R9" s="41">
        <v>55000</v>
      </c>
      <c r="S9" s="41">
        <v>25000</v>
      </c>
      <c r="T9" s="41">
        <v>890000</v>
      </c>
      <c r="U9" s="41">
        <v>1530000</v>
      </c>
      <c r="V9" s="42"/>
      <c r="W9" s="41">
        <v>107500</v>
      </c>
      <c r="X9" s="41">
        <v>75000</v>
      </c>
      <c r="Y9" s="41">
        <v>45000</v>
      </c>
      <c r="Z9" s="41">
        <v>50000</v>
      </c>
      <c r="AA9" s="41">
        <v>885000</v>
      </c>
      <c r="AB9" s="41">
        <v>1175000</v>
      </c>
      <c r="AC9" s="42"/>
      <c r="AD9" s="41">
        <v>55000</v>
      </c>
      <c r="AE9" s="41">
        <v>57500</v>
      </c>
      <c r="AF9" s="41">
        <v>32500</v>
      </c>
      <c r="AG9" s="41">
        <v>40000</v>
      </c>
      <c r="AH9" s="84">
        <f t="shared" si="1"/>
        <v>16147500</v>
      </c>
      <c r="AI9" s="107">
        <f>AH9/2500</f>
        <v>6459</v>
      </c>
      <c r="AJ9" s="109">
        <v>37202500</v>
      </c>
      <c r="AK9" s="111">
        <f t="shared" si="2"/>
        <v>53350000</v>
      </c>
      <c r="AL9" s="38"/>
      <c r="AM9" s="3"/>
      <c r="AN9" s="39"/>
      <c r="AO9" s="30"/>
    </row>
    <row r="10" spans="1:41" s="25" customFormat="1" ht="18" customHeight="1" x14ac:dyDescent="0.2">
      <c r="A10" s="40">
        <v>6</v>
      </c>
      <c r="B10" s="44" t="s">
        <v>21</v>
      </c>
      <c r="C10" s="44">
        <v>1572000</v>
      </c>
      <c r="D10" s="44">
        <v>1314000</v>
      </c>
      <c r="E10" s="44">
        <v>762000</v>
      </c>
      <c r="F10" s="44"/>
      <c r="G10" s="44"/>
      <c r="H10" s="42"/>
      <c r="I10" s="44">
        <v>1422000</v>
      </c>
      <c r="J10" s="44">
        <v>1548000</v>
      </c>
      <c r="K10" s="44">
        <v>1092000</v>
      </c>
      <c r="L10" s="44">
        <v>474000</v>
      </c>
      <c r="M10" s="44"/>
      <c r="N10" s="44"/>
      <c r="O10" s="42"/>
      <c r="P10" s="44">
        <v>426000</v>
      </c>
      <c r="Q10" s="44">
        <v>312000</v>
      </c>
      <c r="R10" s="44">
        <v>264000</v>
      </c>
      <c r="S10" s="44">
        <v>270000</v>
      </c>
      <c r="T10" s="44"/>
      <c r="U10" s="44"/>
      <c r="V10" s="42"/>
      <c r="W10" s="44">
        <v>270000</v>
      </c>
      <c r="X10" s="44">
        <v>168000</v>
      </c>
      <c r="Y10" s="44">
        <v>174000</v>
      </c>
      <c r="Z10" s="44">
        <v>114000</v>
      </c>
      <c r="AA10" s="44"/>
      <c r="AB10" s="44"/>
      <c r="AC10" s="42"/>
      <c r="AD10" s="44">
        <v>384000</v>
      </c>
      <c r="AE10" s="44">
        <v>270000</v>
      </c>
      <c r="AF10" s="44">
        <v>168000</v>
      </c>
      <c r="AG10" s="44">
        <v>192000</v>
      </c>
      <c r="AH10" s="84">
        <f t="shared" si="1"/>
        <v>11196000</v>
      </c>
      <c r="AI10" s="107">
        <f>AH10/6000</f>
        <v>1866</v>
      </c>
      <c r="AJ10" s="109">
        <v>71460000</v>
      </c>
      <c r="AK10" s="111">
        <f t="shared" si="2"/>
        <v>82656000</v>
      </c>
      <c r="AL10" s="38"/>
      <c r="AM10" s="3" t="s">
        <v>10</v>
      </c>
      <c r="AN10" s="39">
        <f t="shared" si="0"/>
        <v>11196000</v>
      </c>
      <c r="AO10" s="30"/>
    </row>
    <row r="11" spans="1:41" s="50" customFormat="1" ht="18" customHeight="1" x14ac:dyDescent="0.2">
      <c r="A11" s="40">
        <v>7</v>
      </c>
      <c r="B11" s="44" t="s">
        <v>22</v>
      </c>
      <c r="C11" s="44">
        <v>1308000</v>
      </c>
      <c r="D11" s="44">
        <v>846000</v>
      </c>
      <c r="E11" s="44">
        <v>534000</v>
      </c>
      <c r="F11" s="46"/>
      <c r="G11" s="46"/>
      <c r="H11" s="42"/>
      <c r="I11" s="44">
        <v>1206000</v>
      </c>
      <c r="J11" s="44">
        <v>1248000</v>
      </c>
      <c r="K11" s="44">
        <v>852000</v>
      </c>
      <c r="L11" s="44">
        <v>390000</v>
      </c>
      <c r="M11" s="44"/>
      <c r="N11" s="44"/>
      <c r="O11" s="42"/>
      <c r="P11" s="44">
        <v>288000</v>
      </c>
      <c r="Q11" s="44">
        <v>198000</v>
      </c>
      <c r="R11" s="44">
        <v>210000</v>
      </c>
      <c r="S11" s="44">
        <v>228000</v>
      </c>
      <c r="T11" s="44"/>
      <c r="U11" s="44"/>
      <c r="V11" s="42"/>
      <c r="W11" s="44">
        <v>156000</v>
      </c>
      <c r="X11" s="44">
        <v>102000</v>
      </c>
      <c r="Y11" s="44">
        <v>150000</v>
      </c>
      <c r="Z11" s="44">
        <v>72000</v>
      </c>
      <c r="AA11" s="44"/>
      <c r="AB11" s="44"/>
      <c r="AC11" s="42"/>
      <c r="AD11" s="44">
        <v>276000</v>
      </c>
      <c r="AE11" s="44">
        <v>150000</v>
      </c>
      <c r="AF11" s="44">
        <v>120000</v>
      </c>
      <c r="AG11" s="44">
        <v>144000</v>
      </c>
      <c r="AH11" s="84">
        <f t="shared" si="1"/>
        <v>8478000</v>
      </c>
      <c r="AI11" s="107">
        <f>AH11/6000</f>
        <v>1413</v>
      </c>
      <c r="AJ11" s="109">
        <v>19692000</v>
      </c>
      <c r="AK11" s="111">
        <f t="shared" si="2"/>
        <v>28170000</v>
      </c>
      <c r="AL11" s="47"/>
      <c r="AM11" s="48" t="s">
        <v>23</v>
      </c>
      <c r="AN11" s="39">
        <f t="shared" si="0"/>
        <v>8478000</v>
      </c>
      <c r="AO11" s="49"/>
    </row>
    <row r="12" spans="1:41" s="50" customFormat="1" ht="18" customHeight="1" x14ac:dyDescent="0.2">
      <c r="A12" s="40">
        <v>8</v>
      </c>
      <c r="B12" s="44" t="s">
        <v>24</v>
      </c>
      <c r="C12" s="44"/>
      <c r="D12" s="44"/>
      <c r="E12" s="51"/>
      <c r="F12" s="44"/>
      <c r="G12" s="44"/>
      <c r="H12" s="42"/>
      <c r="I12" s="44"/>
      <c r="J12" s="44"/>
      <c r="K12" s="44"/>
      <c r="L12" s="44"/>
      <c r="M12" s="44"/>
      <c r="N12" s="44"/>
      <c r="O12" s="42"/>
      <c r="P12" s="44"/>
      <c r="Q12" s="44"/>
      <c r="R12" s="44"/>
      <c r="S12" s="44"/>
      <c r="T12" s="44"/>
      <c r="U12" s="44"/>
      <c r="V12" s="42"/>
      <c r="W12" s="44"/>
      <c r="X12" s="44"/>
      <c r="Y12" s="44"/>
      <c r="Z12" s="44"/>
      <c r="AA12" s="44"/>
      <c r="AB12" s="44"/>
      <c r="AC12" s="42"/>
      <c r="AD12" s="44"/>
      <c r="AE12" s="44"/>
      <c r="AF12" s="44"/>
      <c r="AG12" s="44"/>
      <c r="AH12" s="84">
        <f t="shared" si="1"/>
        <v>0</v>
      </c>
      <c r="AI12" s="107">
        <f>AH12/4500</f>
        <v>0</v>
      </c>
      <c r="AJ12" s="109"/>
      <c r="AK12" s="111">
        <f t="shared" si="2"/>
        <v>0</v>
      </c>
      <c r="AL12" s="47"/>
      <c r="AM12" s="48" t="s">
        <v>25</v>
      </c>
      <c r="AN12" s="39">
        <f t="shared" si="0"/>
        <v>0</v>
      </c>
      <c r="AO12" s="49"/>
    </row>
    <row r="13" spans="1:41" s="50" customFormat="1" ht="18" customHeight="1" x14ac:dyDescent="0.2">
      <c r="A13" s="40">
        <v>9</v>
      </c>
      <c r="B13" s="44" t="s">
        <v>26</v>
      </c>
      <c r="C13" s="44"/>
      <c r="D13" s="44"/>
      <c r="E13" s="44"/>
      <c r="F13" s="44"/>
      <c r="G13" s="44"/>
      <c r="H13" s="42"/>
      <c r="I13" s="44"/>
      <c r="J13" s="44"/>
      <c r="K13" s="44"/>
      <c r="L13" s="44"/>
      <c r="M13" s="44"/>
      <c r="N13" s="44"/>
      <c r="O13" s="42"/>
      <c r="P13" s="44"/>
      <c r="Q13" s="44"/>
      <c r="R13" s="44"/>
      <c r="S13" s="44"/>
      <c r="T13" s="44"/>
      <c r="U13" s="44"/>
      <c r="V13" s="42"/>
      <c r="W13" s="44"/>
      <c r="X13" s="44"/>
      <c r="Y13" s="44"/>
      <c r="Z13" s="44"/>
      <c r="AA13" s="44"/>
      <c r="AB13" s="44"/>
      <c r="AC13" s="42"/>
      <c r="AD13" s="44"/>
      <c r="AE13" s="44"/>
      <c r="AF13" s="44"/>
      <c r="AG13" s="44"/>
      <c r="AH13" s="84">
        <f t="shared" si="1"/>
        <v>0</v>
      </c>
      <c r="AI13" s="107">
        <f>AH13/4500</f>
        <v>0</v>
      </c>
      <c r="AJ13" s="109"/>
      <c r="AK13" s="111">
        <f t="shared" si="2"/>
        <v>0</v>
      </c>
      <c r="AL13" s="47"/>
      <c r="AM13" s="48" t="s">
        <v>27</v>
      </c>
      <c r="AN13" s="39">
        <f t="shared" si="0"/>
        <v>0</v>
      </c>
      <c r="AO13" s="49"/>
    </row>
    <row r="14" spans="1:41" s="50" customFormat="1" ht="18" customHeight="1" x14ac:dyDescent="0.2">
      <c r="A14" s="40">
        <v>10</v>
      </c>
      <c r="B14" s="52" t="s">
        <v>28</v>
      </c>
      <c r="C14" s="52"/>
      <c r="D14" s="52"/>
      <c r="E14" s="52"/>
      <c r="F14" s="52">
        <v>7492500</v>
      </c>
      <c r="G14" s="52">
        <v>23527500</v>
      </c>
      <c r="H14" s="42"/>
      <c r="I14" s="52"/>
      <c r="J14" s="52"/>
      <c r="K14" s="52"/>
      <c r="L14" s="52"/>
      <c r="M14" s="52">
        <v>8715000</v>
      </c>
      <c r="N14" s="52">
        <v>12322500</v>
      </c>
      <c r="O14" s="42"/>
      <c r="P14" s="52"/>
      <c r="Q14" s="52"/>
      <c r="R14" s="52"/>
      <c r="S14" s="52"/>
      <c r="T14" s="52">
        <v>4770000</v>
      </c>
      <c r="U14" s="52">
        <v>9022500</v>
      </c>
      <c r="V14" s="42"/>
      <c r="W14" s="52"/>
      <c r="X14" s="52"/>
      <c r="Y14" s="52"/>
      <c r="Z14" s="52"/>
      <c r="AA14" s="52">
        <v>4672500</v>
      </c>
      <c r="AB14" s="52">
        <v>7447500</v>
      </c>
      <c r="AC14" s="42"/>
      <c r="AD14" s="52"/>
      <c r="AE14" s="52"/>
      <c r="AF14" s="52"/>
      <c r="AG14" s="52"/>
      <c r="AH14" s="84">
        <f t="shared" si="1"/>
        <v>77970000</v>
      </c>
      <c r="AI14" s="107">
        <f>AH14/7500</f>
        <v>10396</v>
      </c>
      <c r="AJ14" s="109">
        <v>110512500</v>
      </c>
      <c r="AK14" s="111">
        <f t="shared" si="2"/>
        <v>188482500</v>
      </c>
      <c r="AL14" s="47"/>
      <c r="AM14" s="48" t="s">
        <v>29</v>
      </c>
      <c r="AN14" s="39">
        <f t="shared" si="0"/>
        <v>77970000</v>
      </c>
      <c r="AO14" s="49"/>
    </row>
    <row r="15" spans="1:41" s="11" customFormat="1" ht="18" customHeight="1" x14ac:dyDescent="0.2">
      <c r="A15" s="40">
        <v>11</v>
      </c>
      <c r="B15" s="52" t="s">
        <v>30</v>
      </c>
      <c r="C15" s="52"/>
      <c r="D15" s="52"/>
      <c r="E15" s="52"/>
      <c r="F15" s="52">
        <v>5617500</v>
      </c>
      <c r="G15" s="52">
        <v>18187500</v>
      </c>
      <c r="H15" s="42"/>
      <c r="I15" s="52"/>
      <c r="J15" s="52"/>
      <c r="K15" s="52"/>
      <c r="L15" s="52"/>
      <c r="M15" s="52">
        <v>6630000</v>
      </c>
      <c r="N15" s="52">
        <v>9675000</v>
      </c>
      <c r="O15" s="42"/>
      <c r="P15" s="52"/>
      <c r="Q15" s="52"/>
      <c r="R15" s="52"/>
      <c r="S15" s="52"/>
      <c r="T15" s="52">
        <v>3277500</v>
      </c>
      <c r="U15" s="52">
        <v>6682500</v>
      </c>
      <c r="V15" s="42"/>
      <c r="W15" s="52"/>
      <c r="X15" s="52"/>
      <c r="Y15" s="52"/>
      <c r="Z15" s="52"/>
      <c r="AA15" s="52">
        <v>3232500</v>
      </c>
      <c r="AB15" s="52">
        <v>6697500</v>
      </c>
      <c r="AC15" s="42"/>
      <c r="AD15" s="52"/>
      <c r="AE15" s="52"/>
      <c r="AF15" s="52"/>
      <c r="AG15" s="52"/>
      <c r="AH15" s="84">
        <f t="shared" si="1"/>
        <v>60000000</v>
      </c>
      <c r="AI15" s="107">
        <f>AH15/7500</f>
        <v>8000</v>
      </c>
      <c r="AJ15" s="109">
        <v>28140000</v>
      </c>
      <c r="AK15" s="111">
        <f t="shared" si="2"/>
        <v>88140000</v>
      </c>
      <c r="AL15" s="38"/>
      <c r="AM15" s="54" t="s">
        <v>21</v>
      </c>
      <c r="AN15" s="39">
        <f t="shared" si="0"/>
        <v>60000000</v>
      </c>
      <c r="AO15" s="29"/>
    </row>
    <row r="16" spans="1:41" s="11" customFormat="1" ht="18" customHeight="1" x14ac:dyDescent="0.2">
      <c r="A16" s="40">
        <v>12</v>
      </c>
      <c r="B16" s="55" t="s">
        <v>31</v>
      </c>
      <c r="C16" s="52"/>
      <c r="D16" s="52"/>
      <c r="E16" s="52"/>
      <c r="F16" s="52"/>
      <c r="G16" s="52"/>
      <c r="H16" s="42"/>
      <c r="I16" s="52"/>
      <c r="J16" s="52"/>
      <c r="K16" s="52"/>
      <c r="L16" s="52"/>
      <c r="M16" s="52"/>
      <c r="N16" s="52"/>
      <c r="O16" s="42"/>
      <c r="P16" s="52"/>
      <c r="Q16" s="52"/>
      <c r="R16" s="52"/>
      <c r="S16" s="52"/>
      <c r="T16" s="52"/>
      <c r="U16" s="52"/>
      <c r="V16" s="42"/>
      <c r="W16" s="52"/>
      <c r="X16" s="52"/>
      <c r="Y16" s="52"/>
      <c r="Z16" s="52"/>
      <c r="AA16" s="52"/>
      <c r="AB16" s="52"/>
      <c r="AC16" s="42"/>
      <c r="AD16" s="52"/>
      <c r="AE16" s="52"/>
      <c r="AF16" s="52"/>
      <c r="AG16" s="52"/>
      <c r="AH16" s="84">
        <f t="shared" si="1"/>
        <v>0</v>
      </c>
      <c r="AI16" s="107">
        <f>AH16/5625</f>
        <v>0</v>
      </c>
      <c r="AJ16" s="109"/>
      <c r="AK16" s="111">
        <f t="shared" si="2"/>
        <v>0</v>
      </c>
      <c r="AL16" s="38"/>
      <c r="AM16" s="54" t="s">
        <v>22</v>
      </c>
      <c r="AN16" s="39">
        <f t="shared" si="0"/>
        <v>0</v>
      </c>
      <c r="AO16" s="29"/>
    </row>
    <row r="17" spans="1:41" s="11" customFormat="1" ht="18" customHeight="1" x14ac:dyDescent="0.2">
      <c r="A17" s="40">
        <v>13</v>
      </c>
      <c r="B17" s="52" t="s">
        <v>32</v>
      </c>
      <c r="C17" s="52"/>
      <c r="D17" s="52"/>
      <c r="E17" s="52"/>
      <c r="F17" s="52"/>
      <c r="G17" s="52"/>
      <c r="H17" s="42"/>
      <c r="I17" s="52"/>
      <c r="J17" s="52"/>
      <c r="K17" s="52"/>
      <c r="L17" s="52"/>
      <c r="M17" s="52"/>
      <c r="N17" s="52"/>
      <c r="O17" s="42"/>
      <c r="P17" s="52"/>
      <c r="Q17" s="52"/>
      <c r="R17" s="52"/>
      <c r="S17" s="52"/>
      <c r="T17" s="52"/>
      <c r="U17" s="52"/>
      <c r="V17" s="42"/>
      <c r="W17" s="52"/>
      <c r="X17" s="52"/>
      <c r="Y17" s="52"/>
      <c r="Z17" s="52"/>
      <c r="AA17" s="52"/>
      <c r="AB17" s="52"/>
      <c r="AC17" s="42"/>
      <c r="AD17" s="52"/>
      <c r="AE17" s="52"/>
      <c r="AF17" s="52"/>
      <c r="AG17" s="52"/>
      <c r="AH17" s="84">
        <f t="shared" si="1"/>
        <v>0</v>
      </c>
      <c r="AI17" s="107">
        <f>AH17/5625</f>
        <v>0</v>
      </c>
      <c r="AJ17" s="109"/>
      <c r="AK17" s="111">
        <f t="shared" si="2"/>
        <v>0</v>
      </c>
      <c r="AL17" s="38"/>
      <c r="AM17" s="54" t="s">
        <v>24</v>
      </c>
      <c r="AN17" s="39">
        <f t="shared" si="0"/>
        <v>0</v>
      </c>
      <c r="AO17" s="29"/>
    </row>
    <row r="18" spans="1:41" s="11" customFormat="1" ht="18" customHeight="1" x14ac:dyDescent="0.2">
      <c r="A18" s="40">
        <v>14</v>
      </c>
      <c r="B18" s="41" t="s">
        <v>6</v>
      </c>
      <c r="C18" s="41"/>
      <c r="D18" s="41"/>
      <c r="E18" s="41"/>
      <c r="F18" s="41"/>
      <c r="G18" s="41"/>
      <c r="H18" s="42"/>
      <c r="I18" s="41"/>
      <c r="J18" s="41"/>
      <c r="K18" s="41"/>
      <c r="L18" s="41"/>
      <c r="M18" s="41"/>
      <c r="N18" s="41"/>
      <c r="O18" s="42"/>
      <c r="P18" s="41"/>
      <c r="Q18" s="41"/>
      <c r="R18" s="41"/>
      <c r="S18" s="41"/>
      <c r="T18" s="41"/>
      <c r="U18" s="41"/>
      <c r="V18" s="42"/>
      <c r="W18" s="41"/>
      <c r="X18" s="41"/>
      <c r="Y18" s="41"/>
      <c r="Z18" s="41"/>
      <c r="AA18" s="41"/>
      <c r="AB18" s="41"/>
      <c r="AC18" s="42"/>
      <c r="AD18" s="41"/>
      <c r="AE18" s="41"/>
      <c r="AF18" s="41"/>
      <c r="AG18" s="41"/>
      <c r="AH18" s="84">
        <f t="shared" si="1"/>
        <v>0</v>
      </c>
      <c r="AI18" s="107">
        <f>AH18/15000</f>
        <v>0</v>
      </c>
      <c r="AJ18" s="110">
        <v>1740000</v>
      </c>
      <c r="AK18" s="111">
        <f t="shared" si="2"/>
        <v>1740000</v>
      </c>
      <c r="AL18" s="38"/>
      <c r="AM18" s="54" t="s">
        <v>26</v>
      </c>
      <c r="AN18" s="39">
        <f t="shared" si="0"/>
        <v>0</v>
      </c>
      <c r="AO18" s="29"/>
    </row>
    <row r="19" spans="1:41" s="11" customFormat="1" ht="18" customHeight="1" x14ac:dyDescent="0.2">
      <c r="A19" s="40">
        <v>15</v>
      </c>
      <c r="B19" s="41" t="s">
        <v>7</v>
      </c>
      <c r="C19" s="41"/>
      <c r="D19" s="41"/>
      <c r="E19" s="41"/>
      <c r="F19" s="41"/>
      <c r="G19" s="41"/>
      <c r="H19" s="42"/>
      <c r="I19" s="41"/>
      <c r="J19" s="41"/>
      <c r="K19" s="41"/>
      <c r="L19" s="41"/>
      <c r="M19" s="41"/>
      <c r="N19" s="41"/>
      <c r="O19" s="42"/>
      <c r="P19" s="41"/>
      <c r="Q19" s="41"/>
      <c r="R19" s="41"/>
      <c r="S19" s="41"/>
      <c r="T19" s="41"/>
      <c r="U19" s="41"/>
      <c r="V19" s="42"/>
      <c r="W19" s="41"/>
      <c r="X19" s="41"/>
      <c r="Y19" s="41"/>
      <c r="Z19" s="41"/>
      <c r="AA19" s="41"/>
      <c r="AB19" s="41"/>
      <c r="AC19" s="42"/>
      <c r="AD19" s="41"/>
      <c r="AE19" s="41"/>
      <c r="AF19" s="41"/>
      <c r="AG19" s="41"/>
      <c r="AH19" s="84">
        <f>SUM(C19:AG19)</f>
        <v>0</v>
      </c>
      <c r="AI19" s="107">
        <f>AH19/12500</f>
        <v>0</v>
      </c>
      <c r="AJ19" s="110">
        <v>1275000</v>
      </c>
      <c r="AK19" s="111">
        <f t="shared" si="2"/>
        <v>1275000</v>
      </c>
      <c r="AL19" s="38"/>
      <c r="AM19" s="58" t="s">
        <v>28</v>
      </c>
      <c r="AN19" s="39">
        <f t="shared" si="0"/>
        <v>0</v>
      </c>
      <c r="AO19" s="29"/>
    </row>
    <row r="20" spans="1:41" s="11" customFormat="1" ht="18" customHeight="1" x14ac:dyDescent="0.2">
      <c r="A20" s="40">
        <v>16</v>
      </c>
      <c r="B20" s="41" t="s">
        <v>8</v>
      </c>
      <c r="C20" s="41"/>
      <c r="D20" s="41"/>
      <c r="E20" s="41"/>
      <c r="F20" s="41"/>
      <c r="G20" s="41"/>
      <c r="H20" s="42"/>
      <c r="I20" s="41"/>
      <c r="J20" s="41"/>
      <c r="K20" s="41"/>
      <c r="L20" s="41"/>
      <c r="M20" s="41"/>
      <c r="N20" s="41"/>
      <c r="O20" s="42"/>
      <c r="P20" s="41"/>
      <c r="Q20" s="41"/>
      <c r="R20" s="41"/>
      <c r="S20" s="41"/>
      <c r="T20" s="41"/>
      <c r="U20" s="41"/>
      <c r="V20" s="42"/>
      <c r="W20" s="41"/>
      <c r="X20" s="41"/>
      <c r="Y20" s="41"/>
      <c r="Z20" s="41"/>
      <c r="AA20" s="41"/>
      <c r="AB20" s="41"/>
      <c r="AC20" s="42"/>
      <c r="AD20" s="41"/>
      <c r="AE20" s="41"/>
      <c r="AF20" s="41"/>
      <c r="AG20" s="41"/>
      <c r="AH20" s="84">
        <f t="shared" si="1"/>
        <v>0</v>
      </c>
      <c r="AI20" s="107">
        <f>AH20/6000</f>
        <v>0</v>
      </c>
      <c r="AJ20" s="110">
        <v>32574000</v>
      </c>
      <c r="AK20" s="111">
        <f t="shared" si="2"/>
        <v>32574000</v>
      </c>
      <c r="AL20" s="38"/>
      <c r="AM20" s="58" t="s">
        <v>30</v>
      </c>
      <c r="AN20" s="39">
        <f t="shared" si="0"/>
        <v>0</v>
      </c>
      <c r="AO20" s="29"/>
    </row>
    <row r="21" spans="1:41" s="11" customFormat="1" ht="18" customHeight="1" x14ac:dyDescent="0.2">
      <c r="A21" s="40">
        <v>17</v>
      </c>
      <c r="B21" s="41" t="s">
        <v>9</v>
      </c>
      <c r="C21" s="41"/>
      <c r="D21" s="41"/>
      <c r="E21" s="41"/>
      <c r="F21" s="41"/>
      <c r="G21" s="41"/>
      <c r="H21" s="42"/>
      <c r="I21" s="41"/>
      <c r="J21" s="41"/>
      <c r="K21" s="41"/>
      <c r="L21" s="41"/>
      <c r="M21" s="41"/>
      <c r="N21" s="41"/>
      <c r="O21" s="42"/>
      <c r="P21" s="41"/>
      <c r="Q21" s="41"/>
      <c r="R21" s="41"/>
      <c r="S21" s="41"/>
      <c r="T21" s="41"/>
      <c r="U21" s="41"/>
      <c r="V21" s="42"/>
      <c r="W21" s="41"/>
      <c r="X21" s="41"/>
      <c r="Y21" s="41"/>
      <c r="Z21" s="41"/>
      <c r="AA21" s="41"/>
      <c r="AB21" s="41"/>
      <c r="AC21" s="42"/>
      <c r="AD21" s="41"/>
      <c r="AE21" s="41"/>
      <c r="AF21" s="41"/>
      <c r="AG21" s="41"/>
      <c r="AH21" s="84">
        <f t="shared" si="1"/>
        <v>0</v>
      </c>
      <c r="AI21" s="107">
        <f>AH21/3000</f>
        <v>0</v>
      </c>
      <c r="AJ21" s="110">
        <v>33384000</v>
      </c>
      <c r="AK21" s="111">
        <f t="shared" si="2"/>
        <v>33384000</v>
      </c>
      <c r="AL21" s="38"/>
      <c r="AM21" s="58" t="s">
        <v>31</v>
      </c>
      <c r="AN21" s="39">
        <f t="shared" si="0"/>
        <v>0</v>
      </c>
      <c r="AO21" s="29"/>
    </row>
    <row r="22" spans="1:41" s="11" customFormat="1" ht="18" customHeight="1" thickBot="1" x14ac:dyDescent="0.25">
      <c r="A22" s="40">
        <v>18</v>
      </c>
      <c r="B22" s="59" t="s">
        <v>10</v>
      </c>
      <c r="C22" s="59"/>
      <c r="D22" s="59"/>
      <c r="E22" s="59"/>
      <c r="F22" s="61"/>
      <c r="G22" s="61"/>
      <c r="H22" s="60"/>
      <c r="I22" s="59"/>
      <c r="J22" s="59"/>
      <c r="K22" s="59"/>
      <c r="L22" s="59"/>
      <c r="M22" s="59"/>
      <c r="N22" s="59"/>
      <c r="O22" s="60"/>
      <c r="P22" s="59"/>
      <c r="Q22" s="59"/>
      <c r="R22" s="59"/>
      <c r="S22" s="59"/>
      <c r="T22" s="59"/>
      <c r="U22" s="59"/>
      <c r="V22" s="60"/>
      <c r="W22" s="59"/>
      <c r="X22" s="59"/>
      <c r="Y22" s="59"/>
      <c r="Z22" s="59"/>
      <c r="AA22" s="59"/>
      <c r="AB22" s="59"/>
      <c r="AC22" s="60"/>
      <c r="AD22" s="59"/>
      <c r="AE22" s="59"/>
      <c r="AF22" s="59"/>
      <c r="AG22" s="59"/>
      <c r="AH22" s="83">
        <f t="shared" si="1"/>
        <v>0</v>
      </c>
      <c r="AI22" s="107">
        <f>AH22/1000</f>
        <v>0</v>
      </c>
      <c r="AJ22" s="110">
        <v>2364000</v>
      </c>
      <c r="AK22" s="111">
        <f t="shared" si="2"/>
        <v>2364000</v>
      </c>
      <c r="AL22" s="38"/>
      <c r="AM22" s="58" t="s">
        <v>32</v>
      </c>
      <c r="AN22" s="39">
        <f t="shared" si="0"/>
        <v>0</v>
      </c>
      <c r="AO22" s="29"/>
    </row>
    <row r="23" spans="1:41" s="67" customFormat="1" ht="18" customHeight="1" x14ac:dyDescent="0.25">
      <c r="A23" s="63"/>
      <c r="B23" s="64" t="s">
        <v>11</v>
      </c>
      <c r="C23" s="65">
        <f t="shared" ref="C23:AJ23" si="3">SUM(C5:C22)</f>
        <v>44116500</v>
      </c>
      <c r="D23" s="65">
        <f t="shared" si="3"/>
        <v>26648500</v>
      </c>
      <c r="E23" s="65">
        <f t="shared" si="3"/>
        <v>19418000</v>
      </c>
      <c r="F23" s="65">
        <f t="shared" si="3"/>
        <v>63413500</v>
      </c>
      <c r="G23" s="65">
        <f t="shared" si="3"/>
        <v>158779000</v>
      </c>
      <c r="H23" s="65">
        <f t="shared" si="3"/>
        <v>0</v>
      </c>
      <c r="I23" s="65">
        <f t="shared" si="3"/>
        <v>27899000</v>
      </c>
      <c r="J23" s="65">
        <f t="shared" si="3"/>
        <v>31881000</v>
      </c>
      <c r="K23" s="65">
        <f t="shared" si="3"/>
        <v>23733500</v>
      </c>
      <c r="L23" s="65">
        <f t="shared" si="3"/>
        <v>14469500</v>
      </c>
      <c r="M23" s="65">
        <f t="shared" si="3"/>
        <v>58285000</v>
      </c>
      <c r="N23" s="65">
        <f t="shared" si="3"/>
        <v>64373500</v>
      </c>
      <c r="O23" s="65">
        <f t="shared" si="3"/>
        <v>0</v>
      </c>
      <c r="P23" s="65">
        <f t="shared" si="3"/>
        <v>10385000</v>
      </c>
      <c r="Q23" s="65">
        <f t="shared" si="3"/>
        <v>8185500</v>
      </c>
      <c r="R23" s="65">
        <f t="shared" si="3"/>
        <v>7393000</v>
      </c>
      <c r="S23" s="65">
        <f t="shared" si="3"/>
        <v>7926000</v>
      </c>
      <c r="T23" s="65">
        <f t="shared" si="3"/>
        <v>31771500</v>
      </c>
      <c r="U23" s="65">
        <f t="shared" si="3"/>
        <v>49888000</v>
      </c>
      <c r="V23" s="65">
        <f t="shared" si="3"/>
        <v>0</v>
      </c>
      <c r="W23" s="65">
        <f t="shared" si="3"/>
        <v>7843500</v>
      </c>
      <c r="X23" s="65">
        <f t="shared" si="3"/>
        <v>6673000</v>
      </c>
      <c r="Y23" s="65">
        <f t="shared" si="3"/>
        <v>5962000</v>
      </c>
      <c r="Z23" s="65">
        <f t="shared" si="3"/>
        <v>5785000</v>
      </c>
      <c r="AA23" s="65">
        <f t="shared" si="3"/>
        <v>32809000</v>
      </c>
      <c r="AB23" s="65">
        <f t="shared" si="3"/>
        <v>42565000</v>
      </c>
      <c r="AC23" s="65">
        <f t="shared" si="3"/>
        <v>0</v>
      </c>
      <c r="AD23" s="65">
        <f t="shared" si="3"/>
        <v>8890000</v>
      </c>
      <c r="AE23" s="65">
        <f t="shared" si="3"/>
        <v>7392500</v>
      </c>
      <c r="AF23" s="65">
        <f t="shared" si="3"/>
        <v>6397500</v>
      </c>
      <c r="AG23" s="65">
        <f t="shared" si="3"/>
        <v>6336000</v>
      </c>
      <c r="AH23" s="65">
        <f t="shared" si="3"/>
        <v>779219500</v>
      </c>
      <c r="AI23" s="65"/>
      <c r="AJ23" s="65">
        <f t="shared" si="3"/>
        <v>839458000</v>
      </c>
      <c r="AK23" s="108"/>
      <c r="AL23" s="38"/>
      <c r="AM23" s="66" t="s">
        <v>11</v>
      </c>
      <c r="AN23" s="39">
        <f t="shared" si="0"/>
        <v>779219500</v>
      </c>
    </row>
    <row r="24" spans="1:41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6"/>
      <c r="AI24" s="6"/>
      <c r="AJ24" s="6"/>
      <c r="AK24" s="7"/>
      <c r="AL24" s="28"/>
      <c r="AM24" s="69"/>
      <c r="AN24" s="29"/>
      <c r="AO24" s="39"/>
    </row>
    <row r="25" spans="1:41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6"/>
      <c r="AI25" s="6"/>
      <c r="AJ25" s="6"/>
      <c r="AK25" s="7"/>
      <c r="AL25" s="28"/>
      <c r="AM25" s="69"/>
      <c r="AN25" s="29"/>
      <c r="AO25" s="39"/>
    </row>
    <row r="26" spans="1:41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6"/>
      <c r="AI26" s="6"/>
      <c r="AJ26" s="6"/>
      <c r="AK26" s="37"/>
      <c r="AL26" s="28"/>
      <c r="AM26" s="69"/>
      <c r="AN26" s="29"/>
      <c r="AO26" s="30"/>
    </row>
    <row r="27" spans="1:41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6"/>
      <c r="AI27" s="6"/>
      <c r="AJ27" s="6"/>
      <c r="AK27" s="14"/>
      <c r="AL27" s="28"/>
      <c r="AM27" s="70" t="s">
        <v>13</v>
      </c>
      <c r="AN27" s="29"/>
      <c r="AO27" s="30"/>
    </row>
    <row r="28" spans="1:41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6">
        <v>31</v>
      </c>
      <c r="AH28" s="87" t="s">
        <v>1</v>
      </c>
      <c r="AI28" s="20"/>
      <c r="AJ28" s="20"/>
      <c r="AK28" s="21"/>
      <c r="AL28" s="28"/>
      <c r="AM28" s="71" t="s">
        <v>14</v>
      </c>
      <c r="AN28" s="72"/>
      <c r="AO28" s="30"/>
    </row>
    <row r="29" spans="1:41" s="25" customFormat="1" ht="18" customHeight="1" x14ac:dyDescent="0.2">
      <c r="B29" s="92" t="s">
        <v>2</v>
      </c>
      <c r="C29" s="92">
        <f t="shared" ref="C29:AG29" si="4">C5/4000</f>
        <v>7133</v>
      </c>
      <c r="D29" s="92">
        <f t="shared" si="4"/>
        <v>4357</v>
      </c>
      <c r="E29" s="92">
        <f t="shared" si="4"/>
        <v>3360</v>
      </c>
      <c r="F29" s="92">
        <f t="shared" si="4"/>
        <v>9260</v>
      </c>
      <c r="G29" s="92">
        <f t="shared" si="4"/>
        <v>21451</v>
      </c>
      <c r="H29" s="92">
        <f t="shared" si="4"/>
        <v>0</v>
      </c>
      <c r="I29" s="92">
        <f t="shared" si="4"/>
        <v>4508</v>
      </c>
      <c r="J29" s="92">
        <f t="shared" si="4"/>
        <v>5119</v>
      </c>
      <c r="K29" s="92">
        <f t="shared" si="4"/>
        <v>3919</v>
      </c>
      <c r="L29" s="92">
        <f t="shared" si="4"/>
        <v>2492</v>
      </c>
      <c r="M29" s="92">
        <f t="shared" si="4"/>
        <v>7949</v>
      </c>
      <c r="N29" s="92">
        <f t="shared" si="4"/>
        <v>8087</v>
      </c>
      <c r="O29" s="92">
        <f t="shared" si="4"/>
        <v>0</v>
      </c>
      <c r="P29" s="92">
        <f t="shared" si="4"/>
        <v>2030</v>
      </c>
      <c r="Q29" s="92">
        <f t="shared" si="4"/>
        <v>1691</v>
      </c>
      <c r="R29" s="92">
        <f t="shared" si="4"/>
        <v>1524</v>
      </c>
      <c r="S29" s="92">
        <f t="shared" si="4"/>
        <v>1625</v>
      </c>
      <c r="T29" s="92">
        <f t="shared" si="4"/>
        <v>4756</v>
      </c>
      <c r="U29" s="92">
        <f t="shared" si="4"/>
        <v>6829</v>
      </c>
      <c r="V29" s="92">
        <f t="shared" si="4"/>
        <v>0</v>
      </c>
      <c r="W29" s="92">
        <f t="shared" si="4"/>
        <v>1610</v>
      </c>
      <c r="X29" s="92">
        <f t="shared" si="4"/>
        <v>1405</v>
      </c>
      <c r="Y29" s="92">
        <f t="shared" si="4"/>
        <v>1249</v>
      </c>
      <c r="Z29" s="92">
        <f t="shared" si="4"/>
        <v>1256</v>
      </c>
      <c r="AA29" s="92">
        <f t="shared" si="4"/>
        <v>5002</v>
      </c>
      <c r="AB29" s="92">
        <f t="shared" si="4"/>
        <v>5693</v>
      </c>
      <c r="AC29" s="92">
        <f t="shared" si="4"/>
        <v>0</v>
      </c>
      <c r="AD29" s="92">
        <f t="shared" si="4"/>
        <v>1815</v>
      </c>
      <c r="AE29" s="92">
        <f t="shared" si="4"/>
        <v>1548</v>
      </c>
      <c r="AF29" s="92">
        <f t="shared" si="4"/>
        <v>1343</v>
      </c>
      <c r="AG29" s="92">
        <f t="shared" si="4"/>
        <v>1331</v>
      </c>
      <c r="AH29" s="93">
        <f>SUM(C29:AG29)</f>
        <v>118342</v>
      </c>
      <c r="AI29" s="27"/>
      <c r="AJ29" s="27"/>
      <c r="AK29" s="73"/>
      <c r="AL29" s="28"/>
      <c r="AM29" s="74" t="s">
        <v>2</v>
      </c>
      <c r="AN29" s="75">
        <f>AH29</f>
        <v>118342</v>
      </c>
      <c r="AO29" s="30"/>
    </row>
    <row r="30" spans="1:41" s="25" customFormat="1" ht="18" customHeight="1" x14ac:dyDescent="0.2">
      <c r="B30" s="92" t="s">
        <v>3</v>
      </c>
      <c r="C30" s="92">
        <f t="shared" ref="C30:AG31" si="5">C6/3000</f>
        <v>4029</v>
      </c>
      <c r="D30" s="92">
        <f t="shared" si="5"/>
        <v>2161</v>
      </c>
      <c r="E30" s="92">
        <f t="shared" si="5"/>
        <v>1474</v>
      </c>
      <c r="F30" s="92">
        <f t="shared" si="5"/>
        <v>3917</v>
      </c>
      <c r="G30" s="92">
        <f t="shared" si="5"/>
        <v>9510</v>
      </c>
      <c r="H30" s="92">
        <f t="shared" si="5"/>
        <v>0</v>
      </c>
      <c r="I30" s="92">
        <f t="shared" si="5"/>
        <v>2248</v>
      </c>
      <c r="J30" s="92">
        <f t="shared" si="5"/>
        <v>2663</v>
      </c>
      <c r="K30" s="92">
        <f t="shared" si="5"/>
        <v>1897</v>
      </c>
      <c r="L30" s="92">
        <f t="shared" si="5"/>
        <v>1140</v>
      </c>
      <c r="M30" s="92">
        <f t="shared" si="5"/>
        <v>3168</v>
      </c>
      <c r="N30" s="92">
        <f t="shared" si="5"/>
        <v>2731</v>
      </c>
      <c r="O30" s="92">
        <f t="shared" si="5"/>
        <v>0</v>
      </c>
      <c r="P30" s="92">
        <f t="shared" si="5"/>
        <v>472</v>
      </c>
      <c r="Q30" s="92">
        <f t="shared" si="5"/>
        <v>283</v>
      </c>
      <c r="R30" s="92">
        <f t="shared" si="5"/>
        <v>256</v>
      </c>
      <c r="S30" s="92">
        <f t="shared" si="5"/>
        <v>301</v>
      </c>
      <c r="T30" s="92">
        <f t="shared" si="5"/>
        <v>1270</v>
      </c>
      <c r="U30" s="92">
        <f t="shared" si="5"/>
        <v>1779</v>
      </c>
      <c r="V30" s="92">
        <f t="shared" si="5"/>
        <v>0</v>
      </c>
      <c r="W30" s="92">
        <f t="shared" si="5"/>
        <v>290</v>
      </c>
      <c r="X30" s="92">
        <f t="shared" si="5"/>
        <v>236</v>
      </c>
      <c r="Y30" s="92">
        <f t="shared" si="5"/>
        <v>199</v>
      </c>
      <c r="Z30" s="92">
        <f t="shared" si="5"/>
        <v>175</v>
      </c>
      <c r="AA30" s="92">
        <f t="shared" si="5"/>
        <v>1337</v>
      </c>
      <c r="AB30" s="92">
        <f t="shared" si="5"/>
        <v>1491</v>
      </c>
      <c r="AC30" s="92">
        <f t="shared" si="5"/>
        <v>0</v>
      </c>
      <c r="AD30" s="92">
        <f t="shared" si="5"/>
        <v>305</v>
      </c>
      <c r="AE30" s="92">
        <f t="shared" si="5"/>
        <v>241</v>
      </c>
      <c r="AF30" s="92">
        <f t="shared" si="5"/>
        <v>235</v>
      </c>
      <c r="AG30" s="92">
        <f t="shared" si="5"/>
        <v>212</v>
      </c>
      <c r="AH30" s="93">
        <f t="shared" ref="AH30:AH46" si="6">SUM(C30:AG30)</f>
        <v>44020</v>
      </c>
      <c r="AI30" s="27"/>
      <c r="AJ30" s="27"/>
      <c r="AK30" s="73"/>
      <c r="AL30" s="28"/>
      <c r="AM30" s="74" t="s">
        <v>3</v>
      </c>
      <c r="AN30" s="75">
        <f t="shared" ref="AN30:AN40" si="7">AH30</f>
        <v>44020</v>
      </c>
      <c r="AO30" s="76"/>
    </row>
    <row r="31" spans="1:41" s="25" customFormat="1" ht="18" customHeight="1" x14ac:dyDescent="0.2">
      <c r="B31" s="92" t="s">
        <v>4</v>
      </c>
      <c r="C31" s="92">
        <f t="shared" si="5"/>
        <v>0</v>
      </c>
      <c r="D31" s="92">
        <f t="shared" si="5"/>
        <v>0</v>
      </c>
      <c r="E31" s="92">
        <f t="shared" si="5"/>
        <v>0</v>
      </c>
      <c r="F31" s="92">
        <f t="shared" si="5"/>
        <v>0</v>
      </c>
      <c r="G31" s="92">
        <f t="shared" si="5"/>
        <v>0</v>
      </c>
      <c r="H31" s="92">
        <f t="shared" si="5"/>
        <v>0</v>
      </c>
      <c r="I31" s="92">
        <f t="shared" si="5"/>
        <v>0</v>
      </c>
      <c r="J31" s="92">
        <f t="shared" si="5"/>
        <v>0</v>
      </c>
      <c r="K31" s="92">
        <f t="shared" si="5"/>
        <v>0</v>
      </c>
      <c r="L31" s="92">
        <f t="shared" si="5"/>
        <v>0</v>
      </c>
      <c r="M31" s="92">
        <f t="shared" si="5"/>
        <v>0</v>
      </c>
      <c r="N31" s="92">
        <f t="shared" si="5"/>
        <v>0</v>
      </c>
      <c r="O31" s="92">
        <f t="shared" si="5"/>
        <v>0</v>
      </c>
      <c r="P31" s="92">
        <f t="shared" si="5"/>
        <v>0</v>
      </c>
      <c r="Q31" s="92">
        <f t="shared" si="5"/>
        <v>0</v>
      </c>
      <c r="R31" s="92">
        <f t="shared" si="5"/>
        <v>0</v>
      </c>
      <c r="S31" s="92">
        <f t="shared" si="5"/>
        <v>0</v>
      </c>
      <c r="T31" s="92">
        <f t="shared" si="5"/>
        <v>0</v>
      </c>
      <c r="U31" s="92">
        <f t="shared" si="5"/>
        <v>0</v>
      </c>
      <c r="V31" s="92">
        <f t="shared" si="5"/>
        <v>0</v>
      </c>
      <c r="W31" s="92">
        <f t="shared" si="5"/>
        <v>0</v>
      </c>
      <c r="X31" s="92">
        <f t="shared" si="5"/>
        <v>0</v>
      </c>
      <c r="Y31" s="92">
        <f t="shared" si="5"/>
        <v>0</v>
      </c>
      <c r="Z31" s="92">
        <f t="shared" si="5"/>
        <v>0</v>
      </c>
      <c r="AA31" s="92">
        <f t="shared" si="5"/>
        <v>0</v>
      </c>
      <c r="AB31" s="92">
        <f t="shared" si="5"/>
        <v>0</v>
      </c>
      <c r="AC31" s="92">
        <f t="shared" si="5"/>
        <v>0</v>
      </c>
      <c r="AD31" s="92">
        <f t="shared" si="5"/>
        <v>0</v>
      </c>
      <c r="AE31" s="92">
        <f t="shared" si="5"/>
        <v>0</v>
      </c>
      <c r="AF31" s="92">
        <f t="shared" si="5"/>
        <v>0</v>
      </c>
      <c r="AG31" s="92">
        <f t="shared" si="5"/>
        <v>0</v>
      </c>
      <c r="AH31" s="93">
        <f t="shared" si="6"/>
        <v>0</v>
      </c>
      <c r="AI31" s="27"/>
      <c r="AJ31" s="27"/>
      <c r="AK31" s="73"/>
      <c r="AL31" s="28"/>
      <c r="AM31" s="3" t="s">
        <v>4</v>
      </c>
      <c r="AN31" s="75">
        <f t="shared" si="7"/>
        <v>0</v>
      </c>
      <c r="AO31" s="30"/>
    </row>
    <row r="32" spans="1:41" s="25" customFormat="1" ht="18" customHeight="1" x14ac:dyDescent="0.2">
      <c r="B32" s="92" t="s">
        <v>5</v>
      </c>
      <c r="C32" s="92">
        <f t="shared" ref="C32:AG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2">
        <f t="shared" si="8"/>
        <v>0</v>
      </c>
      <c r="AF32" s="92">
        <f t="shared" si="8"/>
        <v>0</v>
      </c>
      <c r="AG32" s="92">
        <f t="shared" si="8"/>
        <v>0</v>
      </c>
      <c r="AH32" s="93">
        <f t="shared" si="6"/>
        <v>0</v>
      </c>
      <c r="AI32" s="27"/>
      <c r="AJ32" s="27"/>
      <c r="AK32" s="73"/>
      <c r="AL32" s="28"/>
      <c r="AM32" s="3" t="s">
        <v>5</v>
      </c>
      <c r="AN32" s="75">
        <f t="shared" si="7"/>
        <v>0</v>
      </c>
      <c r="AO32" s="30"/>
    </row>
    <row r="33" spans="2:41" s="25" customFormat="1" ht="18" customHeight="1" x14ac:dyDescent="0.2">
      <c r="B33" s="92" t="s">
        <v>33</v>
      </c>
      <c r="C33" s="92">
        <f>C9/2500</f>
        <v>247</v>
      </c>
      <c r="D33" s="92">
        <f t="shared" ref="D33:AG33" si="9">D9/2500</f>
        <v>231</v>
      </c>
      <c r="E33" s="92">
        <f t="shared" si="9"/>
        <v>104</v>
      </c>
      <c r="F33" s="92">
        <f t="shared" si="9"/>
        <v>605</v>
      </c>
      <c r="G33" s="92">
        <f t="shared" si="9"/>
        <v>1092</v>
      </c>
      <c r="H33" s="92">
        <f t="shared" si="9"/>
        <v>0</v>
      </c>
      <c r="I33" s="92">
        <f t="shared" si="9"/>
        <v>198</v>
      </c>
      <c r="J33" s="92">
        <f t="shared" si="9"/>
        <v>248</v>
      </c>
      <c r="K33" s="92">
        <f t="shared" si="9"/>
        <v>169</v>
      </c>
      <c r="L33" s="92">
        <f t="shared" si="9"/>
        <v>87</v>
      </c>
      <c r="M33" s="92">
        <f t="shared" si="9"/>
        <v>656</v>
      </c>
      <c r="N33" s="92">
        <f t="shared" si="9"/>
        <v>734</v>
      </c>
      <c r="O33" s="92">
        <f t="shared" si="9"/>
        <v>0</v>
      </c>
      <c r="P33" s="92">
        <f t="shared" si="9"/>
        <v>54</v>
      </c>
      <c r="Q33" s="92">
        <f t="shared" si="9"/>
        <v>25</v>
      </c>
      <c r="R33" s="92">
        <f t="shared" si="9"/>
        <v>22</v>
      </c>
      <c r="S33" s="92">
        <f t="shared" si="9"/>
        <v>10</v>
      </c>
      <c r="T33" s="92">
        <f t="shared" si="9"/>
        <v>356</v>
      </c>
      <c r="U33" s="92">
        <f t="shared" si="9"/>
        <v>612</v>
      </c>
      <c r="V33" s="92">
        <f t="shared" si="9"/>
        <v>0</v>
      </c>
      <c r="W33" s="92">
        <f t="shared" si="9"/>
        <v>43</v>
      </c>
      <c r="X33" s="92">
        <f t="shared" si="9"/>
        <v>30</v>
      </c>
      <c r="Y33" s="92">
        <f t="shared" si="9"/>
        <v>18</v>
      </c>
      <c r="Z33" s="92">
        <f t="shared" si="9"/>
        <v>20</v>
      </c>
      <c r="AA33" s="92">
        <f t="shared" si="9"/>
        <v>354</v>
      </c>
      <c r="AB33" s="92">
        <f t="shared" si="9"/>
        <v>470</v>
      </c>
      <c r="AC33" s="92">
        <f t="shared" si="9"/>
        <v>0</v>
      </c>
      <c r="AD33" s="92">
        <f t="shared" si="9"/>
        <v>22</v>
      </c>
      <c r="AE33" s="92">
        <f t="shared" si="9"/>
        <v>23</v>
      </c>
      <c r="AF33" s="92">
        <f t="shared" si="9"/>
        <v>13</v>
      </c>
      <c r="AG33" s="92">
        <f t="shared" si="9"/>
        <v>16</v>
      </c>
      <c r="AH33" s="93">
        <f t="shared" si="6"/>
        <v>6459</v>
      </c>
      <c r="AI33" s="27"/>
      <c r="AJ33" s="27"/>
      <c r="AK33" s="73"/>
      <c r="AL33" s="28"/>
      <c r="AM33" s="3"/>
      <c r="AN33" s="75"/>
      <c r="AO33" s="30"/>
    </row>
    <row r="34" spans="2:41" s="25" customFormat="1" ht="18" customHeight="1" x14ac:dyDescent="0.2">
      <c r="B34" s="100" t="s">
        <v>21</v>
      </c>
      <c r="C34" s="100">
        <f t="shared" ref="C34:AG35" si="10">C10/6000</f>
        <v>262</v>
      </c>
      <c r="D34" s="100">
        <f t="shared" si="10"/>
        <v>219</v>
      </c>
      <c r="E34" s="100">
        <f t="shared" si="10"/>
        <v>127</v>
      </c>
      <c r="F34" s="100">
        <f t="shared" si="10"/>
        <v>0</v>
      </c>
      <c r="G34" s="100">
        <f t="shared" si="10"/>
        <v>0</v>
      </c>
      <c r="H34" s="100">
        <f t="shared" si="10"/>
        <v>0</v>
      </c>
      <c r="I34" s="100">
        <f t="shared" si="10"/>
        <v>237</v>
      </c>
      <c r="J34" s="100">
        <f t="shared" si="10"/>
        <v>258</v>
      </c>
      <c r="K34" s="100">
        <f t="shared" si="10"/>
        <v>182</v>
      </c>
      <c r="L34" s="100">
        <f t="shared" si="10"/>
        <v>79</v>
      </c>
      <c r="M34" s="100">
        <f t="shared" si="10"/>
        <v>0</v>
      </c>
      <c r="N34" s="100">
        <f t="shared" si="10"/>
        <v>0</v>
      </c>
      <c r="O34" s="100">
        <f t="shared" si="10"/>
        <v>0</v>
      </c>
      <c r="P34" s="100">
        <f t="shared" si="10"/>
        <v>71</v>
      </c>
      <c r="Q34" s="100">
        <f t="shared" si="10"/>
        <v>52</v>
      </c>
      <c r="R34" s="100">
        <f t="shared" si="10"/>
        <v>44</v>
      </c>
      <c r="S34" s="100">
        <f t="shared" si="10"/>
        <v>45</v>
      </c>
      <c r="T34" s="100">
        <f t="shared" si="10"/>
        <v>0</v>
      </c>
      <c r="U34" s="100">
        <f t="shared" si="10"/>
        <v>0</v>
      </c>
      <c r="V34" s="100">
        <f t="shared" si="10"/>
        <v>0</v>
      </c>
      <c r="W34" s="100">
        <f t="shared" si="10"/>
        <v>45</v>
      </c>
      <c r="X34" s="100">
        <f t="shared" si="10"/>
        <v>28</v>
      </c>
      <c r="Y34" s="100">
        <f t="shared" si="10"/>
        <v>29</v>
      </c>
      <c r="Z34" s="100">
        <f t="shared" si="10"/>
        <v>19</v>
      </c>
      <c r="AA34" s="100">
        <f t="shared" si="10"/>
        <v>0</v>
      </c>
      <c r="AB34" s="100">
        <f t="shared" si="10"/>
        <v>0</v>
      </c>
      <c r="AC34" s="100">
        <f t="shared" si="10"/>
        <v>0</v>
      </c>
      <c r="AD34" s="100">
        <f t="shared" si="10"/>
        <v>64</v>
      </c>
      <c r="AE34" s="100">
        <f t="shared" si="10"/>
        <v>45</v>
      </c>
      <c r="AF34" s="100">
        <f t="shared" si="10"/>
        <v>28</v>
      </c>
      <c r="AG34" s="100">
        <f t="shared" si="10"/>
        <v>32</v>
      </c>
      <c r="AH34" s="93">
        <f t="shared" si="6"/>
        <v>1866</v>
      </c>
      <c r="AI34" s="27"/>
      <c r="AJ34" s="27"/>
      <c r="AK34" s="73"/>
      <c r="AL34" s="28"/>
      <c r="AM34" s="3" t="s">
        <v>10</v>
      </c>
      <c r="AN34" s="75">
        <f t="shared" si="7"/>
        <v>1866</v>
      </c>
      <c r="AO34" s="30"/>
    </row>
    <row r="35" spans="2:41" s="25" customFormat="1" ht="18" customHeight="1" thickBot="1" x14ac:dyDescent="0.25">
      <c r="B35" s="100" t="s">
        <v>22</v>
      </c>
      <c r="C35" s="100">
        <f t="shared" si="10"/>
        <v>218</v>
      </c>
      <c r="D35" s="100">
        <f t="shared" si="10"/>
        <v>141</v>
      </c>
      <c r="E35" s="100">
        <f t="shared" si="10"/>
        <v>89</v>
      </c>
      <c r="F35" s="100">
        <f t="shared" si="10"/>
        <v>0</v>
      </c>
      <c r="G35" s="100">
        <f t="shared" si="10"/>
        <v>0</v>
      </c>
      <c r="H35" s="100">
        <f t="shared" si="10"/>
        <v>0</v>
      </c>
      <c r="I35" s="100">
        <f t="shared" si="10"/>
        <v>201</v>
      </c>
      <c r="J35" s="100">
        <f t="shared" si="10"/>
        <v>208</v>
      </c>
      <c r="K35" s="100">
        <f t="shared" si="10"/>
        <v>142</v>
      </c>
      <c r="L35" s="100">
        <f t="shared" si="10"/>
        <v>65</v>
      </c>
      <c r="M35" s="100">
        <f t="shared" si="10"/>
        <v>0</v>
      </c>
      <c r="N35" s="100">
        <f t="shared" si="10"/>
        <v>0</v>
      </c>
      <c r="O35" s="100">
        <f t="shared" si="10"/>
        <v>0</v>
      </c>
      <c r="P35" s="100">
        <f t="shared" si="10"/>
        <v>48</v>
      </c>
      <c r="Q35" s="100">
        <f t="shared" si="10"/>
        <v>33</v>
      </c>
      <c r="R35" s="100">
        <f t="shared" si="10"/>
        <v>35</v>
      </c>
      <c r="S35" s="100">
        <f t="shared" si="10"/>
        <v>38</v>
      </c>
      <c r="T35" s="100">
        <f t="shared" si="10"/>
        <v>0</v>
      </c>
      <c r="U35" s="100">
        <f t="shared" si="10"/>
        <v>0</v>
      </c>
      <c r="V35" s="100">
        <f t="shared" si="10"/>
        <v>0</v>
      </c>
      <c r="W35" s="100">
        <f t="shared" si="10"/>
        <v>26</v>
      </c>
      <c r="X35" s="100">
        <f t="shared" si="10"/>
        <v>17</v>
      </c>
      <c r="Y35" s="100">
        <f t="shared" si="10"/>
        <v>25</v>
      </c>
      <c r="Z35" s="100">
        <f t="shared" si="10"/>
        <v>12</v>
      </c>
      <c r="AA35" s="100">
        <f t="shared" si="10"/>
        <v>0</v>
      </c>
      <c r="AB35" s="100">
        <f t="shared" si="10"/>
        <v>0</v>
      </c>
      <c r="AC35" s="100">
        <f t="shared" si="10"/>
        <v>0</v>
      </c>
      <c r="AD35" s="100">
        <f t="shared" si="10"/>
        <v>46</v>
      </c>
      <c r="AE35" s="100">
        <f t="shared" si="10"/>
        <v>25</v>
      </c>
      <c r="AF35" s="100">
        <f t="shared" si="10"/>
        <v>20</v>
      </c>
      <c r="AG35" s="100">
        <f t="shared" si="10"/>
        <v>24</v>
      </c>
      <c r="AH35" s="93">
        <f t="shared" si="6"/>
        <v>1413</v>
      </c>
      <c r="AI35" s="27"/>
      <c r="AJ35" s="27"/>
      <c r="AK35" s="73"/>
      <c r="AL35" s="28"/>
      <c r="AM35" s="77" t="s">
        <v>15</v>
      </c>
      <c r="AN35" s="75">
        <f t="shared" si="7"/>
        <v>1413</v>
      </c>
      <c r="AO35" s="30"/>
    </row>
    <row r="36" spans="2:41" s="29" customFormat="1" ht="18" customHeight="1" x14ac:dyDescent="0.2">
      <c r="B36" s="100" t="s">
        <v>24</v>
      </c>
      <c r="C36" s="100">
        <f t="shared" ref="C36:AG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100">
        <f t="shared" si="11"/>
        <v>0</v>
      </c>
      <c r="AF36" s="100">
        <f t="shared" si="11"/>
        <v>0</v>
      </c>
      <c r="AG36" s="100">
        <f t="shared" si="11"/>
        <v>0</v>
      </c>
      <c r="AH36" s="93">
        <f t="shared" si="6"/>
        <v>0</v>
      </c>
      <c r="AI36" s="27"/>
      <c r="AJ36" s="27"/>
      <c r="AK36" s="73"/>
      <c r="AL36" s="28"/>
      <c r="AM36" s="78" t="s">
        <v>34</v>
      </c>
      <c r="AN36" s="75">
        <f t="shared" si="7"/>
        <v>0</v>
      </c>
    </row>
    <row r="37" spans="2:41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100">
        <f t="shared" si="11"/>
        <v>0</v>
      </c>
      <c r="AF37" s="100">
        <f t="shared" si="11"/>
        <v>0</v>
      </c>
      <c r="AG37" s="100">
        <f t="shared" si="11"/>
        <v>0</v>
      </c>
      <c r="AH37" s="93">
        <f t="shared" si="6"/>
        <v>0</v>
      </c>
      <c r="AI37" s="27"/>
      <c r="AJ37" s="27"/>
      <c r="AK37" s="73"/>
      <c r="AL37" s="28"/>
      <c r="AM37" s="79" t="s">
        <v>35</v>
      </c>
      <c r="AN37" s="75">
        <f t="shared" si="7"/>
        <v>0</v>
      </c>
    </row>
    <row r="38" spans="2:41" s="29" customFormat="1" ht="18" customHeight="1" x14ac:dyDescent="0.2">
      <c r="B38" s="104" t="s">
        <v>28</v>
      </c>
      <c r="C38" s="104">
        <f t="shared" ref="C38:AG39" si="12">C14/7500</f>
        <v>0</v>
      </c>
      <c r="D38" s="104">
        <f t="shared" si="12"/>
        <v>0</v>
      </c>
      <c r="E38" s="104">
        <f t="shared" si="12"/>
        <v>0</v>
      </c>
      <c r="F38" s="104">
        <f t="shared" si="12"/>
        <v>999</v>
      </c>
      <c r="G38" s="104">
        <f t="shared" si="12"/>
        <v>3137</v>
      </c>
      <c r="H38" s="104">
        <f t="shared" si="12"/>
        <v>0</v>
      </c>
      <c r="I38" s="104">
        <f t="shared" si="12"/>
        <v>0</v>
      </c>
      <c r="J38" s="104">
        <f t="shared" si="12"/>
        <v>0</v>
      </c>
      <c r="K38" s="104">
        <f t="shared" si="12"/>
        <v>0</v>
      </c>
      <c r="L38" s="104">
        <f t="shared" si="12"/>
        <v>0</v>
      </c>
      <c r="M38" s="104">
        <f t="shared" si="12"/>
        <v>1162</v>
      </c>
      <c r="N38" s="104">
        <f t="shared" si="12"/>
        <v>1643</v>
      </c>
      <c r="O38" s="104">
        <f t="shared" si="12"/>
        <v>0</v>
      </c>
      <c r="P38" s="104">
        <f t="shared" si="12"/>
        <v>0</v>
      </c>
      <c r="Q38" s="104">
        <f t="shared" si="12"/>
        <v>0</v>
      </c>
      <c r="R38" s="104">
        <f t="shared" si="12"/>
        <v>0</v>
      </c>
      <c r="S38" s="104">
        <f t="shared" si="12"/>
        <v>0</v>
      </c>
      <c r="T38" s="104">
        <f t="shared" si="12"/>
        <v>636</v>
      </c>
      <c r="U38" s="104">
        <f t="shared" si="12"/>
        <v>1203</v>
      </c>
      <c r="V38" s="104">
        <f t="shared" si="12"/>
        <v>0</v>
      </c>
      <c r="W38" s="104">
        <f t="shared" si="12"/>
        <v>0</v>
      </c>
      <c r="X38" s="104">
        <f t="shared" si="12"/>
        <v>0</v>
      </c>
      <c r="Y38" s="104">
        <f t="shared" si="12"/>
        <v>0</v>
      </c>
      <c r="Z38" s="104">
        <f t="shared" si="12"/>
        <v>0</v>
      </c>
      <c r="AA38" s="104">
        <f t="shared" si="12"/>
        <v>623</v>
      </c>
      <c r="AB38" s="104">
        <f t="shared" si="12"/>
        <v>993</v>
      </c>
      <c r="AC38" s="104">
        <f t="shared" si="12"/>
        <v>0</v>
      </c>
      <c r="AD38" s="104">
        <f t="shared" si="12"/>
        <v>0</v>
      </c>
      <c r="AE38" s="104">
        <f t="shared" si="12"/>
        <v>0</v>
      </c>
      <c r="AF38" s="104">
        <f t="shared" si="12"/>
        <v>0</v>
      </c>
      <c r="AG38" s="104">
        <f t="shared" si="12"/>
        <v>0</v>
      </c>
      <c r="AH38" s="93">
        <f t="shared" si="6"/>
        <v>10396</v>
      </c>
      <c r="AI38" s="27"/>
      <c r="AJ38" s="27"/>
      <c r="AK38" s="73"/>
      <c r="AL38" s="28"/>
      <c r="AM38" s="79" t="s">
        <v>36</v>
      </c>
      <c r="AN38" s="75">
        <f t="shared" si="7"/>
        <v>10396</v>
      </c>
    </row>
    <row r="39" spans="2:41" s="29" customFormat="1" ht="18" customHeight="1" x14ac:dyDescent="0.2">
      <c r="B39" s="104" t="s">
        <v>30</v>
      </c>
      <c r="C39" s="104">
        <f t="shared" si="12"/>
        <v>0</v>
      </c>
      <c r="D39" s="104">
        <f t="shared" si="12"/>
        <v>0</v>
      </c>
      <c r="E39" s="104">
        <f t="shared" si="12"/>
        <v>0</v>
      </c>
      <c r="F39" s="104">
        <f t="shared" si="12"/>
        <v>749</v>
      </c>
      <c r="G39" s="104">
        <f t="shared" si="12"/>
        <v>2425</v>
      </c>
      <c r="H39" s="104">
        <f t="shared" si="12"/>
        <v>0</v>
      </c>
      <c r="I39" s="104">
        <f t="shared" si="12"/>
        <v>0</v>
      </c>
      <c r="J39" s="104">
        <f t="shared" si="12"/>
        <v>0</v>
      </c>
      <c r="K39" s="104">
        <f t="shared" si="12"/>
        <v>0</v>
      </c>
      <c r="L39" s="104">
        <f t="shared" si="12"/>
        <v>0</v>
      </c>
      <c r="M39" s="104">
        <f t="shared" si="12"/>
        <v>884</v>
      </c>
      <c r="N39" s="104">
        <f t="shared" si="12"/>
        <v>1290</v>
      </c>
      <c r="O39" s="104">
        <f t="shared" si="12"/>
        <v>0</v>
      </c>
      <c r="P39" s="104">
        <f t="shared" si="12"/>
        <v>0</v>
      </c>
      <c r="Q39" s="104">
        <f t="shared" si="12"/>
        <v>0</v>
      </c>
      <c r="R39" s="104">
        <f t="shared" si="12"/>
        <v>0</v>
      </c>
      <c r="S39" s="104">
        <f t="shared" si="12"/>
        <v>0</v>
      </c>
      <c r="T39" s="104">
        <f t="shared" si="12"/>
        <v>437</v>
      </c>
      <c r="U39" s="104">
        <f t="shared" si="12"/>
        <v>891</v>
      </c>
      <c r="V39" s="104">
        <f t="shared" si="12"/>
        <v>0</v>
      </c>
      <c r="W39" s="104">
        <f t="shared" si="12"/>
        <v>0</v>
      </c>
      <c r="X39" s="104">
        <f t="shared" si="12"/>
        <v>0</v>
      </c>
      <c r="Y39" s="104">
        <f t="shared" si="12"/>
        <v>0</v>
      </c>
      <c r="Z39" s="104">
        <f t="shared" si="12"/>
        <v>0</v>
      </c>
      <c r="AA39" s="104">
        <f t="shared" si="12"/>
        <v>431</v>
      </c>
      <c r="AB39" s="104">
        <f t="shared" si="12"/>
        <v>893</v>
      </c>
      <c r="AC39" s="104">
        <f t="shared" si="12"/>
        <v>0</v>
      </c>
      <c r="AD39" s="104">
        <f t="shared" si="12"/>
        <v>0</v>
      </c>
      <c r="AE39" s="104">
        <f t="shared" si="12"/>
        <v>0</v>
      </c>
      <c r="AF39" s="104">
        <f t="shared" si="12"/>
        <v>0</v>
      </c>
      <c r="AG39" s="104">
        <f t="shared" si="12"/>
        <v>0</v>
      </c>
      <c r="AH39" s="93">
        <f t="shared" si="6"/>
        <v>8000</v>
      </c>
      <c r="AI39" s="27"/>
      <c r="AJ39" s="27"/>
      <c r="AK39" s="73"/>
      <c r="AL39" s="28"/>
      <c r="AM39" s="79" t="s">
        <v>37</v>
      </c>
      <c r="AN39" s="75">
        <f t="shared" si="7"/>
        <v>8000</v>
      </c>
    </row>
    <row r="40" spans="2:41" s="29" customFormat="1" ht="18" customHeight="1" thickBot="1" x14ac:dyDescent="0.25">
      <c r="B40" s="104" t="s">
        <v>31</v>
      </c>
      <c r="C40" s="104">
        <f t="shared" ref="C40:AG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>
        <f t="shared" si="13"/>
        <v>0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>
        <f t="shared" si="13"/>
        <v>0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104">
        <f t="shared" si="13"/>
        <v>0</v>
      </c>
      <c r="AF40" s="104">
        <f t="shared" si="13"/>
        <v>0</v>
      </c>
      <c r="AG40" s="104">
        <f t="shared" si="13"/>
        <v>0</v>
      </c>
      <c r="AH40" s="93">
        <f t="shared" si="6"/>
        <v>0</v>
      </c>
      <c r="AI40" s="27"/>
      <c r="AJ40" s="27"/>
      <c r="AK40" s="73"/>
      <c r="AL40" s="28"/>
      <c r="AM40" s="77" t="s">
        <v>15</v>
      </c>
      <c r="AN40" s="75">
        <f t="shared" si="7"/>
        <v>0</v>
      </c>
    </row>
    <row r="41" spans="2:41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104">
        <f t="shared" si="13"/>
        <v>0</v>
      </c>
      <c r="AF41" s="104">
        <f t="shared" si="13"/>
        <v>0</v>
      </c>
      <c r="AG41" s="104">
        <f t="shared" si="13"/>
        <v>0</v>
      </c>
      <c r="AH41" s="93">
        <f t="shared" si="6"/>
        <v>0</v>
      </c>
      <c r="AI41" s="6"/>
      <c r="AJ41" s="6"/>
      <c r="AK41" s="14"/>
      <c r="AL41" s="28"/>
      <c r="AM41" s="70"/>
      <c r="AN41" s="80"/>
      <c r="AO41" s="30"/>
    </row>
    <row r="42" spans="2:41" s="25" customFormat="1" ht="18" customHeight="1" x14ac:dyDescent="0.2">
      <c r="B42" s="92" t="s">
        <v>6</v>
      </c>
      <c r="C42" s="92">
        <f t="shared" ref="C42:AG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2">
        <f t="shared" si="14"/>
        <v>0</v>
      </c>
      <c r="AF42" s="92">
        <f t="shared" si="14"/>
        <v>0</v>
      </c>
      <c r="AG42" s="92">
        <f t="shared" si="14"/>
        <v>0</v>
      </c>
      <c r="AH42" s="93">
        <f t="shared" si="6"/>
        <v>0</v>
      </c>
      <c r="AI42" s="6"/>
      <c r="AJ42" s="6"/>
      <c r="AK42" s="14"/>
      <c r="AL42" s="28"/>
      <c r="AM42" s="70"/>
      <c r="AN42" s="29"/>
      <c r="AO42" s="30"/>
    </row>
    <row r="43" spans="2:41" s="17" customFormat="1" ht="18" customHeight="1" x14ac:dyDescent="0.2">
      <c r="B43" s="92" t="s">
        <v>7</v>
      </c>
      <c r="C43" s="92">
        <f t="shared" ref="C43:AG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2">
        <f t="shared" si="15"/>
        <v>0</v>
      </c>
      <c r="AF43" s="92">
        <f t="shared" si="15"/>
        <v>0</v>
      </c>
      <c r="AG43" s="92">
        <f t="shared" si="15"/>
        <v>0</v>
      </c>
      <c r="AH43" s="93">
        <f t="shared" si="6"/>
        <v>0</v>
      </c>
      <c r="AI43" s="2"/>
      <c r="AJ43" s="2"/>
      <c r="AK43" s="14"/>
      <c r="AL43" s="15"/>
      <c r="AM43" s="16"/>
    </row>
    <row r="44" spans="2:41" s="17" customFormat="1" ht="18" customHeight="1" x14ac:dyDescent="0.2">
      <c r="B44" s="92" t="s">
        <v>8</v>
      </c>
      <c r="C44" s="92">
        <f t="shared" ref="C44:AG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2">
        <f t="shared" si="16"/>
        <v>0</v>
      </c>
      <c r="AF44" s="92">
        <f t="shared" si="16"/>
        <v>0</v>
      </c>
      <c r="AG44" s="92">
        <f t="shared" si="16"/>
        <v>0</v>
      </c>
      <c r="AH44" s="93">
        <f t="shared" si="6"/>
        <v>0</v>
      </c>
      <c r="AI44" s="2"/>
      <c r="AJ44" s="2"/>
      <c r="AK44" s="14"/>
      <c r="AL44" s="15"/>
      <c r="AM44" s="16"/>
    </row>
    <row r="45" spans="2:41" s="17" customFormat="1" ht="18" customHeight="1" x14ac:dyDescent="0.2">
      <c r="B45" s="92" t="s">
        <v>9</v>
      </c>
      <c r="C45" s="92">
        <f t="shared" ref="C45:AG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2">
        <f t="shared" si="17"/>
        <v>0</v>
      </c>
      <c r="AF45" s="92">
        <f t="shared" si="17"/>
        <v>0</v>
      </c>
      <c r="AG45" s="92">
        <f t="shared" si="17"/>
        <v>0</v>
      </c>
      <c r="AH45" s="93">
        <f t="shared" si="6"/>
        <v>0</v>
      </c>
      <c r="AI45" s="2"/>
      <c r="AJ45" s="2"/>
      <c r="AK45" s="14"/>
      <c r="AL45" s="15"/>
      <c r="AM45" s="16"/>
    </row>
    <row r="46" spans="2:41" s="17" customFormat="1" ht="18" customHeight="1" x14ac:dyDescent="0.2">
      <c r="B46" s="92" t="s">
        <v>10</v>
      </c>
      <c r="C46" s="92">
        <f t="shared" ref="C46:AG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2">
        <f t="shared" si="18"/>
        <v>0</v>
      </c>
      <c r="AF46" s="92">
        <f t="shared" si="18"/>
        <v>0</v>
      </c>
      <c r="AG46" s="92">
        <f t="shared" si="18"/>
        <v>0</v>
      </c>
      <c r="AH46" s="93">
        <f t="shared" si="6"/>
        <v>0</v>
      </c>
      <c r="AI46" s="2"/>
      <c r="AJ46" s="2"/>
      <c r="AK46" s="14"/>
      <c r="AL46" s="15"/>
      <c r="AM46" s="16"/>
    </row>
    <row r="47" spans="2:41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2"/>
      <c r="AI47" s="2"/>
      <c r="AJ47" s="2"/>
      <c r="AK47" s="14"/>
      <c r="AL47" s="15"/>
      <c r="AM47" s="16"/>
    </row>
    <row r="48" spans="2:41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2"/>
      <c r="AI48" s="2"/>
      <c r="AJ48" s="2"/>
      <c r="AK48" s="14"/>
      <c r="AL48" s="15"/>
      <c r="AM48" s="16"/>
    </row>
    <row r="49" spans="2:40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2"/>
      <c r="AI49" s="2"/>
      <c r="AJ49" s="2"/>
      <c r="AK49" s="14"/>
      <c r="AL49" s="15"/>
      <c r="AM49" s="16"/>
    </row>
    <row r="50" spans="2:40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2"/>
      <c r="AI50" s="2"/>
      <c r="AJ50" s="2"/>
      <c r="AK50" s="14"/>
      <c r="AL50" s="15"/>
      <c r="AM50" s="81"/>
      <c r="AN50" s="17"/>
    </row>
    <row r="51" spans="2:40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"/>
      <c r="AI51" s="2"/>
      <c r="AJ51" s="2"/>
      <c r="AK51" s="14"/>
      <c r="AL51" s="15"/>
      <c r="AM51" s="81"/>
      <c r="AN51" s="17"/>
    </row>
    <row r="52" spans="2:40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2"/>
      <c r="AI52" s="2"/>
      <c r="AJ52" s="2"/>
      <c r="AK52" s="14"/>
      <c r="AL52" s="15"/>
      <c r="AM52" s="81"/>
      <c r="AN52" s="17"/>
    </row>
    <row r="53" spans="2:40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2"/>
      <c r="AJ53" s="2"/>
      <c r="AK53" s="14"/>
      <c r="AL53" s="15"/>
      <c r="AM53" s="81"/>
      <c r="AN53" s="17"/>
    </row>
    <row r="54" spans="2:40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2"/>
      <c r="AI54" s="2"/>
      <c r="AJ54" s="2"/>
      <c r="AK54" s="14"/>
      <c r="AL54" s="15"/>
      <c r="AM54" s="81"/>
      <c r="AN54" s="17"/>
    </row>
    <row r="55" spans="2:40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2"/>
      <c r="AI55" s="2"/>
      <c r="AJ55" s="2"/>
      <c r="AK55" s="14"/>
      <c r="AL55" s="15"/>
      <c r="AM55" s="81"/>
      <c r="AN55" s="17"/>
    </row>
    <row r="56" spans="2:40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2"/>
      <c r="AI56" s="2"/>
      <c r="AJ56" s="2"/>
      <c r="AK56" s="14"/>
      <c r="AL56" s="15"/>
      <c r="AM56" s="81"/>
      <c r="AN56" s="17"/>
    </row>
    <row r="57" spans="2:40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"/>
      <c r="AI57" s="2"/>
      <c r="AJ57" s="2"/>
      <c r="AK57" s="14"/>
      <c r="AL57" s="15"/>
      <c r="AM57" s="81"/>
      <c r="AN57" s="17"/>
    </row>
    <row r="58" spans="2:40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2"/>
      <c r="AI58" s="2"/>
      <c r="AJ58" s="2"/>
      <c r="AK58" s="14"/>
      <c r="AL58" s="15"/>
      <c r="AM58" s="81"/>
      <c r="AN58" s="17"/>
    </row>
    <row r="59" spans="2:40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2"/>
      <c r="AI59" s="2"/>
      <c r="AJ59" s="2"/>
      <c r="AK59" s="14"/>
      <c r="AL59" s="15"/>
      <c r="AM59" s="81"/>
      <c r="AN59" s="17"/>
    </row>
    <row r="60" spans="2:40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2"/>
      <c r="AI60" s="2"/>
      <c r="AJ60" s="2"/>
      <c r="AK60" s="14"/>
      <c r="AL60" s="15"/>
      <c r="AM60" s="81"/>
      <c r="AN60" s="17"/>
    </row>
    <row r="61" spans="2:40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2"/>
      <c r="AI61" s="2"/>
      <c r="AJ61" s="2"/>
      <c r="AK61" s="14"/>
      <c r="AL61" s="15"/>
      <c r="AM61" s="81"/>
      <c r="AN61" s="17"/>
    </row>
    <row r="62" spans="2:40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2"/>
      <c r="AI62" s="2"/>
      <c r="AJ62" s="2"/>
      <c r="AK62" s="14"/>
      <c r="AL62" s="15"/>
      <c r="AM62" s="81"/>
      <c r="AN62" s="17"/>
    </row>
    <row r="63" spans="2:40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2"/>
      <c r="AI63" s="2"/>
      <c r="AJ63" s="2"/>
      <c r="AK63" s="14"/>
      <c r="AL63" s="15"/>
      <c r="AM63" s="81"/>
      <c r="AN63" s="17"/>
    </row>
    <row r="64" spans="2:40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2"/>
      <c r="AI64" s="2"/>
      <c r="AJ64" s="2"/>
      <c r="AK64" s="14"/>
      <c r="AL64" s="15"/>
      <c r="AM64" s="81"/>
      <c r="AN64" s="17"/>
    </row>
    <row r="65" spans="2:40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2"/>
      <c r="AI65" s="2"/>
      <c r="AJ65" s="2"/>
      <c r="AK65" s="14"/>
      <c r="AL65" s="15"/>
      <c r="AM65" s="81"/>
      <c r="AN65" s="17"/>
    </row>
    <row r="66" spans="2:40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2"/>
      <c r="AI66" s="2"/>
      <c r="AJ66" s="2"/>
      <c r="AK66" s="14"/>
      <c r="AL66" s="15"/>
      <c r="AM66" s="81"/>
      <c r="AN66" s="17"/>
    </row>
    <row r="67" spans="2:40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2"/>
      <c r="AI67" s="2"/>
      <c r="AJ67" s="2"/>
      <c r="AK67" s="14"/>
      <c r="AL67" s="15"/>
      <c r="AM67" s="81"/>
      <c r="AN67" s="17"/>
    </row>
    <row r="68" spans="2:40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2"/>
      <c r="AI68" s="2"/>
      <c r="AJ68" s="2"/>
      <c r="AK68" s="14"/>
      <c r="AL68" s="15"/>
      <c r="AM68" s="81"/>
      <c r="AN68" s="17"/>
    </row>
    <row r="69" spans="2:40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2"/>
      <c r="AI69" s="2"/>
      <c r="AJ69" s="2"/>
      <c r="AK69" s="14"/>
      <c r="AL69" s="15"/>
      <c r="AM69" s="81"/>
      <c r="AN69" s="17"/>
    </row>
    <row r="70" spans="2:40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2"/>
      <c r="AI70" s="2"/>
      <c r="AJ70" s="2"/>
      <c r="AK70" s="14"/>
      <c r="AL70" s="15"/>
      <c r="AM70" s="81"/>
      <c r="AN70" s="17"/>
    </row>
    <row r="71" spans="2:40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2"/>
      <c r="AI71" s="2"/>
      <c r="AJ71" s="2"/>
      <c r="AK71" s="14"/>
      <c r="AL71" s="15"/>
      <c r="AM71" s="81"/>
      <c r="AN71" s="17"/>
    </row>
    <row r="72" spans="2:40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2"/>
      <c r="AI72" s="2"/>
      <c r="AJ72" s="2"/>
      <c r="AK72" s="14"/>
      <c r="AL72" s="15"/>
      <c r="AM72" s="81"/>
      <c r="AN72" s="17"/>
    </row>
    <row r="73" spans="2:40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2"/>
      <c r="AI73" s="2"/>
      <c r="AJ73" s="2"/>
      <c r="AK73" s="14"/>
      <c r="AL73" s="15"/>
      <c r="AM73" s="81"/>
      <c r="AN73" s="17"/>
    </row>
    <row r="74" spans="2:40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2"/>
      <c r="AI74" s="2"/>
      <c r="AJ74" s="2"/>
      <c r="AK74" s="14"/>
      <c r="AL74" s="15"/>
      <c r="AM74" s="81"/>
      <c r="AN74" s="17"/>
    </row>
    <row r="75" spans="2:40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2"/>
      <c r="AI75" s="2"/>
      <c r="AJ75" s="2"/>
      <c r="AK75" s="14"/>
      <c r="AL75" s="15"/>
      <c r="AM75" s="81"/>
      <c r="AN75" s="17"/>
    </row>
    <row r="76" spans="2:40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2"/>
      <c r="AI76" s="2"/>
      <c r="AJ76" s="2"/>
      <c r="AK76" s="14"/>
      <c r="AL76" s="15"/>
      <c r="AM76" s="81"/>
      <c r="AN76" s="17"/>
    </row>
    <row r="77" spans="2:40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2"/>
      <c r="AI77" s="2"/>
      <c r="AJ77" s="2"/>
      <c r="AK77" s="14"/>
      <c r="AL77" s="15"/>
      <c r="AM77" s="81"/>
      <c r="AN77" s="17"/>
    </row>
    <row r="78" spans="2:40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2"/>
      <c r="AI78" s="2"/>
      <c r="AJ78" s="2"/>
      <c r="AK78" s="14"/>
      <c r="AL78" s="15"/>
      <c r="AM78" s="81"/>
      <c r="AN78" s="17"/>
    </row>
    <row r="79" spans="2:40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2"/>
      <c r="AI79" s="2"/>
      <c r="AJ79" s="2"/>
      <c r="AK79" s="14"/>
      <c r="AL79" s="15"/>
      <c r="AM79" s="81"/>
      <c r="AN79" s="17"/>
    </row>
    <row r="80" spans="2:40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2"/>
      <c r="AI80" s="2"/>
      <c r="AJ80" s="2"/>
      <c r="AK80" s="14"/>
      <c r="AL80" s="15"/>
      <c r="AM80" s="81"/>
      <c r="AN80" s="17"/>
    </row>
    <row r="81" spans="2:41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2"/>
      <c r="AI81" s="2"/>
      <c r="AJ81" s="2"/>
      <c r="AK81" s="14"/>
      <c r="AL81" s="15"/>
      <c r="AM81" s="81"/>
      <c r="AN81" s="17"/>
    </row>
    <row r="82" spans="2:41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2"/>
      <c r="AI82" s="2"/>
      <c r="AJ82" s="2"/>
      <c r="AK82" s="14"/>
      <c r="AL82" s="15"/>
      <c r="AM82" s="81"/>
      <c r="AN82" s="17"/>
    </row>
    <row r="83" spans="2:41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2"/>
      <c r="AI83" s="2"/>
      <c r="AJ83" s="2"/>
      <c r="AK83" s="14"/>
      <c r="AL83" s="15"/>
      <c r="AM83" s="81"/>
      <c r="AN83" s="17"/>
    </row>
    <row r="84" spans="2:41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2"/>
      <c r="AI84" s="2"/>
      <c r="AJ84" s="2"/>
      <c r="AK84" s="14"/>
      <c r="AL84" s="15"/>
      <c r="AM84" s="81"/>
      <c r="AN84" s="17"/>
    </row>
    <row r="85" spans="2:41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2"/>
      <c r="AI85" s="2"/>
      <c r="AJ85" s="2"/>
      <c r="AK85" s="14"/>
      <c r="AL85" s="15"/>
      <c r="AM85" s="81"/>
      <c r="AN85" s="17"/>
    </row>
    <row r="86" spans="2:41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2"/>
      <c r="AI86" s="2"/>
      <c r="AJ86" s="2"/>
      <c r="AK86" s="14"/>
      <c r="AL86" s="15"/>
      <c r="AM86" s="81"/>
      <c r="AN86" s="17"/>
    </row>
    <row r="87" spans="2:41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2"/>
      <c r="AI87" s="2"/>
      <c r="AJ87" s="2"/>
      <c r="AK87" s="14"/>
      <c r="AL87" s="15"/>
      <c r="AM87" s="81"/>
      <c r="AN87" s="17"/>
    </row>
    <row r="88" spans="2:41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2"/>
      <c r="AI88" s="2"/>
      <c r="AJ88" s="2"/>
      <c r="AK88" s="14"/>
      <c r="AL88" s="15"/>
      <c r="AM88" s="81"/>
      <c r="AN88" s="17"/>
    </row>
    <row r="89" spans="2:41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2"/>
      <c r="AI89" s="2"/>
      <c r="AJ89" s="2"/>
      <c r="AK89" s="14"/>
      <c r="AL89" s="15"/>
      <c r="AM89" s="81"/>
      <c r="AN89" s="17"/>
    </row>
    <row r="90" spans="2:41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2"/>
      <c r="AI90" s="2"/>
      <c r="AJ90" s="2"/>
      <c r="AK90" s="14"/>
      <c r="AL90" s="15"/>
      <c r="AM90" s="81"/>
      <c r="AN90" s="17"/>
    </row>
    <row r="91" spans="2:41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2"/>
      <c r="AI91" s="2"/>
      <c r="AJ91" s="2"/>
      <c r="AK91" s="14"/>
      <c r="AL91" s="15"/>
      <c r="AM91" s="81"/>
      <c r="AN91" s="17"/>
    </row>
    <row r="92" spans="2:41" x14ac:dyDescent="0.2">
      <c r="AO92" s="19"/>
    </row>
  </sheetData>
  <mergeCells count="5">
    <mergeCell ref="A1:AH1"/>
    <mergeCell ref="A3:A4"/>
    <mergeCell ref="B3:B4"/>
    <mergeCell ref="C3:AG3"/>
    <mergeCell ref="AH3:AH4"/>
  </mergeCells>
  <pageMargins left="0.75" right="0.75" top="1" bottom="1" header="0.5" footer="0.5"/>
  <pageSetup paperSize="12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EC0D-6A09-4609-AC84-B88BF8DE4F48}">
  <dimension ref="A1:AO92"/>
  <sheetViews>
    <sheetView zoomScale="93" zoomScaleNormal="93" workbookViewId="0">
      <pane xSplit="2" topLeftCell="AC1" activePane="topRight" state="frozen"/>
      <selection pane="topRight" activeCell="AK32" sqref="AK32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3" width="15.77734375" style="1" customWidth="1"/>
    <col min="34" max="34" width="15.77734375" style="2" customWidth="1"/>
    <col min="35" max="35" width="10.5546875" style="2" customWidth="1"/>
    <col min="36" max="36" width="14.21875" style="2" customWidth="1"/>
    <col min="37" max="37" width="12.88671875" style="14" customWidth="1"/>
    <col min="38" max="38" width="13.109375" style="15" bestFit="1" customWidth="1"/>
    <col min="39" max="39" width="27.21875" style="16" customWidth="1"/>
    <col min="40" max="40" width="14.44140625" style="17" bestFit="1" customWidth="1"/>
    <col min="41" max="41" width="11.77734375" style="18" bestFit="1" customWidth="1"/>
    <col min="42" max="44" width="8.88671875" style="19"/>
    <col min="45" max="45" width="13.44140625" style="19" bestFit="1" customWidth="1"/>
    <col min="46" max="256" width="8.88671875" style="19"/>
    <col min="257" max="257" width="5.109375" style="19" customWidth="1"/>
    <col min="258" max="258" width="49.33203125" style="19" customWidth="1"/>
    <col min="259" max="290" width="15.77734375" style="19" customWidth="1"/>
    <col min="291" max="292" width="10.5546875" style="19" customWidth="1"/>
    <col min="293" max="293" width="11" style="19" customWidth="1"/>
    <col min="294" max="294" width="13.109375" style="19" bestFit="1" customWidth="1"/>
    <col min="295" max="295" width="27.21875" style="19" customWidth="1"/>
    <col min="296" max="296" width="14.44140625" style="19" bestFit="1" customWidth="1"/>
    <col min="297" max="297" width="11.77734375" style="19" bestFit="1" customWidth="1"/>
    <col min="298" max="300" width="8.88671875" style="19"/>
    <col min="301" max="301" width="13.44140625" style="19" bestFit="1" customWidth="1"/>
    <col min="302" max="512" width="8.88671875" style="19"/>
    <col min="513" max="513" width="5.109375" style="19" customWidth="1"/>
    <col min="514" max="514" width="49.33203125" style="19" customWidth="1"/>
    <col min="515" max="546" width="15.77734375" style="19" customWidth="1"/>
    <col min="547" max="548" width="10.5546875" style="19" customWidth="1"/>
    <col min="549" max="549" width="11" style="19" customWidth="1"/>
    <col min="550" max="550" width="13.109375" style="19" bestFit="1" customWidth="1"/>
    <col min="551" max="551" width="27.21875" style="19" customWidth="1"/>
    <col min="552" max="552" width="14.44140625" style="19" bestFit="1" customWidth="1"/>
    <col min="553" max="553" width="11.77734375" style="19" bestFit="1" customWidth="1"/>
    <col min="554" max="556" width="8.88671875" style="19"/>
    <col min="557" max="557" width="13.44140625" style="19" bestFit="1" customWidth="1"/>
    <col min="558" max="768" width="8.88671875" style="19"/>
    <col min="769" max="769" width="5.109375" style="19" customWidth="1"/>
    <col min="770" max="770" width="49.33203125" style="19" customWidth="1"/>
    <col min="771" max="802" width="15.77734375" style="19" customWidth="1"/>
    <col min="803" max="804" width="10.5546875" style="19" customWidth="1"/>
    <col min="805" max="805" width="11" style="19" customWidth="1"/>
    <col min="806" max="806" width="13.109375" style="19" bestFit="1" customWidth="1"/>
    <col min="807" max="807" width="27.21875" style="19" customWidth="1"/>
    <col min="808" max="808" width="14.44140625" style="19" bestFit="1" customWidth="1"/>
    <col min="809" max="809" width="11.77734375" style="19" bestFit="1" customWidth="1"/>
    <col min="810" max="812" width="8.88671875" style="19"/>
    <col min="813" max="813" width="13.44140625" style="19" bestFit="1" customWidth="1"/>
    <col min="814" max="1024" width="8.88671875" style="19"/>
    <col min="1025" max="1025" width="5.109375" style="19" customWidth="1"/>
    <col min="1026" max="1026" width="49.33203125" style="19" customWidth="1"/>
    <col min="1027" max="1058" width="15.77734375" style="19" customWidth="1"/>
    <col min="1059" max="1060" width="10.5546875" style="19" customWidth="1"/>
    <col min="1061" max="1061" width="11" style="19" customWidth="1"/>
    <col min="1062" max="1062" width="13.109375" style="19" bestFit="1" customWidth="1"/>
    <col min="1063" max="1063" width="27.21875" style="19" customWidth="1"/>
    <col min="1064" max="1064" width="14.44140625" style="19" bestFit="1" customWidth="1"/>
    <col min="1065" max="1065" width="11.77734375" style="19" bestFit="1" customWidth="1"/>
    <col min="1066" max="1068" width="8.88671875" style="19"/>
    <col min="1069" max="1069" width="13.44140625" style="19" bestFit="1" customWidth="1"/>
    <col min="1070" max="1280" width="8.88671875" style="19"/>
    <col min="1281" max="1281" width="5.109375" style="19" customWidth="1"/>
    <col min="1282" max="1282" width="49.33203125" style="19" customWidth="1"/>
    <col min="1283" max="1314" width="15.77734375" style="19" customWidth="1"/>
    <col min="1315" max="1316" width="10.5546875" style="19" customWidth="1"/>
    <col min="1317" max="1317" width="11" style="19" customWidth="1"/>
    <col min="1318" max="1318" width="13.109375" style="19" bestFit="1" customWidth="1"/>
    <col min="1319" max="1319" width="27.21875" style="19" customWidth="1"/>
    <col min="1320" max="1320" width="14.44140625" style="19" bestFit="1" customWidth="1"/>
    <col min="1321" max="1321" width="11.77734375" style="19" bestFit="1" customWidth="1"/>
    <col min="1322" max="1324" width="8.88671875" style="19"/>
    <col min="1325" max="1325" width="13.44140625" style="19" bestFit="1" customWidth="1"/>
    <col min="1326" max="1536" width="8.88671875" style="19"/>
    <col min="1537" max="1537" width="5.109375" style="19" customWidth="1"/>
    <col min="1538" max="1538" width="49.33203125" style="19" customWidth="1"/>
    <col min="1539" max="1570" width="15.77734375" style="19" customWidth="1"/>
    <col min="1571" max="1572" width="10.5546875" style="19" customWidth="1"/>
    <col min="1573" max="1573" width="11" style="19" customWidth="1"/>
    <col min="1574" max="1574" width="13.109375" style="19" bestFit="1" customWidth="1"/>
    <col min="1575" max="1575" width="27.21875" style="19" customWidth="1"/>
    <col min="1576" max="1576" width="14.44140625" style="19" bestFit="1" customWidth="1"/>
    <col min="1577" max="1577" width="11.77734375" style="19" bestFit="1" customWidth="1"/>
    <col min="1578" max="1580" width="8.88671875" style="19"/>
    <col min="1581" max="1581" width="13.44140625" style="19" bestFit="1" customWidth="1"/>
    <col min="1582" max="1792" width="8.88671875" style="19"/>
    <col min="1793" max="1793" width="5.109375" style="19" customWidth="1"/>
    <col min="1794" max="1794" width="49.33203125" style="19" customWidth="1"/>
    <col min="1795" max="1826" width="15.77734375" style="19" customWidth="1"/>
    <col min="1827" max="1828" width="10.5546875" style="19" customWidth="1"/>
    <col min="1829" max="1829" width="11" style="19" customWidth="1"/>
    <col min="1830" max="1830" width="13.109375" style="19" bestFit="1" customWidth="1"/>
    <col min="1831" max="1831" width="27.21875" style="19" customWidth="1"/>
    <col min="1832" max="1832" width="14.44140625" style="19" bestFit="1" customWidth="1"/>
    <col min="1833" max="1833" width="11.77734375" style="19" bestFit="1" customWidth="1"/>
    <col min="1834" max="1836" width="8.88671875" style="19"/>
    <col min="1837" max="1837" width="13.44140625" style="19" bestFit="1" customWidth="1"/>
    <col min="1838" max="2048" width="8.88671875" style="19"/>
    <col min="2049" max="2049" width="5.109375" style="19" customWidth="1"/>
    <col min="2050" max="2050" width="49.33203125" style="19" customWidth="1"/>
    <col min="2051" max="2082" width="15.77734375" style="19" customWidth="1"/>
    <col min="2083" max="2084" width="10.5546875" style="19" customWidth="1"/>
    <col min="2085" max="2085" width="11" style="19" customWidth="1"/>
    <col min="2086" max="2086" width="13.109375" style="19" bestFit="1" customWidth="1"/>
    <col min="2087" max="2087" width="27.21875" style="19" customWidth="1"/>
    <col min="2088" max="2088" width="14.44140625" style="19" bestFit="1" customWidth="1"/>
    <col min="2089" max="2089" width="11.77734375" style="19" bestFit="1" customWidth="1"/>
    <col min="2090" max="2092" width="8.88671875" style="19"/>
    <col min="2093" max="2093" width="13.44140625" style="19" bestFit="1" customWidth="1"/>
    <col min="2094" max="2304" width="8.88671875" style="19"/>
    <col min="2305" max="2305" width="5.109375" style="19" customWidth="1"/>
    <col min="2306" max="2306" width="49.33203125" style="19" customWidth="1"/>
    <col min="2307" max="2338" width="15.77734375" style="19" customWidth="1"/>
    <col min="2339" max="2340" width="10.5546875" style="19" customWidth="1"/>
    <col min="2341" max="2341" width="11" style="19" customWidth="1"/>
    <col min="2342" max="2342" width="13.109375" style="19" bestFit="1" customWidth="1"/>
    <col min="2343" max="2343" width="27.21875" style="19" customWidth="1"/>
    <col min="2344" max="2344" width="14.44140625" style="19" bestFit="1" customWidth="1"/>
    <col min="2345" max="2345" width="11.77734375" style="19" bestFit="1" customWidth="1"/>
    <col min="2346" max="2348" width="8.88671875" style="19"/>
    <col min="2349" max="2349" width="13.44140625" style="19" bestFit="1" customWidth="1"/>
    <col min="2350" max="2560" width="8.88671875" style="19"/>
    <col min="2561" max="2561" width="5.109375" style="19" customWidth="1"/>
    <col min="2562" max="2562" width="49.33203125" style="19" customWidth="1"/>
    <col min="2563" max="2594" width="15.77734375" style="19" customWidth="1"/>
    <col min="2595" max="2596" width="10.5546875" style="19" customWidth="1"/>
    <col min="2597" max="2597" width="11" style="19" customWidth="1"/>
    <col min="2598" max="2598" width="13.109375" style="19" bestFit="1" customWidth="1"/>
    <col min="2599" max="2599" width="27.21875" style="19" customWidth="1"/>
    <col min="2600" max="2600" width="14.44140625" style="19" bestFit="1" customWidth="1"/>
    <col min="2601" max="2601" width="11.77734375" style="19" bestFit="1" customWidth="1"/>
    <col min="2602" max="2604" width="8.88671875" style="19"/>
    <col min="2605" max="2605" width="13.44140625" style="19" bestFit="1" customWidth="1"/>
    <col min="2606" max="2816" width="8.88671875" style="19"/>
    <col min="2817" max="2817" width="5.109375" style="19" customWidth="1"/>
    <col min="2818" max="2818" width="49.33203125" style="19" customWidth="1"/>
    <col min="2819" max="2850" width="15.77734375" style="19" customWidth="1"/>
    <col min="2851" max="2852" width="10.5546875" style="19" customWidth="1"/>
    <col min="2853" max="2853" width="11" style="19" customWidth="1"/>
    <col min="2854" max="2854" width="13.109375" style="19" bestFit="1" customWidth="1"/>
    <col min="2855" max="2855" width="27.21875" style="19" customWidth="1"/>
    <col min="2856" max="2856" width="14.44140625" style="19" bestFit="1" customWidth="1"/>
    <col min="2857" max="2857" width="11.77734375" style="19" bestFit="1" customWidth="1"/>
    <col min="2858" max="2860" width="8.88671875" style="19"/>
    <col min="2861" max="2861" width="13.44140625" style="19" bestFit="1" customWidth="1"/>
    <col min="2862" max="3072" width="8.88671875" style="19"/>
    <col min="3073" max="3073" width="5.109375" style="19" customWidth="1"/>
    <col min="3074" max="3074" width="49.33203125" style="19" customWidth="1"/>
    <col min="3075" max="3106" width="15.77734375" style="19" customWidth="1"/>
    <col min="3107" max="3108" width="10.5546875" style="19" customWidth="1"/>
    <col min="3109" max="3109" width="11" style="19" customWidth="1"/>
    <col min="3110" max="3110" width="13.109375" style="19" bestFit="1" customWidth="1"/>
    <col min="3111" max="3111" width="27.21875" style="19" customWidth="1"/>
    <col min="3112" max="3112" width="14.44140625" style="19" bestFit="1" customWidth="1"/>
    <col min="3113" max="3113" width="11.77734375" style="19" bestFit="1" customWidth="1"/>
    <col min="3114" max="3116" width="8.88671875" style="19"/>
    <col min="3117" max="3117" width="13.44140625" style="19" bestFit="1" customWidth="1"/>
    <col min="3118" max="3328" width="8.88671875" style="19"/>
    <col min="3329" max="3329" width="5.109375" style="19" customWidth="1"/>
    <col min="3330" max="3330" width="49.33203125" style="19" customWidth="1"/>
    <col min="3331" max="3362" width="15.77734375" style="19" customWidth="1"/>
    <col min="3363" max="3364" width="10.5546875" style="19" customWidth="1"/>
    <col min="3365" max="3365" width="11" style="19" customWidth="1"/>
    <col min="3366" max="3366" width="13.109375" style="19" bestFit="1" customWidth="1"/>
    <col min="3367" max="3367" width="27.21875" style="19" customWidth="1"/>
    <col min="3368" max="3368" width="14.44140625" style="19" bestFit="1" customWidth="1"/>
    <col min="3369" max="3369" width="11.77734375" style="19" bestFit="1" customWidth="1"/>
    <col min="3370" max="3372" width="8.88671875" style="19"/>
    <col min="3373" max="3373" width="13.44140625" style="19" bestFit="1" customWidth="1"/>
    <col min="3374" max="3584" width="8.88671875" style="19"/>
    <col min="3585" max="3585" width="5.109375" style="19" customWidth="1"/>
    <col min="3586" max="3586" width="49.33203125" style="19" customWidth="1"/>
    <col min="3587" max="3618" width="15.77734375" style="19" customWidth="1"/>
    <col min="3619" max="3620" width="10.5546875" style="19" customWidth="1"/>
    <col min="3621" max="3621" width="11" style="19" customWidth="1"/>
    <col min="3622" max="3622" width="13.109375" style="19" bestFit="1" customWidth="1"/>
    <col min="3623" max="3623" width="27.21875" style="19" customWidth="1"/>
    <col min="3624" max="3624" width="14.44140625" style="19" bestFit="1" customWidth="1"/>
    <col min="3625" max="3625" width="11.77734375" style="19" bestFit="1" customWidth="1"/>
    <col min="3626" max="3628" width="8.88671875" style="19"/>
    <col min="3629" max="3629" width="13.44140625" style="19" bestFit="1" customWidth="1"/>
    <col min="3630" max="3840" width="8.88671875" style="19"/>
    <col min="3841" max="3841" width="5.109375" style="19" customWidth="1"/>
    <col min="3842" max="3842" width="49.33203125" style="19" customWidth="1"/>
    <col min="3843" max="3874" width="15.77734375" style="19" customWidth="1"/>
    <col min="3875" max="3876" width="10.5546875" style="19" customWidth="1"/>
    <col min="3877" max="3877" width="11" style="19" customWidth="1"/>
    <col min="3878" max="3878" width="13.109375" style="19" bestFit="1" customWidth="1"/>
    <col min="3879" max="3879" width="27.21875" style="19" customWidth="1"/>
    <col min="3880" max="3880" width="14.44140625" style="19" bestFit="1" customWidth="1"/>
    <col min="3881" max="3881" width="11.77734375" style="19" bestFit="1" customWidth="1"/>
    <col min="3882" max="3884" width="8.88671875" style="19"/>
    <col min="3885" max="3885" width="13.44140625" style="19" bestFit="1" customWidth="1"/>
    <col min="3886" max="4096" width="8.88671875" style="19"/>
    <col min="4097" max="4097" width="5.109375" style="19" customWidth="1"/>
    <col min="4098" max="4098" width="49.33203125" style="19" customWidth="1"/>
    <col min="4099" max="4130" width="15.77734375" style="19" customWidth="1"/>
    <col min="4131" max="4132" width="10.5546875" style="19" customWidth="1"/>
    <col min="4133" max="4133" width="11" style="19" customWidth="1"/>
    <col min="4134" max="4134" width="13.109375" style="19" bestFit="1" customWidth="1"/>
    <col min="4135" max="4135" width="27.21875" style="19" customWidth="1"/>
    <col min="4136" max="4136" width="14.44140625" style="19" bestFit="1" customWidth="1"/>
    <col min="4137" max="4137" width="11.77734375" style="19" bestFit="1" customWidth="1"/>
    <col min="4138" max="4140" width="8.88671875" style="19"/>
    <col min="4141" max="4141" width="13.44140625" style="19" bestFit="1" customWidth="1"/>
    <col min="4142" max="4352" width="8.88671875" style="19"/>
    <col min="4353" max="4353" width="5.109375" style="19" customWidth="1"/>
    <col min="4354" max="4354" width="49.33203125" style="19" customWidth="1"/>
    <col min="4355" max="4386" width="15.77734375" style="19" customWidth="1"/>
    <col min="4387" max="4388" width="10.5546875" style="19" customWidth="1"/>
    <col min="4389" max="4389" width="11" style="19" customWidth="1"/>
    <col min="4390" max="4390" width="13.109375" style="19" bestFit="1" customWidth="1"/>
    <col min="4391" max="4391" width="27.21875" style="19" customWidth="1"/>
    <col min="4392" max="4392" width="14.44140625" style="19" bestFit="1" customWidth="1"/>
    <col min="4393" max="4393" width="11.77734375" style="19" bestFit="1" customWidth="1"/>
    <col min="4394" max="4396" width="8.88671875" style="19"/>
    <col min="4397" max="4397" width="13.44140625" style="19" bestFit="1" customWidth="1"/>
    <col min="4398" max="4608" width="8.88671875" style="19"/>
    <col min="4609" max="4609" width="5.109375" style="19" customWidth="1"/>
    <col min="4610" max="4610" width="49.33203125" style="19" customWidth="1"/>
    <col min="4611" max="4642" width="15.77734375" style="19" customWidth="1"/>
    <col min="4643" max="4644" width="10.5546875" style="19" customWidth="1"/>
    <col min="4645" max="4645" width="11" style="19" customWidth="1"/>
    <col min="4646" max="4646" width="13.109375" style="19" bestFit="1" customWidth="1"/>
    <col min="4647" max="4647" width="27.21875" style="19" customWidth="1"/>
    <col min="4648" max="4648" width="14.44140625" style="19" bestFit="1" customWidth="1"/>
    <col min="4649" max="4649" width="11.77734375" style="19" bestFit="1" customWidth="1"/>
    <col min="4650" max="4652" width="8.88671875" style="19"/>
    <col min="4653" max="4653" width="13.44140625" style="19" bestFit="1" customWidth="1"/>
    <col min="4654" max="4864" width="8.88671875" style="19"/>
    <col min="4865" max="4865" width="5.109375" style="19" customWidth="1"/>
    <col min="4866" max="4866" width="49.33203125" style="19" customWidth="1"/>
    <col min="4867" max="4898" width="15.77734375" style="19" customWidth="1"/>
    <col min="4899" max="4900" width="10.5546875" style="19" customWidth="1"/>
    <col min="4901" max="4901" width="11" style="19" customWidth="1"/>
    <col min="4902" max="4902" width="13.109375" style="19" bestFit="1" customWidth="1"/>
    <col min="4903" max="4903" width="27.21875" style="19" customWidth="1"/>
    <col min="4904" max="4904" width="14.44140625" style="19" bestFit="1" customWidth="1"/>
    <col min="4905" max="4905" width="11.77734375" style="19" bestFit="1" customWidth="1"/>
    <col min="4906" max="4908" width="8.88671875" style="19"/>
    <col min="4909" max="4909" width="13.44140625" style="19" bestFit="1" customWidth="1"/>
    <col min="4910" max="5120" width="8.88671875" style="19"/>
    <col min="5121" max="5121" width="5.109375" style="19" customWidth="1"/>
    <col min="5122" max="5122" width="49.33203125" style="19" customWidth="1"/>
    <col min="5123" max="5154" width="15.77734375" style="19" customWidth="1"/>
    <col min="5155" max="5156" width="10.5546875" style="19" customWidth="1"/>
    <col min="5157" max="5157" width="11" style="19" customWidth="1"/>
    <col min="5158" max="5158" width="13.109375" style="19" bestFit="1" customWidth="1"/>
    <col min="5159" max="5159" width="27.21875" style="19" customWidth="1"/>
    <col min="5160" max="5160" width="14.44140625" style="19" bestFit="1" customWidth="1"/>
    <col min="5161" max="5161" width="11.77734375" style="19" bestFit="1" customWidth="1"/>
    <col min="5162" max="5164" width="8.88671875" style="19"/>
    <col min="5165" max="5165" width="13.44140625" style="19" bestFit="1" customWidth="1"/>
    <col min="5166" max="5376" width="8.88671875" style="19"/>
    <col min="5377" max="5377" width="5.109375" style="19" customWidth="1"/>
    <col min="5378" max="5378" width="49.33203125" style="19" customWidth="1"/>
    <col min="5379" max="5410" width="15.77734375" style="19" customWidth="1"/>
    <col min="5411" max="5412" width="10.5546875" style="19" customWidth="1"/>
    <col min="5413" max="5413" width="11" style="19" customWidth="1"/>
    <col min="5414" max="5414" width="13.109375" style="19" bestFit="1" customWidth="1"/>
    <col min="5415" max="5415" width="27.21875" style="19" customWidth="1"/>
    <col min="5416" max="5416" width="14.44140625" style="19" bestFit="1" customWidth="1"/>
    <col min="5417" max="5417" width="11.77734375" style="19" bestFit="1" customWidth="1"/>
    <col min="5418" max="5420" width="8.88671875" style="19"/>
    <col min="5421" max="5421" width="13.44140625" style="19" bestFit="1" customWidth="1"/>
    <col min="5422" max="5632" width="8.88671875" style="19"/>
    <col min="5633" max="5633" width="5.109375" style="19" customWidth="1"/>
    <col min="5634" max="5634" width="49.33203125" style="19" customWidth="1"/>
    <col min="5635" max="5666" width="15.77734375" style="19" customWidth="1"/>
    <col min="5667" max="5668" width="10.5546875" style="19" customWidth="1"/>
    <col min="5669" max="5669" width="11" style="19" customWidth="1"/>
    <col min="5670" max="5670" width="13.109375" style="19" bestFit="1" customWidth="1"/>
    <col min="5671" max="5671" width="27.21875" style="19" customWidth="1"/>
    <col min="5672" max="5672" width="14.44140625" style="19" bestFit="1" customWidth="1"/>
    <col min="5673" max="5673" width="11.77734375" style="19" bestFit="1" customWidth="1"/>
    <col min="5674" max="5676" width="8.88671875" style="19"/>
    <col min="5677" max="5677" width="13.44140625" style="19" bestFit="1" customWidth="1"/>
    <col min="5678" max="5888" width="8.88671875" style="19"/>
    <col min="5889" max="5889" width="5.109375" style="19" customWidth="1"/>
    <col min="5890" max="5890" width="49.33203125" style="19" customWidth="1"/>
    <col min="5891" max="5922" width="15.77734375" style="19" customWidth="1"/>
    <col min="5923" max="5924" width="10.5546875" style="19" customWidth="1"/>
    <col min="5925" max="5925" width="11" style="19" customWidth="1"/>
    <col min="5926" max="5926" width="13.109375" style="19" bestFit="1" customWidth="1"/>
    <col min="5927" max="5927" width="27.21875" style="19" customWidth="1"/>
    <col min="5928" max="5928" width="14.44140625" style="19" bestFit="1" customWidth="1"/>
    <col min="5929" max="5929" width="11.77734375" style="19" bestFit="1" customWidth="1"/>
    <col min="5930" max="5932" width="8.88671875" style="19"/>
    <col min="5933" max="5933" width="13.44140625" style="19" bestFit="1" customWidth="1"/>
    <col min="5934" max="6144" width="8.88671875" style="19"/>
    <col min="6145" max="6145" width="5.109375" style="19" customWidth="1"/>
    <col min="6146" max="6146" width="49.33203125" style="19" customWidth="1"/>
    <col min="6147" max="6178" width="15.77734375" style="19" customWidth="1"/>
    <col min="6179" max="6180" width="10.5546875" style="19" customWidth="1"/>
    <col min="6181" max="6181" width="11" style="19" customWidth="1"/>
    <col min="6182" max="6182" width="13.109375" style="19" bestFit="1" customWidth="1"/>
    <col min="6183" max="6183" width="27.21875" style="19" customWidth="1"/>
    <col min="6184" max="6184" width="14.44140625" style="19" bestFit="1" customWidth="1"/>
    <col min="6185" max="6185" width="11.77734375" style="19" bestFit="1" customWidth="1"/>
    <col min="6186" max="6188" width="8.88671875" style="19"/>
    <col min="6189" max="6189" width="13.44140625" style="19" bestFit="1" customWidth="1"/>
    <col min="6190" max="6400" width="8.88671875" style="19"/>
    <col min="6401" max="6401" width="5.109375" style="19" customWidth="1"/>
    <col min="6402" max="6402" width="49.33203125" style="19" customWidth="1"/>
    <col min="6403" max="6434" width="15.77734375" style="19" customWidth="1"/>
    <col min="6435" max="6436" width="10.5546875" style="19" customWidth="1"/>
    <col min="6437" max="6437" width="11" style="19" customWidth="1"/>
    <col min="6438" max="6438" width="13.109375" style="19" bestFit="1" customWidth="1"/>
    <col min="6439" max="6439" width="27.21875" style="19" customWidth="1"/>
    <col min="6440" max="6440" width="14.44140625" style="19" bestFit="1" customWidth="1"/>
    <col min="6441" max="6441" width="11.77734375" style="19" bestFit="1" customWidth="1"/>
    <col min="6442" max="6444" width="8.88671875" style="19"/>
    <col min="6445" max="6445" width="13.44140625" style="19" bestFit="1" customWidth="1"/>
    <col min="6446" max="6656" width="8.88671875" style="19"/>
    <col min="6657" max="6657" width="5.109375" style="19" customWidth="1"/>
    <col min="6658" max="6658" width="49.33203125" style="19" customWidth="1"/>
    <col min="6659" max="6690" width="15.77734375" style="19" customWidth="1"/>
    <col min="6691" max="6692" width="10.5546875" style="19" customWidth="1"/>
    <col min="6693" max="6693" width="11" style="19" customWidth="1"/>
    <col min="6694" max="6694" width="13.109375" style="19" bestFit="1" customWidth="1"/>
    <col min="6695" max="6695" width="27.21875" style="19" customWidth="1"/>
    <col min="6696" max="6696" width="14.44140625" style="19" bestFit="1" customWidth="1"/>
    <col min="6697" max="6697" width="11.77734375" style="19" bestFit="1" customWidth="1"/>
    <col min="6698" max="6700" width="8.88671875" style="19"/>
    <col min="6701" max="6701" width="13.44140625" style="19" bestFit="1" customWidth="1"/>
    <col min="6702" max="6912" width="8.88671875" style="19"/>
    <col min="6913" max="6913" width="5.109375" style="19" customWidth="1"/>
    <col min="6914" max="6914" width="49.33203125" style="19" customWidth="1"/>
    <col min="6915" max="6946" width="15.77734375" style="19" customWidth="1"/>
    <col min="6947" max="6948" width="10.5546875" style="19" customWidth="1"/>
    <col min="6949" max="6949" width="11" style="19" customWidth="1"/>
    <col min="6950" max="6950" width="13.109375" style="19" bestFit="1" customWidth="1"/>
    <col min="6951" max="6951" width="27.21875" style="19" customWidth="1"/>
    <col min="6952" max="6952" width="14.44140625" style="19" bestFit="1" customWidth="1"/>
    <col min="6953" max="6953" width="11.77734375" style="19" bestFit="1" customWidth="1"/>
    <col min="6954" max="6956" width="8.88671875" style="19"/>
    <col min="6957" max="6957" width="13.44140625" style="19" bestFit="1" customWidth="1"/>
    <col min="6958" max="7168" width="8.88671875" style="19"/>
    <col min="7169" max="7169" width="5.109375" style="19" customWidth="1"/>
    <col min="7170" max="7170" width="49.33203125" style="19" customWidth="1"/>
    <col min="7171" max="7202" width="15.77734375" style="19" customWidth="1"/>
    <col min="7203" max="7204" width="10.5546875" style="19" customWidth="1"/>
    <col min="7205" max="7205" width="11" style="19" customWidth="1"/>
    <col min="7206" max="7206" width="13.109375" style="19" bestFit="1" customWidth="1"/>
    <col min="7207" max="7207" width="27.21875" style="19" customWidth="1"/>
    <col min="7208" max="7208" width="14.44140625" style="19" bestFit="1" customWidth="1"/>
    <col min="7209" max="7209" width="11.77734375" style="19" bestFit="1" customWidth="1"/>
    <col min="7210" max="7212" width="8.88671875" style="19"/>
    <col min="7213" max="7213" width="13.44140625" style="19" bestFit="1" customWidth="1"/>
    <col min="7214" max="7424" width="8.88671875" style="19"/>
    <col min="7425" max="7425" width="5.109375" style="19" customWidth="1"/>
    <col min="7426" max="7426" width="49.33203125" style="19" customWidth="1"/>
    <col min="7427" max="7458" width="15.77734375" style="19" customWidth="1"/>
    <col min="7459" max="7460" width="10.5546875" style="19" customWidth="1"/>
    <col min="7461" max="7461" width="11" style="19" customWidth="1"/>
    <col min="7462" max="7462" width="13.109375" style="19" bestFit="1" customWidth="1"/>
    <col min="7463" max="7463" width="27.21875" style="19" customWidth="1"/>
    <col min="7464" max="7464" width="14.44140625" style="19" bestFit="1" customWidth="1"/>
    <col min="7465" max="7465" width="11.77734375" style="19" bestFit="1" customWidth="1"/>
    <col min="7466" max="7468" width="8.88671875" style="19"/>
    <col min="7469" max="7469" width="13.44140625" style="19" bestFit="1" customWidth="1"/>
    <col min="7470" max="7680" width="8.88671875" style="19"/>
    <col min="7681" max="7681" width="5.109375" style="19" customWidth="1"/>
    <col min="7682" max="7682" width="49.33203125" style="19" customWidth="1"/>
    <col min="7683" max="7714" width="15.77734375" style="19" customWidth="1"/>
    <col min="7715" max="7716" width="10.5546875" style="19" customWidth="1"/>
    <col min="7717" max="7717" width="11" style="19" customWidth="1"/>
    <col min="7718" max="7718" width="13.109375" style="19" bestFit="1" customWidth="1"/>
    <col min="7719" max="7719" width="27.21875" style="19" customWidth="1"/>
    <col min="7720" max="7720" width="14.44140625" style="19" bestFit="1" customWidth="1"/>
    <col min="7721" max="7721" width="11.77734375" style="19" bestFit="1" customWidth="1"/>
    <col min="7722" max="7724" width="8.88671875" style="19"/>
    <col min="7725" max="7725" width="13.44140625" style="19" bestFit="1" customWidth="1"/>
    <col min="7726" max="7936" width="8.88671875" style="19"/>
    <col min="7937" max="7937" width="5.109375" style="19" customWidth="1"/>
    <col min="7938" max="7938" width="49.33203125" style="19" customWidth="1"/>
    <col min="7939" max="7970" width="15.77734375" style="19" customWidth="1"/>
    <col min="7971" max="7972" width="10.5546875" style="19" customWidth="1"/>
    <col min="7973" max="7973" width="11" style="19" customWidth="1"/>
    <col min="7974" max="7974" width="13.109375" style="19" bestFit="1" customWidth="1"/>
    <col min="7975" max="7975" width="27.21875" style="19" customWidth="1"/>
    <col min="7976" max="7976" width="14.44140625" style="19" bestFit="1" customWidth="1"/>
    <col min="7977" max="7977" width="11.77734375" style="19" bestFit="1" customWidth="1"/>
    <col min="7978" max="7980" width="8.88671875" style="19"/>
    <col min="7981" max="7981" width="13.44140625" style="19" bestFit="1" customWidth="1"/>
    <col min="7982" max="8192" width="8.88671875" style="19"/>
    <col min="8193" max="8193" width="5.109375" style="19" customWidth="1"/>
    <col min="8194" max="8194" width="49.33203125" style="19" customWidth="1"/>
    <col min="8195" max="8226" width="15.77734375" style="19" customWidth="1"/>
    <col min="8227" max="8228" width="10.5546875" style="19" customWidth="1"/>
    <col min="8229" max="8229" width="11" style="19" customWidth="1"/>
    <col min="8230" max="8230" width="13.109375" style="19" bestFit="1" customWidth="1"/>
    <col min="8231" max="8231" width="27.21875" style="19" customWidth="1"/>
    <col min="8232" max="8232" width="14.44140625" style="19" bestFit="1" customWidth="1"/>
    <col min="8233" max="8233" width="11.77734375" style="19" bestFit="1" customWidth="1"/>
    <col min="8234" max="8236" width="8.88671875" style="19"/>
    <col min="8237" max="8237" width="13.44140625" style="19" bestFit="1" customWidth="1"/>
    <col min="8238" max="8448" width="8.88671875" style="19"/>
    <col min="8449" max="8449" width="5.109375" style="19" customWidth="1"/>
    <col min="8450" max="8450" width="49.33203125" style="19" customWidth="1"/>
    <col min="8451" max="8482" width="15.77734375" style="19" customWidth="1"/>
    <col min="8483" max="8484" width="10.5546875" style="19" customWidth="1"/>
    <col min="8485" max="8485" width="11" style="19" customWidth="1"/>
    <col min="8486" max="8486" width="13.109375" style="19" bestFit="1" customWidth="1"/>
    <col min="8487" max="8487" width="27.21875" style="19" customWidth="1"/>
    <col min="8488" max="8488" width="14.44140625" style="19" bestFit="1" customWidth="1"/>
    <col min="8489" max="8489" width="11.77734375" style="19" bestFit="1" customWidth="1"/>
    <col min="8490" max="8492" width="8.88671875" style="19"/>
    <col min="8493" max="8493" width="13.44140625" style="19" bestFit="1" customWidth="1"/>
    <col min="8494" max="8704" width="8.88671875" style="19"/>
    <col min="8705" max="8705" width="5.109375" style="19" customWidth="1"/>
    <col min="8706" max="8706" width="49.33203125" style="19" customWidth="1"/>
    <col min="8707" max="8738" width="15.77734375" style="19" customWidth="1"/>
    <col min="8739" max="8740" width="10.5546875" style="19" customWidth="1"/>
    <col min="8741" max="8741" width="11" style="19" customWidth="1"/>
    <col min="8742" max="8742" width="13.109375" style="19" bestFit="1" customWidth="1"/>
    <col min="8743" max="8743" width="27.21875" style="19" customWidth="1"/>
    <col min="8744" max="8744" width="14.44140625" style="19" bestFit="1" customWidth="1"/>
    <col min="8745" max="8745" width="11.77734375" style="19" bestFit="1" customWidth="1"/>
    <col min="8746" max="8748" width="8.88671875" style="19"/>
    <col min="8749" max="8749" width="13.44140625" style="19" bestFit="1" customWidth="1"/>
    <col min="8750" max="8960" width="8.88671875" style="19"/>
    <col min="8961" max="8961" width="5.109375" style="19" customWidth="1"/>
    <col min="8962" max="8962" width="49.33203125" style="19" customWidth="1"/>
    <col min="8963" max="8994" width="15.77734375" style="19" customWidth="1"/>
    <col min="8995" max="8996" width="10.5546875" style="19" customWidth="1"/>
    <col min="8997" max="8997" width="11" style="19" customWidth="1"/>
    <col min="8998" max="8998" width="13.109375" style="19" bestFit="1" customWidth="1"/>
    <col min="8999" max="8999" width="27.21875" style="19" customWidth="1"/>
    <col min="9000" max="9000" width="14.44140625" style="19" bestFit="1" customWidth="1"/>
    <col min="9001" max="9001" width="11.77734375" style="19" bestFit="1" customWidth="1"/>
    <col min="9002" max="9004" width="8.88671875" style="19"/>
    <col min="9005" max="9005" width="13.44140625" style="19" bestFit="1" customWidth="1"/>
    <col min="9006" max="9216" width="8.88671875" style="19"/>
    <col min="9217" max="9217" width="5.109375" style="19" customWidth="1"/>
    <col min="9218" max="9218" width="49.33203125" style="19" customWidth="1"/>
    <col min="9219" max="9250" width="15.77734375" style="19" customWidth="1"/>
    <col min="9251" max="9252" width="10.5546875" style="19" customWidth="1"/>
    <col min="9253" max="9253" width="11" style="19" customWidth="1"/>
    <col min="9254" max="9254" width="13.109375" style="19" bestFit="1" customWidth="1"/>
    <col min="9255" max="9255" width="27.21875" style="19" customWidth="1"/>
    <col min="9256" max="9256" width="14.44140625" style="19" bestFit="1" customWidth="1"/>
    <col min="9257" max="9257" width="11.77734375" style="19" bestFit="1" customWidth="1"/>
    <col min="9258" max="9260" width="8.88671875" style="19"/>
    <col min="9261" max="9261" width="13.44140625" style="19" bestFit="1" customWidth="1"/>
    <col min="9262" max="9472" width="8.88671875" style="19"/>
    <col min="9473" max="9473" width="5.109375" style="19" customWidth="1"/>
    <col min="9474" max="9474" width="49.33203125" style="19" customWidth="1"/>
    <col min="9475" max="9506" width="15.77734375" style="19" customWidth="1"/>
    <col min="9507" max="9508" width="10.5546875" style="19" customWidth="1"/>
    <col min="9509" max="9509" width="11" style="19" customWidth="1"/>
    <col min="9510" max="9510" width="13.109375" style="19" bestFit="1" customWidth="1"/>
    <col min="9511" max="9511" width="27.21875" style="19" customWidth="1"/>
    <col min="9512" max="9512" width="14.44140625" style="19" bestFit="1" customWidth="1"/>
    <col min="9513" max="9513" width="11.77734375" style="19" bestFit="1" customWidth="1"/>
    <col min="9514" max="9516" width="8.88671875" style="19"/>
    <col min="9517" max="9517" width="13.44140625" style="19" bestFit="1" customWidth="1"/>
    <col min="9518" max="9728" width="8.88671875" style="19"/>
    <col min="9729" max="9729" width="5.109375" style="19" customWidth="1"/>
    <col min="9730" max="9730" width="49.33203125" style="19" customWidth="1"/>
    <col min="9731" max="9762" width="15.77734375" style="19" customWidth="1"/>
    <col min="9763" max="9764" width="10.5546875" style="19" customWidth="1"/>
    <col min="9765" max="9765" width="11" style="19" customWidth="1"/>
    <col min="9766" max="9766" width="13.109375" style="19" bestFit="1" customWidth="1"/>
    <col min="9767" max="9767" width="27.21875" style="19" customWidth="1"/>
    <col min="9768" max="9768" width="14.44140625" style="19" bestFit="1" customWidth="1"/>
    <col min="9769" max="9769" width="11.77734375" style="19" bestFit="1" customWidth="1"/>
    <col min="9770" max="9772" width="8.88671875" style="19"/>
    <col min="9773" max="9773" width="13.44140625" style="19" bestFit="1" customWidth="1"/>
    <col min="9774" max="9984" width="8.88671875" style="19"/>
    <col min="9985" max="9985" width="5.109375" style="19" customWidth="1"/>
    <col min="9986" max="9986" width="49.33203125" style="19" customWidth="1"/>
    <col min="9987" max="10018" width="15.77734375" style="19" customWidth="1"/>
    <col min="10019" max="10020" width="10.5546875" style="19" customWidth="1"/>
    <col min="10021" max="10021" width="11" style="19" customWidth="1"/>
    <col min="10022" max="10022" width="13.109375" style="19" bestFit="1" customWidth="1"/>
    <col min="10023" max="10023" width="27.21875" style="19" customWidth="1"/>
    <col min="10024" max="10024" width="14.44140625" style="19" bestFit="1" customWidth="1"/>
    <col min="10025" max="10025" width="11.77734375" style="19" bestFit="1" customWidth="1"/>
    <col min="10026" max="10028" width="8.88671875" style="19"/>
    <col min="10029" max="10029" width="13.44140625" style="19" bestFit="1" customWidth="1"/>
    <col min="10030" max="10240" width="8.88671875" style="19"/>
    <col min="10241" max="10241" width="5.109375" style="19" customWidth="1"/>
    <col min="10242" max="10242" width="49.33203125" style="19" customWidth="1"/>
    <col min="10243" max="10274" width="15.77734375" style="19" customWidth="1"/>
    <col min="10275" max="10276" width="10.5546875" style="19" customWidth="1"/>
    <col min="10277" max="10277" width="11" style="19" customWidth="1"/>
    <col min="10278" max="10278" width="13.109375" style="19" bestFit="1" customWidth="1"/>
    <col min="10279" max="10279" width="27.21875" style="19" customWidth="1"/>
    <col min="10280" max="10280" width="14.44140625" style="19" bestFit="1" customWidth="1"/>
    <col min="10281" max="10281" width="11.77734375" style="19" bestFit="1" customWidth="1"/>
    <col min="10282" max="10284" width="8.88671875" style="19"/>
    <col min="10285" max="10285" width="13.44140625" style="19" bestFit="1" customWidth="1"/>
    <col min="10286" max="10496" width="8.88671875" style="19"/>
    <col min="10497" max="10497" width="5.109375" style="19" customWidth="1"/>
    <col min="10498" max="10498" width="49.33203125" style="19" customWidth="1"/>
    <col min="10499" max="10530" width="15.77734375" style="19" customWidth="1"/>
    <col min="10531" max="10532" width="10.5546875" style="19" customWidth="1"/>
    <col min="10533" max="10533" width="11" style="19" customWidth="1"/>
    <col min="10534" max="10534" width="13.109375" style="19" bestFit="1" customWidth="1"/>
    <col min="10535" max="10535" width="27.21875" style="19" customWidth="1"/>
    <col min="10536" max="10536" width="14.44140625" style="19" bestFit="1" customWidth="1"/>
    <col min="10537" max="10537" width="11.77734375" style="19" bestFit="1" customWidth="1"/>
    <col min="10538" max="10540" width="8.88671875" style="19"/>
    <col min="10541" max="10541" width="13.44140625" style="19" bestFit="1" customWidth="1"/>
    <col min="10542" max="10752" width="8.88671875" style="19"/>
    <col min="10753" max="10753" width="5.109375" style="19" customWidth="1"/>
    <col min="10754" max="10754" width="49.33203125" style="19" customWidth="1"/>
    <col min="10755" max="10786" width="15.77734375" style="19" customWidth="1"/>
    <col min="10787" max="10788" width="10.5546875" style="19" customWidth="1"/>
    <col min="10789" max="10789" width="11" style="19" customWidth="1"/>
    <col min="10790" max="10790" width="13.109375" style="19" bestFit="1" customWidth="1"/>
    <col min="10791" max="10791" width="27.21875" style="19" customWidth="1"/>
    <col min="10792" max="10792" width="14.44140625" style="19" bestFit="1" customWidth="1"/>
    <col min="10793" max="10793" width="11.77734375" style="19" bestFit="1" customWidth="1"/>
    <col min="10794" max="10796" width="8.88671875" style="19"/>
    <col min="10797" max="10797" width="13.44140625" style="19" bestFit="1" customWidth="1"/>
    <col min="10798" max="11008" width="8.88671875" style="19"/>
    <col min="11009" max="11009" width="5.109375" style="19" customWidth="1"/>
    <col min="11010" max="11010" width="49.33203125" style="19" customWidth="1"/>
    <col min="11011" max="11042" width="15.77734375" style="19" customWidth="1"/>
    <col min="11043" max="11044" width="10.5546875" style="19" customWidth="1"/>
    <col min="11045" max="11045" width="11" style="19" customWidth="1"/>
    <col min="11046" max="11046" width="13.109375" style="19" bestFit="1" customWidth="1"/>
    <col min="11047" max="11047" width="27.21875" style="19" customWidth="1"/>
    <col min="11048" max="11048" width="14.44140625" style="19" bestFit="1" customWidth="1"/>
    <col min="11049" max="11049" width="11.77734375" style="19" bestFit="1" customWidth="1"/>
    <col min="11050" max="11052" width="8.88671875" style="19"/>
    <col min="11053" max="11053" width="13.44140625" style="19" bestFit="1" customWidth="1"/>
    <col min="11054" max="11264" width="8.88671875" style="19"/>
    <col min="11265" max="11265" width="5.109375" style="19" customWidth="1"/>
    <col min="11266" max="11266" width="49.33203125" style="19" customWidth="1"/>
    <col min="11267" max="11298" width="15.77734375" style="19" customWidth="1"/>
    <col min="11299" max="11300" width="10.5546875" style="19" customWidth="1"/>
    <col min="11301" max="11301" width="11" style="19" customWidth="1"/>
    <col min="11302" max="11302" width="13.109375" style="19" bestFit="1" customWidth="1"/>
    <col min="11303" max="11303" width="27.21875" style="19" customWidth="1"/>
    <col min="11304" max="11304" width="14.44140625" style="19" bestFit="1" customWidth="1"/>
    <col min="11305" max="11305" width="11.77734375" style="19" bestFit="1" customWidth="1"/>
    <col min="11306" max="11308" width="8.88671875" style="19"/>
    <col min="11309" max="11309" width="13.44140625" style="19" bestFit="1" customWidth="1"/>
    <col min="11310" max="11520" width="8.88671875" style="19"/>
    <col min="11521" max="11521" width="5.109375" style="19" customWidth="1"/>
    <col min="11522" max="11522" width="49.33203125" style="19" customWidth="1"/>
    <col min="11523" max="11554" width="15.77734375" style="19" customWidth="1"/>
    <col min="11555" max="11556" width="10.5546875" style="19" customWidth="1"/>
    <col min="11557" max="11557" width="11" style="19" customWidth="1"/>
    <col min="11558" max="11558" width="13.109375" style="19" bestFit="1" customWidth="1"/>
    <col min="11559" max="11559" width="27.21875" style="19" customWidth="1"/>
    <col min="11560" max="11560" width="14.44140625" style="19" bestFit="1" customWidth="1"/>
    <col min="11561" max="11561" width="11.77734375" style="19" bestFit="1" customWidth="1"/>
    <col min="11562" max="11564" width="8.88671875" style="19"/>
    <col min="11565" max="11565" width="13.44140625" style="19" bestFit="1" customWidth="1"/>
    <col min="11566" max="11776" width="8.88671875" style="19"/>
    <col min="11777" max="11777" width="5.109375" style="19" customWidth="1"/>
    <col min="11778" max="11778" width="49.33203125" style="19" customWidth="1"/>
    <col min="11779" max="11810" width="15.77734375" style="19" customWidth="1"/>
    <col min="11811" max="11812" width="10.5546875" style="19" customWidth="1"/>
    <col min="11813" max="11813" width="11" style="19" customWidth="1"/>
    <col min="11814" max="11814" width="13.109375" style="19" bestFit="1" customWidth="1"/>
    <col min="11815" max="11815" width="27.21875" style="19" customWidth="1"/>
    <col min="11816" max="11816" width="14.44140625" style="19" bestFit="1" customWidth="1"/>
    <col min="11817" max="11817" width="11.77734375" style="19" bestFit="1" customWidth="1"/>
    <col min="11818" max="11820" width="8.88671875" style="19"/>
    <col min="11821" max="11821" width="13.44140625" style="19" bestFit="1" customWidth="1"/>
    <col min="11822" max="12032" width="8.88671875" style="19"/>
    <col min="12033" max="12033" width="5.109375" style="19" customWidth="1"/>
    <col min="12034" max="12034" width="49.33203125" style="19" customWidth="1"/>
    <col min="12035" max="12066" width="15.77734375" style="19" customWidth="1"/>
    <col min="12067" max="12068" width="10.5546875" style="19" customWidth="1"/>
    <col min="12069" max="12069" width="11" style="19" customWidth="1"/>
    <col min="12070" max="12070" width="13.109375" style="19" bestFit="1" customWidth="1"/>
    <col min="12071" max="12071" width="27.21875" style="19" customWidth="1"/>
    <col min="12072" max="12072" width="14.44140625" style="19" bestFit="1" customWidth="1"/>
    <col min="12073" max="12073" width="11.77734375" style="19" bestFit="1" customWidth="1"/>
    <col min="12074" max="12076" width="8.88671875" style="19"/>
    <col min="12077" max="12077" width="13.44140625" style="19" bestFit="1" customWidth="1"/>
    <col min="12078" max="12288" width="8.88671875" style="19"/>
    <col min="12289" max="12289" width="5.109375" style="19" customWidth="1"/>
    <col min="12290" max="12290" width="49.33203125" style="19" customWidth="1"/>
    <col min="12291" max="12322" width="15.77734375" style="19" customWidth="1"/>
    <col min="12323" max="12324" width="10.5546875" style="19" customWidth="1"/>
    <col min="12325" max="12325" width="11" style="19" customWidth="1"/>
    <col min="12326" max="12326" width="13.109375" style="19" bestFit="1" customWidth="1"/>
    <col min="12327" max="12327" width="27.21875" style="19" customWidth="1"/>
    <col min="12328" max="12328" width="14.44140625" style="19" bestFit="1" customWidth="1"/>
    <col min="12329" max="12329" width="11.77734375" style="19" bestFit="1" customWidth="1"/>
    <col min="12330" max="12332" width="8.88671875" style="19"/>
    <col min="12333" max="12333" width="13.44140625" style="19" bestFit="1" customWidth="1"/>
    <col min="12334" max="12544" width="8.88671875" style="19"/>
    <col min="12545" max="12545" width="5.109375" style="19" customWidth="1"/>
    <col min="12546" max="12546" width="49.33203125" style="19" customWidth="1"/>
    <col min="12547" max="12578" width="15.77734375" style="19" customWidth="1"/>
    <col min="12579" max="12580" width="10.5546875" style="19" customWidth="1"/>
    <col min="12581" max="12581" width="11" style="19" customWidth="1"/>
    <col min="12582" max="12582" width="13.109375" style="19" bestFit="1" customWidth="1"/>
    <col min="12583" max="12583" width="27.21875" style="19" customWidth="1"/>
    <col min="12584" max="12584" width="14.44140625" style="19" bestFit="1" customWidth="1"/>
    <col min="12585" max="12585" width="11.77734375" style="19" bestFit="1" customWidth="1"/>
    <col min="12586" max="12588" width="8.88671875" style="19"/>
    <col min="12589" max="12589" width="13.44140625" style="19" bestFit="1" customWidth="1"/>
    <col min="12590" max="12800" width="8.88671875" style="19"/>
    <col min="12801" max="12801" width="5.109375" style="19" customWidth="1"/>
    <col min="12802" max="12802" width="49.33203125" style="19" customWidth="1"/>
    <col min="12803" max="12834" width="15.77734375" style="19" customWidth="1"/>
    <col min="12835" max="12836" width="10.5546875" style="19" customWidth="1"/>
    <col min="12837" max="12837" width="11" style="19" customWidth="1"/>
    <col min="12838" max="12838" width="13.109375" style="19" bestFit="1" customWidth="1"/>
    <col min="12839" max="12839" width="27.21875" style="19" customWidth="1"/>
    <col min="12840" max="12840" width="14.44140625" style="19" bestFit="1" customWidth="1"/>
    <col min="12841" max="12841" width="11.77734375" style="19" bestFit="1" customWidth="1"/>
    <col min="12842" max="12844" width="8.88671875" style="19"/>
    <col min="12845" max="12845" width="13.44140625" style="19" bestFit="1" customWidth="1"/>
    <col min="12846" max="13056" width="8.88671875" style="19"/>
    <col min="13057" max="13057" width="5.109375" style="19" customWidth="1"/>
    <col min="13058" max="13058" width="49.33203125" style="19" customWidth="1"/>
    <col min="13059" max="13090" width="15.77734375" style="19" customWidth="1"/>
    <col min="13091" max="13092" width="10.5546875" style="19" customWidth="1"/>
    <col min="13093" max="13093" width="11" style="19" customWidth="1"/>
    <col min="13094" max="13094" width="13.109375" style="19" bestFit="1" customWidth="1"/>
    <col min="13095" max="13095" width="27.21875" style="19" customWidth="1"/>
    <col min="13096" max="13096" width="14.44140625" style="19" bestFit="1" customWidth="1"/>
    <col min="13097" max="13097" width="11.77734375" style="19" bestFit="1" customWidth="1"/>
    <col min="13098" max="13100" width="8.88671875" style="19"/>
    <col min="13101" max="13101" width="13.44140625" style="19" bestFit="1" customWidth="1"/>
    <col min="13102" max="13312" width="8.88671875" style="19"/>
    <col min="13313" max="13313" width="5.109375" style="19" customWidth="1"/>
    <col min="13314" max="13314" width="49.33203125" style="19" customWidth="1"/>
    <col min="13315" max="13346" width="15.77734375" style="19" customWidth="1"/>
    <col min="13347" max="13348" width="10.5546875" style="19" customWidth="1"/>
    <col min="13349" max="13349" width="11" style="19" customWidth="1"/>
    <col min="13350" max="13350" width="13.109375" style="19" bestFit="1" customWidth="1"/>
    <col min="13351" max="13351" width="27.21875" style="19" customWidth="1"/>
    <col min="13352" max="13352" width="14.44140625" style="19" bestFit="1" customWidth="1"/>
    <col min="13353" max="13353" width="11.77734375" style="19" bestFit="1" customWidth="1"/>
    <col min="13354" max="13356" width="8.88671875" style="19"/>
    <col min="13357" max="13357" width="13.44140625" style="19" bestFit="1" customWidth="1"/>
    <col min="13358" max="13568" width="8.88671875" style="19"/>
    <col min="13569" max="13569" width="5.109375" style="19" customWidth="1"/>
    <col min="13570" max="13570" width="49.33203125" style="19" customWidth="1"/>
    <col min="13571" max="13602" width="15.77734375" style="19" customWidth="1"/>
    <col min="13603" max="13604" width="10.5546875" style="19" customWidth="1"/>
    <col min="13605" max="13605" width="11" style="19" customWidth="1"/>
    <col min="13606" max="13606" width="13.109375" style="19" bestFit="1" customWidth="1"/>
    <col min="13607" max="13607" width="27.21875" style="19" customWidth="1"/>
    <col min="13608" max="13608" width="14.44140625" style="19" bestFit="1" customWidth="1"/>
    <col min="13609" max="13609" width="11.77734375" style="19" bestFit="1" customWidth="1"/>
    <col min="13610" max="13612" width="8.88671875" style="19"/>
    <col min="13613" max="13613" width="13.44140625" style="19" bestFit="1" customWidth="1"/>
    <col min="13614" max="13824" width="8.88671875" style="19"/>
    <col min="13825" max="13825" width="5.109375" style="19" customWidth="1"/>
    <col min="13826" max="13826" width="49.33203125" style="19" customWidth="1"/>
    <col min="13827" max="13858" width="15.77734375" style="19" customWidth="1"/>
    <col min="13859" max="13860" width="10.5546875" style="19" customWidth="1"/>
    <col min="13861" max="13861" width="11" style="19" customWidth="1"/>
    <col min="13862" max="13862" width="13.109375" style="19" bestFit="1" customWidth="1"/>
    <col min="13863" max="13863" width="27.21875" style="19" customWidth="1"/>
    <col min="13864" max="13864" width="14.44140625" style="19" bestFit="1" customWidth="1"/>
    <col min="13865" max="13865" width="11.77734375" style="19" bestFit="1" customWidth="1"/>
    <col min="13866" max="13868" width="8.88671875" style="19"/>
    <col min="13869" max="13869" width="13.44140625" style="19" bestFit="1" customWidth="1"/>
    <col min="13870" max="14080" width="8.88671875" style="19"/>
    <col min="14081" max="14081" width="5.109375" style="19" customWidth="1"/>
    <col min="14082" max="14082" width="49.33203125" style="19" customWidth="1"/>
    <col min="14083" max="14114" width="15.77734375" style="19" customWidth="1"/>
    <col min="14115" max="14116" width="10.5546875" style="19" customWidth="1"/>
    <col min="14117" max="14117" width="11" style="19" customWidth="1"/>
    <col min="14118" max="14118" width="13.109375" style="19" bestFit="1" customWidth="1"/>
    <col min="14119" max="14119" width="27.21875" style="19" customWidth="1"/>
    <col min="14120" max="14120" width="14.44140625" style="19" bestFit="1" customWidth="1"/>
    <col min="14121" max="14121" width="11.77734375" style="19" bestFit="1" customWidth="1"/>
    <col min="14122" max="14124" width="8.88671875" style="19"/>
    <col min="14125" max="14125" width="13.44140625" style="19" bestFit="1" customWidth="1"/>
    <col min="14126" max="14336" width="8.88671875" style="19"/>
    <col min="14337" max="14337" width="5.109375" style="19" customWidth="1"/>
    <col min="14338" max="14338" width="49.33203125" style="19" customWidth="1"/>
    <col min="14339" max="14370" width="15.77734375" style="19" customWidth="1"/>
    <col min="14371" max="14372" width="10.5546875" style="19" customWidth="1"/>
    <col min="14373" max="14373" width="11" style="19" customWidth="1"/>
    <col min="14374" max="14374" width="13.109375" style="19" bestFit="1" customWidth="1"/>
    <col min="14375" max="14375" width="27.21875" style="19" customWidth="1"/>
    <col min="14376" max="14376" width="14.44140625" style="19" bestFit="1" customWidth="1"/>
    <col min="14377" max="14377" width="11.77734375" style="19" bestFit="1" customWidth="1"/>
    <col min="14378" max="14380" width="8.88671875" style="19"/>
    <col min="14381" max="14381" width="13.44140625" style="19" bestFit="1" customWidth="1"/>
    <col min="14382" max="14592" width="8.88671875" style="19"/>
    <col min="14593" max="14593" width="5.109375" style="19" customWidth="1"/>
    <col min="14594" max="14594" width="49.33203125" style="19" customWidth="1"/>
    <col min="14595" max="14626" width="15.77734375" style="19" customWidth="1"/>
    <col min="14627" max="14628" width="10.5546875" style="19" customWidth="1"/>
    <col min="14629" max="14629" width="11" style="19" customWidth="1"/>
    <col min="14630" max="14630" width="13.109375" style="19" bestFit="1" customWidth="1"/>
    <col min="14631" max="14631" width="27.21875" style="19" customWidth="1"/>
    <col min="14632" max="14632" width="14.44140625" style="19" bestFit="1" customWidth="1"/>
    <col min="14633" max="14633" width="11.77734375" style="19" bestFit="1" customWidth="1"/>
    <col min="14634" max="14636" width="8.88671875" style="19"/>
    <col min="14637" max="14637" width="13.44140625" style="19" bestFit="1" customWidth="1"/>
    <col min="14638" max="14848" width="8.88671875" style="19"/>
    <col min="14849" max="14849" width="5.109375" style="19" customWidth="1"/>
    <col min="14850" max="14850" width="49.33203125" style="19" customWidth="1"/>
    <col min="14851" max="14882" width="15.77734375" style="19" customWidth="1"/>
    <col min="14883" max="14884" width="10.5546875" style="19" customWidth="1"/>
    <col min="14885" max="14885" width="11" style="19" customWidth="1"/>
    <col min="14886" max="14886" width="13.109375" style="19" bestFit="1" customWidth="1"/>
    <col min="14887" max="14887" width="27.21875" style="19" customWidth="1"/>
    <col min="14888" max="14888" width="14.44140625" style="19" bestFit="1" customWidth="1"/>
    <col min="14889" max="14889" width="11.77734375" style="19" bestFit="1" customWidth="1"/>
    <col min="14890" max="14892" width="8.88671875" style="19"/>
    <col min="14893" max="14893" width="13.44140625" style="19" bestFit="1" customWidth="1"/>
    <col min="14894" max="15104" width="8.88671875" style="19"/>
    <col min="15105" max="15105" width="5.109375" style="19" customWidth="1"/>
    <col min="15106" max="15106" width="49.33203125" style="19" customWidth="1"/>
    <col min="15107" max="15138" width="15.77734375" style="19" customWidth="1"/>
    <col min="15139" max="15140" width="10.5546875" style="19" customWidth="1"/>
    <col min="15141" max="15141" width="11" style="19" customWidth="1"/>
    <col min="15142" max="15142" width="13.109375" style="19" bestFit="1" customWidth="1"/>
    <col min="15143" max="15143" width="27.21875" style="19" customWidth="1"/>
    <col min="15144" max="15144" width="14.44140625" style="19" bestFit="1" customWidth="1"/>
    <col min="15145" max="15145" width="11.77734375" style="19" bestFit="1" customWidth="1"/>
    <col min="15146" max="15148" width="8.88671875" style="19"/>
    <col min="15149" max="15149" width="13.44140625" style="19" bestFit="1" customWidth="1"/>
    <col min="15150" max="15360" width="8.88671875" style="19"/>
    <col min="15361" max="15361" width="5.109375" style="19" customWidth="1"/>
    <col min="15362" max="15362" width="49.33203125" style="19" customWidth="1"/>
    <col min="15363" max="15394" width="15.77734375" style="19" customWidth="1"/>
    <col min="15395" max="15396" width="10.5546875" style="19" customWidth="1"/>
    <col min="15397" max="15397" width="11" style="19" customWidth="1"/>
    <col min="15398" max="15398" width="13.109375" style="19" bestFit="1" customWidth="1"/>
    <col min="15399" max="15399" width="27.21875" style="19" customWidth="1"/>
    <col min="15400" max="15400" width="14.44140625" style="19" bestFit="1" customWidth="1"/>
    <col min="15401" max="15401" width="11.77734375" style="19" bestFit="1" customWidth="1"/>
    <col min="15402" max="15404" width="8.88671875" style="19"/>
    <col min="15405" max="15405" width="13.44140625" style="19" bestFit="1" customWidth="1"/>
    <col min="15406" max="15616" width="8.88671875" style="19"/>
    <col min="15617" max="15617" width="5.109375" style="19" customWidth="1"/>
    <col min="15618" max="15618" width="49.33203125" style="19" customWidth="1"/>
    <col min="15619" max="15650" width="15.77734375" style="19" customWidth="1"/>
    <col min="15651" max="15652" width="10.5546875" style="19" customWidth="1"/>
    <col min="15653" max="15653" width="11" style="19" customWidth="1"/>
    <col min="15654" max="15654" width="13.109375" style="19" bestFit="1" customWidth="1"/>
    <col min="15655" max="15655" width="27.21875" style="19" customWidth="1"/>
    <col min="15656" max="15656" width="14.44140625" style="19" bestFit="1" customWidth="1"/>
    <col min="15657" max="15657" width="11.77734375" style="19" bestFit="1" customWidth="1"/>
    <col min="15658" max="15660" width="8.88671875" style="19"/>
    <col min="15661" max="15661" width="13.44140625" style="19" bestFit="1" customWidth="1"/>
    <col min="15662" max="15872" width="8.88671875" style="19"/>
    <col min="15873" max="15873" width="5.109375" style="19" customWidth="1"/>
    <col min="15874" max="15874" width="49.33203125" style="19" customWidth="1"/>
    <col min="15875" max="15906" width="15.77734375" style="19" customWidth="1"/>
    <col min="15907" max="15908" width="10.5546875" style="19" customWidth="1"/>
    <col min="15909" max="15909" width="11" style="19" customWidth="1"/>
    <col min="15910" max="15910" width="13.109375" style="19" bestFit="1" customWidth="1"/>
    <col min="15911" max="15911" width="27.21875" style="19" customWidth="1"/>
    <col min="15912" max="15912" width="14.44140625" style="19" bestFit="1" customWidth="1"/>
    <col min="15913" max="15913" width="11.77734375" style="19" bestFit="1" customWidth="1"/>
    <col min="15914" max="15916" width="8.88671875" style="19"/>
    <col min="15917" max="15917" width="13.44140625" style="19" bestFit="1" customWidth="1"/>
    <col min="15918" max="16128" width="8.88671875" style="19"/>
    <col min="16129" max="16129" width="5.109375" style="19" customWidth="1"/>
    <col min="16130" max="16130" width="49.33203125" style="19" customWidth="1"/>
    <col min="16131" max="16162" width="15.77734375" style="19" customWidth="1"/>
    <col min="16163" max="16164" width="10.5546875" style="19" customWidth="1"/>
    <col min="16165" max="16165" width="11" style="19" customWidth="1"/>
    <col min="16166" max="16166" width="13.109375" style="19" bestFit="1" customWidth="1"/>
    <col min="16167" max="16167" width="27.21875" style="19" customWidth="1"/>
    <col min="16168" max="16168" width="14.44140625" style="19" bestFit="1" customWidth="1"/>
    <col min="16169" max="16169" width="11.77734375" style="19" bestFit="1" customWidth="1"/>
    <col min="16170" max="16172" width="8.88671875" style="19"/>
    <col min="16173" max="16173" width="13.44140625" style="19" bestFit="1" customWidth="1"/>
    <col min="16174" max="16384" width="8.88671875" style="19"/>
  </cols>
  <sheetData>
    <row r="1" spans="1:41" ht="15.75" customHeight="1" x14ac:dyDescent="0.2">
      <c r="A1" s="115" t="s">
        <v>61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41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41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1"/>
      <c r="AH3" s="122" t="s">
        <v>18</v>
      </c>
      <c r="AI3" s="20"/>
      <c r="AJ3" s="20"/>
      <c r="AK3" s="21"/>
      <c r="AL3" s="22"/>
      <c r="AM3" s="23" t="s">
        <v>0</v>
      </c>
      <c r="AN3" s="24"/>
      <c r="AO3" s="24"/>
    </row>
    <row r="4" spans="1:41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26">
        <v>31</v>
      </c>
      <c r="AH4" s="122"/>
      <c r="AI4" s="27"/>
      <c r="AJ4" s="27"/>
      <c r="AK4" s="14"/>
      <c r="AL4" s="28"/>
      <c r="AM4" s="23" t="s">
        <v>19</v>
      </c>
      <c r="AN4" s="29"/>
      <c r="AO4" s="30"/>
    </row>
    <row r="5" spans="1:41" s="25" customFormat="1" ht="18" customHeight="1" x14ac:dyDescent="0.2">
      <c r="A5" s="31">
        <v>1</v>
      </c>
      <c r="B5" s="32" t="s">
        <v>2</v>
      </c>
      <c r="C5" s="32">
        <v>18764000</v>
      </c>
      <c r="D5" s="32">
        <v>29996000</v>
      </c>
      <c r="E5" s="33"/>
      <c r="F5" s="34">
        <v>6660000</v>
      </c>
      <c r="G5" s="34">
        <v>7392000</v>
      </c>
      <c r="H5" s="34">
        <v>5868000</v>
      </c>
      <c r="I5" s="32">
        <v>5752000</v>
      </c>
      <c r="J5" s="32">
        <v>22316000</v>
      </c>
      <c r="K5" s="32">
        <v>28328000</v>
      </c>
      <c r="L5" s="33"/>
      <c r="M5" s="32">
        <v>7308000</v>
      </c>
      <c r="N5" s="32">
        <v>5696000</v>
      </c>
      <c r="O5" s="32">
        <v>5196000</v>
      </c>
      <c r="P5" s="32">
        <v>4412000</v>
      </c>
      <c r="Q5" s="32">
        <v>17824000</v>
      </c>
      <c r="R5" s="32">
        <v>26428000</v>
      </c>
      <c r="S5" s="32">
        <v>20144000</v>
      </c>
      <c r="T5" s="33"/>
      <c r="U5" s="32">
        <v>5128000</v>
      </c>
      <c r="V5" s="32">
        <v>5816000</v>
      </c>
      <c r="W5" s="32">
        <v>4612000</v>
      </c>
      <c r="X5" s="32">
        <v>15956000</v>
      </c>
      <c r="Y5" s="32">
        <v>23960000</v>
      </c>
      <c r="Z5" s="33"/>
      <c r="AA5" s="32">
        <v>24688000</v>
      </c>
      <c r="AB5" s="32">
        <v>5644000</v>
      </c>
      <c r="AC5" s="32">
        <v>4928000</v>
      </c>
      <c r="AD5" s="32">
        <v>4400000</v>
      </c>
      <c r="AE5" s="32">
        <v>17664000</v>
      </c>
      <c r="AF5" s="32">
        <v>25196000</v>
      </c>
      <c r="AG5" s="33"/>
      <c r="AH5" s="35">
        <f>SUM(C5:AG5)</f>
        <v>350076000</v>
      </c>
      <c r="AI5" s="107">
        <f>AH5/4000</f>
        <v>87519</v>
      </c>
      <c r="AJ5" s="109">
        <v>350732000</v>
      </c>
      <c r="AK5" s="111">
        <f>AH5+AJ5</f>
        <v>700808000</v>
      </c>
      <c r="AL5" s="38"/>
      <c r="AM5" s="3" t="s">
        <v>2</v>
      </c>
      <c r="AN5" s="39">
        <f t="shared" ref="AN5:AN23" si="0">AH5</f>
        <v>350076000</v>
      </c>
      <c r="AO5" s="30"/>
    </row>
    <row r="6" spans="1:41" s="25" customFormat="1" ht="18" customHeight="1" x14ac:dyDescent="0.2">
      <c r="A6" s="40">
        <v>2</v>
      </c>
      <c r="B6" s="41" t="s">
        <v>3</v>
      </c>
      <c r="C6" s="41">
        <v>3567000</v>
      </c>
      <c r="D6" s="41">
        <v>5922000</v>
      </c>
      <c r="E6" s="42"/>
      <c r="F6" s="41">
        <v>765000</v>
      </c>
      <c r="G6" s="41">
        <v>807000</v>
      </c>
      <c r="H6" s="41">
        <v>576000</v>
      </c>
      <c r="I6" s="41">
        <v>615000</v>
      </c>
      <c r="J6" s="41">
        <v>4476000</v>
      </c>
      <c r="K6" s="41">
        <v>5208000</v>
      </c>
      <c r="L6" s="42"/>
      <c r="M6" s="41">
        <v>801000</v>
      </c>
      <c r="N6" s="41">
        <v>648000</v>
      </c>
      <c r="O6" s="41">
        <v>540000</v>
      </c>
      <c r="P6" s="41">
        <v>468000</v>
      </c>
      <c r="Q6" s="41">
        <v>3195000</v>
      </c>
      <c r="R6" s="41">
        <v>5511000</v>
      </c>
      <c r="S6" s="41">
        <v>4137000</v>
      </c>
      <c r="T6" s="42"/>
      <c r="U6" s="41">
        <v>582000</v>
      </c>
      <c r="V6" s="41">
        <v>540000</v>
      </c>
      <c r="W6" s="41">
        <v>498000</v>
      </c>
      <c r="X6" s="41">
        <v>3207000</v>
      </c>
      <c r="Y6" s="41">
        <v>4821000</v>
      </c>
      <c r="Z6" s="42"/>
      <c r="AA6" s="41">
        <v>4920000</v>
      </c>
      <c r="AB6" s="41">
        <v>585000</v>
      </c>
      <c r="AC6" s="41">
        <v>426000</v>
      </c>
      <c r="AD6" s="41">
        <v>516000</v>
      </c>
      <c r="AE6" s="41">
        <v>3045000</v>
      </c>
      <c r="AF6" s="41">
        <v>5340000</v>
      </c>
      <c r="AG6" s="42"/>
      <c r="AH6" s="84">
        <f t="shared" ref="AH6:AH22" si="1">SUM(C6:AG6)</f>
        <v>61716000</v>
      </c>
      <c r="AI6" s="107">
        <f>AH6/3000</f>
        <v>20572</v>
      </c>
      <c r="AJ6" s="109">
        <v>40065000</v>
      </c>
      <c r="AK6" s="111">
        <f t="shared" ref="AK6:AK22" si="2">AH6+AJ6</f>
        <v>101781000</v>
      </c>
      <c r="AL6" s="38"/>
      <c r="AM6" s="3" t="s">
        <v>3</v>
      </c>
      <c r="AN6" s="39">
        <f t="shared" si="0"/>
        <v>61716000</v>
      </c>
      <c r="AO6" s="30"/>
    </row>
    <row r="7" spans="1:41" s="25" customFormat="1" ht="18" customHeight="1" x14ac:dyDescent="0.2">
      <c r="A7" s="40">
        <v>3</v>
      </c>
      <c r="B7" s="41" t="s">
        <v>4</v>
      </c>
      <c r="C7" s="41"/>
      <c r="D7" s="41"/>
      <c r="E7" s="42"/>
      <c r="F7" s="41"/>
      <c r="G7" s="41"/>
      <c r="H7" s="41"/>
      <c r="I7" s="41"/>
      <c r="J7" s="41"/>
      <c r="K7" s="41"/>
      <c r="L7" s="42"/>
      <c r="M7" s="41"/>
      <c r="N7" s="41"/>
      <c r="O7" s="41"/>
      <c r="P7" s="41"/>
      <c r="Q7" s="41"/>
      <c r="R7" s="41"/>
      <c r="S7" s="41"/>
      <c r="T7" s="42"/>
      <c r="U7" s="41"/>
      <c r="V7" s="41"/>
      <c r="W7" s="41"/>
      <c r="X7" s="41"/>
      <c r="Y7" s="41"/>
      <c r="Z7" s="42"/>
      <c r="AA7" s="41"/>
      <c r="AB7" s="41"/>
      <c r="AC7" s="41"/>
      <c r="AD7" s="41"/>
      <c r="AE7" s="41"/>
      <c r="AF7" s="41"/>
      <c r="AG7" s="42"/>
      <c r="AH7" s="84">
        <f t="shared" si="1"/>
        <v>0</v>
      </c>
      <c r="AI7" s="107">
        <f>AH7/3000</f>
        <v>0</v>
      </c>
      <c r="AJ7" s="109"/>
      <c r="AK7" s="111">
        <f t="shared" si="2"/>
        <v>0</v>
      </c>
      <c r="AL7" s="38"/>
      <c r="AM7" s="3" t="s">
        <v>4</v>
      </c>
      <c r="AN7" s="39">
        <f t="shared" si="0"/>
        <v>0</v>
      </c>
      <c r="AO7" s="30"/>
    </row>
    <row r="8" spans="1:41" s="25" customFormat="1" ht="18" customHeight="1" x14ac:dyDescent="0.2">
      <c r="A8" s="40">
        <v>4</v>
      </c>
      <c r="B8" s="41" t="s">
        <v>5</v>
      </c>
      <c r="C8" s="41"/>
      <c r="D8" s="41"/>
      <c r="E8" s="42"/>
      <c r="F8" s="41"/>
      <c r="G8" s="41"/>
      <c r="H8" s="41"/>
      <c r="I8" s="41"/>
      <c r="J8" s="41"/>
      <c r="K8" s="41"/>
      <c r="L8" s="42"/>
      <c r="M8" s="41"/>
      <c r="N8" s="41"/>
      <c r="O8" s="41"/>
      <c r="P8" s="41"/>
      <c r="Q8" s="41"/>
      <c r="R8" s="41"/>
      <c r="S8" s="41"/>
      <c r="T8" s="42"/>
      <c r="U8" s="41"/>
      <c r="V8" s="41"/>
      <c r="W8" s="41"/>
      <c r="X8" s="41"/>
      <c r="Y8" s="41"/>
      <c r="Z8" s="42"/>
      <c r="AA8" s="41"/>
      <c r="AB8" s="41"/>
      <c r="AC8" s="41"/>
      <c r="AD8" s="41"/>
      <c r="AE8" s="41"/>
      <c r="AF8" s="41"/>
      <c r="AG8" s="42"/>
      <c r="AH8" s="84">
        <f t="shared" si="1"/>
        <v>0</v>
      </c>
      <c r="AI8" s="107">
        <f>AH8/2250</f>
        <v>0</v>
      </c>
      <c r="AJ8" s="109"/>
      <c r="AK8" s="111">
        <f t="shared" si="2"/>
        <v>0</v>
      </c>
      <c r="AL8" s="38"/>
      <c r="AM8" s="3" t="s">
        <v>5</v>
      </c>
      <c r="AN8" s="39">
        <f t="shared" si="0"/>
        <v>0</v>
      </c>
      <c r="AO8" s="30"/>
    </row>
    <row r="9" spans="1:41" s="25" customFormat="1" ht="18" customHeight="1" x14ac:dyDescent="0.2">
      <c r="A9" s="40">
        <v>5</v>
      </c>
      <c r="B9" s="43" t="s">
        <v>20</v>
      </c>
      <c r="C9" s="41">
        <v>430000</v>
      </c>
      <c r="D9" s="41">
        <v>930000</v>
      </c>
      <c r="E9" s="42"/>
      <c r="F9" s="41">
        <v>25000</v>
      </c>
      <c r="G9" s="41">
        <v>92500</v>
      </c>
      <c r="H9" s="41">
        <v>32500</v>
      </c>
      <c r="I9" s="41">
        <v>32500</v>
      </c>
      <c r="J9" s="41">
        <v>575000</v>
      </c>
      <c r="K9" s="41">
        <v>832500</v>
      </c>
      <c r="L9" s="42"/>
      <c r="M9" s="41">
        <v>60000</v>
      </c>
      <c r="N9" s="41">
        <v>27500</v>
      </c>
      <c r="O9" s="41">
        <v>22500</v>
      </c>
      <c r="P9" s="41">
        <v>20000</v>
      </c>
      <c r="Q9" s="41">
        <v>572500</v>
      </c>
      <c r="R9" s="41">
        <v>1005000</v>
      </c>
      <c r="S9" s="41">
        <v>580000</v>
      </c>
      <c r="T9" s="42"/>
      <c r="U9" s="41">
        <v>60000</v>
      </c>
      <c r="V9" s="41">
        <v>110000</v>
      </c>
      <c r="W9" s="41">
        <v>12500</v>
      </c>
      <c r="X9" s="41">
        <v>460000</v>
      </c>
      <c r="Y9" s="41">
        <v>707500</v>
      </c>
      <c r="Z9" s="42"/>
      <c r="AA9" s="41">
        <v>657500</v>
      </c>
      <c r="AB9" s="41">
        <v>45000</v>
      </c>
      <c r="AC9" s="41">
        <v>30000</v>
      </c>
      <c r="AD9" s="41">
        <v>22500</v>
      </c>
      <c r="AE9" s="41">
        <v>612500</v>
      </c>
      <c r="AF9" s="41">
        <v>702500</v>
      </c>
      <c r="AG9" s="42"/>
      <c r="AH9" s="84">
        <f t="shared" si="1"/>
        <v>8657500</v>
      </c>
      <c r="AI9" s="107">
        <f>AH9/2500</f>
        <v>3463</v>
      </c>
      <c r="AJ9" s="109">
        <v>27385000</v>
      </c>
      <c r="AK9" s="111">
        <f t="shared" si="2"/>
        <v>36042500</v>
      </c>
      <c r="AL9" s="38"/>
      <c r="AM9" s="3"/>
      <c r="AN9" s="39"/>
      <c r="AO9" s="30"/>
    </row>
    <row r="10" spans="1:41" s="25" customFormat="1" ht="18" customHeight="1" x14ac:dyDescent="0.2">
      <c r="A10" s="40">
        <v>6</v>
      </c>
      <c r="B10" s="44" t="s">
        <v>21</v>
      </c>
      <c r="C10" s="44"/>
      <c r="D10" s="44"/>
      <c r="E10" s="42"/>
      <c r="F10" s="44">
        <v>210000</v>
      </c>
      <c r="G10" s="44">
        <v>126000</v>
      </c>
      <c r="H10" s="44">
        <v>174000</v>
      </c>
      <c r="I10" s="44">
        <v>192000</v>
      </c>
      <c r="J10" s="44"/>
      <c r="K10" s="44"/>
      <c r="L10" s="42"/>
      <c r="M10" s="44">
        <v>264000</v>
      </c>
      <c r="N10" s="44">
        <v>144000</v>
      </c>
      <c r="O10" s="44">
        <v>258000</v>
      </c>
      <c r="P10" s="44">
        <v>180000</v>
      </c>
      <c r="Q10" s="44"/>
      <c r="R10" s="44"/>
      <c r="S10" s="44"/>
      <c r="T10" s="42"/>
      <c r="U10" s="44">
        <v>294000</v>
      </c>
      <c r="V10" s="44">
        <v>330000</v>
      </c>
      <c r="W10" s="44">
        <v>198000</v>
      </c>
      <c r="X10" s="44"/>
      <c r="Y10" s="44"/>
      <c r="Z10" s="42"/>
      <c r="AA10" s="44"/>
      <c r="AB10" s="44">
        <v>156000</v>
      </c>
      <c r="AC10" s="44">
        <v>180000</v>
      </c>
      <c r="AD10" s="44">
        <v>84000</v>
      </c>
      <c r="AE10" s="44"/>
      <c r="AF10" s="44"/>
      <c r="AG10" s="42"/>
      <c r="AH10" s="84">
        <f t="shared" si="1"/>
        <v>2790000</v>
      </c>
      <c r="AI10" s="107">
        <f>AH10/6000</f>
        <v>465</v>
      </c>
      <c r="AJ10" s="109">
        <v>24174000</v>
      </c>
      <c r="AK10" s="111">
        <f t="shared" si="2"/>
        <v>26964000</v>
      </c>
      <c r="AL10" s="38"/>
      <c r="AM10" s="3" t="s">
        <v>10</v>
      </c>
      <c r="AN10" s="39">
        <f t="shared" si="0"/>
        <v>2790000</v>
      </c>
      <c r="AO10" s="30"/>
    </row>
    <row r="11" spans="1:41" s="50" customFormat="1" ht="18" customHeight="1" x14ac:dyDescent="0.2">
      <c r="A11" s="40">
        <v>7</v>
      </c>
      <c r="B11" s="44" t="s">
        <v>22</v>
      </c>
      <c r="C11" s="44"/>
      <c r="D11" s="44"/>
      <c r="E11" s="42"/>
      <c r="F11" s="46">
        <v>336000</v>
      </c>
      <c r="G11" s="46">
        <v>282000</v>
      </c>
      <c r="H11" s="46">
        <v>216000</v>
      </c>
      <c r="I11" s="44">
        <v>150000</v>
      </c>
      <c r="J11" s="44"/>
      <c r="K11" s="44"/>
      <c r="L11" s="42"/>
      <c r="M11" s="44">
        <v>294000</v>
      </c>
      <c r="N11" s="44">
        <v>204000</v>
      </c>
      <c r="O11" s="44">
        <v>42000</v>
      </c>
      <c r="P11" s="44">
        <v>162000</v>
      </c>
      <c r="Q11" s="44"/>
      <c r="R11" s="44"/>
      <c r="S11" s="44"/>
      <c r="T11" s="42"/>
      <c r="U11" s="44">
        <v>126000</v>
      </c>
      <c r="V11" s="44">
        <v>120000</v>
      </c>
      <c r="W11" s="44">
        <v>132000</v>
      </c>
      <c r="X11" s="44"/>
      <c r="Y11" s="44"/>
      <c r="Z11" s="42"/>
      <c r="AA11" s="44"/>
      <c r="AB11" s="44">
        <v>252000</v>
      </c>
      <c r="AC11" s="44">
        <v>138000</v>
      </c>
      <c r="AD11" s="44">
        <v>132000</v>
      </c>
      <c r="AE11" s="44"/>
      <c r="AF11" s="44"/>
      <c r="AG11" s="42"/>
      <c r="AH11" s="84">
        <f t="shared" si="1"/>
        <v>2586000</v>
      </c>
      <c r="AI11" s="107">
        <f>AH11/6000</f>
        <v>431</v>
      </c>
      <c r="AJ11" s="109">
        <v>2526000</v>
      </c>
      <c r="AK11" s="111">
        <f t="shared" si="2"/>
        <v>5112000</v>
      </c>
      <c r="AL11" s="47"/>
      <c r="AM11" s="48" t="s">
        <v>23</v>
      </c>
      <c r="AN11" s="39">
        <f t="shared" si="0"/>
        <v>2586000</v>
      </c>
      <c r="AO11" s="49"/>
    </row>
    <row r="12" spans="1:41" s="50" customFormat="1" ht="18" customHeight="1" x14ac:dyDescent="0.2">
      <c r="A12" s="40">
        <v>8</v>
      </c>
      <c r="B12" s="44" t="s">
        <v>24</v>
      </c>
      <c r="C12" s="44"/>
      <c r="D12" s="44"/>
      <c r="E12" s="42"/>
      <c r="F12" s="44"/>
      <c r="G12" s="44"/>
      <c r="H12" s="44"/>
      <c r="I12" s="44"/>
      <c r="J12" s="44"/>
      <c r="K12" s="44"/>
      <c r="L12" s="42"/>
      <c r="M12" s="44"/>
      <c r="N12" s="44"/>
      <c r="O12" s="44"/>
      <c r="P12" s="44"/>
      <c r="Q12" s="44"/>
      <c r="R12" s="44"/>
      <c r="S12" s="44"/>
      <c r="T12" s="42"/>
      <c r="U12" s="44"/>
      <c r="V12" s="44"/>
      <c r="W12" s="44"/>
      <c r="X12" s="44"/>
      <c r="Y12" s="44"/>
      <c r="Z12" s="42"/>
      <c r="AA12" s="44"/>
      <c r="AB12" s="44"/>
      <c r="AC12" s="44"/>
      <c r="AD12" s="44"/>
      <c r="AE12" s="44"/>
      <c r="AF12" s="44"/>
      <c r="AG12" s="42"/>
      <c r="AH12" s="84">
        <f t="shared" si="1"/>
        <v>0</v>
      </c>
      <c r="AI12" s="107">
        <f>AH12/4500</f>
        <v>0</v>
      </c>
      <c r="AJ12" s="109"/>
      <c r="AK12" s="111">
        <f t="shared" si="2"/>
        <v>0</v>
      </c>
      <c r="AL12" s="47"/>
      <c r="AM12" s="48" t="s">
        <v>25</v>
      </c>
      <c r="AN12" s="39">
        <f t="shared" si="0"/>
        <v>0</v>
      </c>
      <c r="AO12" s="49"/>
    </row>
    <row r="13" spans="1:41" s="50" customFormat="1" ht="18" customHeight="1" x14ac:dyDescent="0.2">
      <c r="A13" s="40">
        <v>9</v>
      </c>
      <c r="B13" s="44" t="s">
        <v>26</v>
      </c>
      <c r="C13" s="44"/>
      <c r="D13" s="44"/>
      <c r="E13" s="42"/>
      <c r="F13" s="44"/>
      <c r="G13" s="44"/>
      <c r="H13" s="44"/>
      <c r="I13" s="44"/>
      <c r="J13" s="44"/>
      <c r="K13" s="44"/>
      <c r="L13" s="42"/>
      <c r="M13" s="44"/>
      <c r="N13" s="44"/>
      <c r="O13" s="44"/>
      <c r="P13" s="44"/>
      <c r="Q13" s="44"/>
      <c r="R13" s="44"/>
      <c r="S13" s="44"/>
      <c r="T13" s="42"/>
      <c r="U13" s="44"/>
      <c r="V13" s="44"/>
      <c r="W13" s="44"/>
      <c r="X13" s="44"/>
      <c r="Y13" s="44"/>
      <c r="Z13" s="42"/>
      <c r="AA13" s="44"/>
      <c r="AB13" s="44"/>
      <c r="AC13" s="44"/>
      <c r="AD13" s="44"/>
      <c r="AE13" s="44"/>
      <c r="AF13" s="44"/>
      <c r="AG13" s="42"/>
      <c r="AH13" s="84">
        <f t="shared" si="1"/>
        <v>0</v>
      </c>
      <c r="AI13" s="107">
        <f>AH13/4500</f>
        <v>0</v>
      </c>
      <c r="AJ13" s="109"/>
      <c r="AK13" s="111">
        <f t="shared" si="2"/>
        <v>0</v>
      </c>
      <c r="AL13" s="47"/>
      <c r="AM13" s="48" t="s">
        <v>27</v>
      </c>
      <c r="AN13" s="39">
        <f t="shared" si="0"/>
        <v>0</v>
      </c>
      <c r="AO13" s="49"/>
    </row>
    <row r="14" spans="1:41" s="50" customFormat="1" ht="18" customHeight="1" x14ac:dyDescent="0.2">
      <c r="A14" s="40">
        <v>10</v>
      </c>
      <c r="B14" s="52" t="s">
        <v>28</v>
      </c>
      <c r="C14" s="52">
        <v>5767500</v>
      </c>
      <c r="D14" s="52">
        <v>10387500</v>
      </c>
      <c r="E14" s="42"/>
      <c r="F14" s="52"/>
      <c r="G14" s="52"/>
      <c r="H14" s="52"/>
      <c r="I14" s="52"/>
      <c r="J14" s="52">
        <v>6367500</v>
      </c>
      <c r="K14" s="52">
        <v>11010000</v>
      </c>
      <c r="L14" s="42"/>
      <c r="M14" s="52"/>
      <c r="N14" s="52"/>
      <c r="O14" s="52"/>
      <c r="P14" s="52"/>
      <c r="Q14" s="52">
        <v>5505000</v>
      </c>
      <c r="R14" s="52">
        <v>10425000</v>
      </c>
      <c r="S14" s="52">
        <v>5812500</v>
      </c>
      <c r="T14" s="42"/>
      <c r="U14" s="52"/>
      <c r="V14" s="52"/>
      <c r="W14" s="52"/>
      <c r="X14" s="52">
        <v>5872500</v>
      </c>
      <c r="Y14" s="52">
        <v>8587500</v>
      </c>
      <c r="Z14" s="42"/>
      <c r="AA14" s="52">
        <v>12502500</v>
      </c>
      <c r="AB14" s="52"/>
      <c r="AC14" s="52"/>
      <c r="AD14" s="52"/>
      <c r="AE14" s="52">
        <v>5790000</v>
      </c>
      <c r="AF14" s="52">
        <v>9562500</v>
      </c>
      <c r="AG14" s="42"/>
      <c r="AH14" s="84">
        <f t="shared" si="1"/>
        <v>97590000</v>
      </c>
      <c r="AI14" s="107">
        <f>AH14/7500</f>
        <v>13012</v>
      </c>
      <c r="AJ14" s="109">
        <v>140940000</v>
      </c>
      <c r="AK14" s="111">
        <f t="shared" si="2"/>
        <v>238530000</v>
      </c>
      <c r="AL14" s="47"/>
      <c r="AM14" s="48" t="s">
        <v>29</v>
      </c>
      <c r="AN14" s="39">
        <f t="shared" si="0"/>
        <v>97590000</v>
      </c>
      <c r="AO14" s="49"/>
    </row>
    <row r="15" spans="1:41" s="11" customFormat="1" ht="18" customHeight="1" x14ac:dyDescent="0.2">
      <c r="A15" s="40">
        <v>11</v>
      </c>
      <c r="B15" s="52" t="s">
        <v>30</v>
      </c>
      <c r="C15" s="52">
        <v>4117500</v>
      </c>
      <c r="D15" s="52">
        <v>7327500</v>
      </c>
      <c r="E15" s="42"/>
      <c r="F15" s="52"/>
      <c r="G15" s="52"/>
      <c r="H15" s="52"/>
      <c r="I15" s="52"/>
      <c r="J15" s="52">
        <v>3577500</v>
      </c>
      <c r="K15" s="52">
        <v>7230000</v>
      </c>
      <c r="L15" s="42"/>
      <c r="M15" s="52"/>
      <c r="N15" s="52"/>
      <c r="O15" s="52"/>
      <c r="P15" s="52"/>
      <c r="Q15" s="52">
        <v>3607500</v>
      </c>
      <c r="R15" s="52">
        <v>7207500</v>
      </c>
      <c r="S15" s="52">
        <v>3780000</v>
      </c>
      <c r="T15" s="42"/>
      <c r="U15" s="52"/>
      <c r="V15" s="52"/>
      <c r="W15" s="52"/>
      <c r="X15" s="52">
        <v>3795000</v>
      </c>
      <c r="Y15" s="52">
        <v>5647500</v>
      </c>
      <c r="Z15" s="42"/>
      <c r="AA15" s="52">
        <v>7800000</v>
      </c>
      <c r="AB15" s="52"/>
      <c r="AC15" s="52"/>
      <c r="AD15" s="52"/>
      <c r="AE15" s="52">
        <v>4012500</v>
      </c>
      <c r="AF15" s="52">
        <v>6510000</v>
      </c>
      <c r="AG15" s="42"/>
      <c r="AH15" s="84">
        <f t="shared" si="1"/>
        <v>64612500</v>
      </c>
      <c r="AI15" s="107">
        <f>AH15/7500</f>
        <v>8615</v>
      </c>
      <c r="AJ15" s="109">
        <v>26670000</v>
      </c>
      <c r="AK15" s="111">
        <f t="shared" si="2"/>
        <v>91282500</v>
      </c>
      <c r="AL15" s="38"/>
      <c r="AM15" s="54" t="s">
        <v>21</v>
      </c>
      <c r="AN15" s="39">
        <f t="shared" si="0"/>
        <v>64612500</v>
      </c>
      <c r="AO15" s="29"/>
    </row>
    <row r="16" spans="1:41" s="11" customFormat="1" ht="18" customHeight="1" x14ac:dyDescent="0.2">
      <c r="A16" s="40">
        <v>12</v>
      </c>
      <c r="B16" s="55" t="s">
        <v>31</v>
      </c>
      <c r="C16" s="52"/>
      <c r="D16" s="52"/>
      <c r="E16" s="42"/>
      <c r="F16" s="52"/>
      <c r="G16" s="52"/>
      <c r="H16" s="52"/>
      <c r="I16" s="52"/>
      <c r="J16" s="52"/>
      <c r="K16" s="52"/>
      <c r="L16" s="42"/>
      <c r="M16" s="52"/>
      <c r="N16" s="52"/>
      <c r="O16" s="52"/>
      <c r="P16" s="52"/>
      <c r="Q16" s="52"/>
      <c r="R16" s="52"/>
      <c r="S16" s="52"/>
      <c r="T16" s="42"/>
      <c r="U16" s="52"/>
      <c r="V16" s="52"/>
      <c r="W16" s="52"/>
      <c r="X16" s="52"/>
      <c r="Y16" s="52"/>
      <c r="Z16" s="42"/>
      <c r="AA16" s="52"/>
      <c r="AB16" s="52"/>
      <c r="AC16" s="52"/>
      <c r="AD16" s="52"/>
      <c r="AE16" s="52"/>
      <c r="AF16" s="52"/>
      <c r="AG16" s="42"/>
      <c r="AH16" s="84">
        <f t="shared" si="1"/>
        <v>0</v>
      </c>
      <c r="AI16" s="107">
        <f>AH16/5625</f>
        <v>0</v>
      </c>
      <c r="AJ16" s="109"/>
      <c r="AK16" s="111">
        <f t="shared" si="2"/>
        <v>0</v>
      </c>
      <c r="AL16" s="38"/>
      <c r="AM16" s="54" t="s">
        <v>22</v>
      </c>
      <c r="AN16" s="39">
        <f t="shared" si="0"/>
        <v>0</v>
      </c>
      <c r="AO16" s="29"/>
    </row>
    <row r="17" spans="1:41" s="11" customFormat="1" ht="18" customHeight="1" x14ac:dyDescent="0.2">
      <c r="A17" s="40">
        <v>13</v>
      </c>
      <c r="B17" s="52" t="s">
        <v>32</v>
      </c>
      <c r="C17" s="52"/>
      <c r="D17" s="52"/>
      <c r="E17" s="42"/>
      <c r="F17" s="52"/>
      <c r="G17" s="52"/>
      <c r="H17" s="52"/>
      <c r="I17" s="52"/>
      <c r="J17" s="52"/>
      <c r="K17" s="52"/>
      <c r="L17" s="42"/>
      <c r="M17" s="52"/>
      <c r="N17" s="52"/>
      <c r="O17" s="52"/>
      <c r="P17" s="52"/>
      <c r="Q17" s="52"/>
      <c r="R17" s="52"/>
      <c r="S17" s="52"/>
      <c r="T17" s="42"/>
      <c r="U17" s="52"/>
      <c r="V17" s="52"/>
      <c r="W17" s="52"/>
      <c r="X17" s="52"/>
      <c r="Y17" s="52"/>
      <c r="Z17" s="42"/>
      <c r="AA17" s="52"/>
      <c r="AB17" s="52"/>
      <c r="AC17" s="52"/>
      <c r="AD17" s="52"/>
      <c r="AE17" s="52"/>
      <c r="AF17" s="52"/>
      <c r="AG17" s="42"/>
      <c r="AH17" s="84">
        <f t="shared" si="1"/>
        <v>0</v>
      </c>
      <c r="AI17" s="107">
        <f>AH17/5625</f>
        <v>0</v>
      </c>
      <c r="AJ17" s="109"/>
      <c r="AK17" s="111">
        <f t="shared" si="2"/>
        <v>0</v>
      </c>
      <c r="AL17" s="38"/>
      <c r="AM17" s="54" t="s">
        <v>24</v>
      </c>
      <c r="AN17" s="39">
        <f t="shared" si="0"/>
        <v>0</v>
      </c>
      <c r="AO17" s="29"/>
    </row>
    <row r="18" spans="1:41" s="11" customFormat="1" ht="18" customHeight="1" x14ac:dyDescent="0.2">
      <c r="A18" s="40">
        <v>14</v>
      </c>
      <c r="B18" s="41" t="s">
        <v>6</v>
      </c>
      <c r="C18" s="41"/>
      <c r="D18" s="41"/>
      <c r="E18" s="42"/>
      <c r="F18" s="41"/>
      <c r="G18" s="41"/>
      <c r="H18" s="41"/>
      <c r="I18" s="41"/>
      <c r="J18" s="41"/>
      <c r="K18" s="41"/>
      <c r="L18" s="42"/>
      <c r="M18" s="41"/>
      <c r="N18" s="41"/>
      <c r="O18" s="41"/>
      <c r="P18" s="41"/>
      <c r="Q18" s="41"/>
      <c r="R18" s="41"/>
      <c r="S18" s="41"/>
      <c r="T18" s="42"/>
      <c r="U18" s="41"/>
      <c r="V18" s="41"/>
      <c r="W18" s="41"/>
      <c r="X18" s="41"/>
      <c r="Y18" s="41"/>
      <c r="Z18" s="42"/>
      <c r="AA18" s="41"/>
      <c r="AB18" s="41"/>
      <c r="AC18" s="41"/>
      <c r="AD18" s="41"/>
      <c r="AE18" s="41"/>
      <c r="AF18" s="41"/>
      <c r="AG18" s="42"/>
      <c r="AH18" s="84">
        <f t="shared" si="1"/>
        <v>0</v>
      </c>
      <c r="AI18" s="107">
        <f>AH18/15000</f>
        <v>0</v>
      </c>
      <c r="AJ18" s="110">
        <v>1560000</v>
      </c>
      <c r="AK18" s="111">
        <f t="shared" si="2"/>
        <v>1560000</v>
      </c>
      <c r="AL18" s="38"/>
      <c r="AM18" s="54" t="s">
        <v>26</v>
      </c>
      <c r="AN18" s="39">
        <f t="shared" si="0"/>
        <v>0</v>
      </c>
      <c r="AO18" s="29"/>
    </row>
    <row r="19" spans="1:41" s="11" customFormat="1" ht="18" customHeight="1" x14ac:dyDescent="0.2">
      <c r="A19" s="40">
        <v>15</v>
      </c>
      <c r="B19" s="41" t="s">
        <v>7</v>
      </c>
      <c r="C19" s="41"/>
      <c r="D19" s="41"/>
      <c r="E19" s="42"/>
      <c r="F19" s="41"/>
      <c r="G19" s="41"/>
      <c r="H19" s="41"/>
      <c r="I19" s="41"/>
      <c r="J19" s="41"/>
      <c r="K19" s="41"/>
      <c r="L19" s="42"/>
      <c r="M19" s="41"/>
      <c r="N19" s="41"/>
      <c r="O19" s="41"/>
      <c r="P19" s="41"/>
      <c r="Q19" s="41"/>
      <c r="R19" s="41"/>
      <c r="S19" s="41"/>
      <c r="T19" s="42"/>
      <c r="U19" s="41"/>
      <c r="V19" s="41"/>
      <c r="W19" s="41"/>
      <c r="X19" s="41"/>
      <c r="Y19" s="41"/>
      <c r="Z19" s="42"/>
      <c r="AA19" s="41"/>
      <c r="AB19" s="41"/>
      <c r="AC19" s="41"/>
      <c r="AD19" s="41"/>
      <c r="AE19" s="41"/>
      <c r="AF19" s="41"/>
      <c r="AG19" s="42"/>
      <c r="AH19" s="84">
        <f>SUM(C19:AG19)</f>
        <v>0</v>
      </c>
      <c r="AI19" s="107">
        <f>AH19/12500</f>
        <v>0</v>
      </c>
      <c r="AJ19" s="110">
        <v>812500</v>
      </c>
      <c r="AK19" s="111">
        <f t="shared" si="2"/>
        <v>812500</v>
      </c>
      <c r="AL19" s="38"/>
      <c r="AM19" s="58" t="s">
        <v>28</v>
      </c>
      <c r="AN19" s="39">
        <f t="shared" si="0"/>
        <v>0</v>
      </c>
      <c r="AO19" s="29"/>
    </row>
    <row r="20" spans="1:41" s="11" customFormat="1" ht="18" customHeight="1" x14ac:dyDescent="0.2">
      <c r="A20" s="40">
        <v>16</v>
      </c>
      <c r="B20" s="41" t="s">
        <v>8</v>
      </c>
      <c r="C20" s="41"/>
      <c r="D20" s="41"/>
      <c r="E20" s="42"/>
      <c r="F20" s="41"/>
      <c r="G20" s="41"/>
      <c r="H20" s="41"/>
      <c r="I20" s="41"/>
      <c r="J20" s="41"/>
      <c r="K20" s="41"/>
      <c r="L20" s="42"/>
      <c r="M20" s="41"/>
      <c r="N20" s="41"/>
      <c r="O20" s="41"/>
      <c r="P20" s="41"/>
      <c r="Q20" s="41"/>
      <c r="R20" s="41"/>
      <c r="S20" s="41"/>
      <c r="T20" s="42"/>
      <c r="U20" s="41"/>
      <c r="V20" s="41"/>
      <c r="W20" s="41"/>
      <c r="X20" s="41"/>
      <c r="Y20" s="41"/>
      <c r="Z20" s="42"/>
      <c r="AA20" s="41"/>
      <c r="AB20" s="41"/>
      <c r="AC20" s="41"/>
      <c r="AD20" s="41"/>
      <c r="AE20" s="41"/>
      <c r="AF20" s="41"/>
      <c r="AG20" s="42"/>
      <c r="AH20" s="84">
        <f t="shared" si="1"/>
        <v>0</v>
      </c>
      <c r="AI20" s="107">
        <f>AH20/6000</f>
        <v>0</v>
      </c>
      <c r="AJ20" s="110">
        <v>28122000</v>
      </c>
      <c r="AK20" s="111">
        <f t="shared" si="2"/>
        <v>28122000</v>
      </c>
      <c r="AL20" s="38"/>
      <c r="AM20" s="58" t="s">
        <v>30</v>
      </c>
      <c r="AN20" s="39">
        <f t="shared" si="0"/>
        <v>0</v>
      </c>
      <c r="AO20" s="29"/>
    </row>
    <row r="21" spans="1:41" s="11" customFormat="1" ht="18" customHeight="1" x14ac:dyDescent="0.2">
      <c r="A21" s="40">
        <v>17</v>
      </c>
      <c r="B21" s="41" t="s">
        <v>9</v>
      </c>
      <c r="C21" s="41"/>
      <c r="D21" s="41"/>
      <c r="E21" s="42"/>
      <c r="F21" s="41"/>
      <c r="G21" s="41"/>
      <c r="H21" s="41"/>
      <c r="I21" s="41"/>
      <c r="J21" s="41"/>
      <c r="K21" s="41"/>
      <c r="L21" s="42"/>
      <c r="M21" s="41"/>
      <c r="N21" s="41"/>
      <c r="O21" s="41"/>
      <c r="P21" s="41"/>
      <c r="Q21" s="41"/>
      <c r="R21" s="41"/>
      <c r="S21" s="41"/>
      <c r="T21" s="42"/>
      <c r="U21" s="41"/>
      <c r="V21" s="41"/>
      <c r="W21" s="41"/>
      <c r="X21" s="41"/>
      <c r="Y21" s="41"/>
      <c r="Z21" s="42"/>
      <c r="AA21" s="41"/>
      <c r="AB21" s="41"/>
      <c r="AC21" s="41"/>
      <c r="AD21" s="41"/>
      <c r="AE21" s="41"/>
      <c r="AF21" s="41"/>
      <c r="AG21" s="42"/>
      <c r="AH21" s="84">
        <f t="shared" si="1"/>
        <v>0</v>
      </c>
      <c r="AI21" s="107">
        <f>AH21/3000</f>
        <v>0</v>
      </c>
      <c r="AJ21" s="110">
        <v>34719000</v>
      </c>
      <c r="AK21" s="111">
        <f t="shared" si="2"/>
        <v>34719000</v>
      </c>
      <c r="AL21" s="38"/>
      <c r="AM21" s="58" t="s">
        <v>31</v>
      </c>
      <c r="AN21" s="39">
        <f t="shared" si="0"/>
        <v>0</v>
      </c>
      <c r="AO21" s="29"/>
    </row>
    <row r="22" spans="1:41" s="11" customFormat="1" ht="18" customHeight="1" thickBot="1" x14ac:dyDescent="0.25">
      <c r="A22" s="40">
        <v>18</v>
      </c>
      <c r="B22" s="59" t="s">
        <v>10</v>
      </c>
      <c r="C22" s="59"/>
      <c r="D22" s="59"/>
      <c r="E22" s="60"/>
      <c r="F22" s="61"/>
      <c r="G22" s="61"/>
      <c r="H22" s="61"/>
      <c r="I22" s="59"/>
      <c r="J22" s="59"/>
      <c r="K22" s="59"/>
      <c r="L22" s="60"/>
      <c r="M22" s="59"/>
      <c r="N22" s="59"/>
      <c r="O22" s="59"/>
      <c r="P22" s="59"/>
      <c r="Q22" s="59"/>
      <c r="R22" s="59"/>
      <c r="S22" s="59"/>
      <c r="T22" s="60"/>
      <c r="U22" s="59"/>
      <c r="V22" s="59"/>
      <c r="W22" s="59"/>
      <c r="X22" s="59"/>
      <c r="Y22" s="59"/>
      <c r="Z22" s="60"/>
      <c r="AA22" s="59"/>
      <c r="AB22" s="59"/>
      <c r="AC22" s="59"/>
      <c r="AD22" s="59"/>
      <c r="AE22" s="59"/>
      <c r="AF22" s="59"/>
      <c r="AG22" s="60"/>
      <c r="AH22" s="83">
        <f t="shared" si="1"/>
        <v>0</v>
      </c>
      <c r="AI22" s="107">
        <f>AH22/1000</f>
        <v>0</v>
      </c>
      <c r="AJ22" s="110">
        <v>2765000</v>
      </c>
      <c r="AK22" s="111">
        <f t="shared" si="2"/>
        <v>2765000</v>
      </c>
      <c r="AL22" s="38"/>
      <c r="AM22" s="58" t="s">
        <v>32</v>
      </c>
      <c r="AN22" s="39">
        <f t="shared" si="0"/>
        <v>0</v>
      </c>
      <c r="AO22" s="29"/>
    </row>
    <row r="23" spans="1:41" s="67" customFormat="1" ht="18" customHeight="1" x14ac:dyDescent="0.25">
      <c r="A23" s="63"/>
      <c r="B23" s="64" t="s">
        <v>11</v>
      </c>
      <c r="C23" s="65">
        <f t="shared" ref="C23:AJ23" si="3">SUM(C5:C22)</f>
        <v>32646000</v>
      </c>
      <c r="D23" s="65">
        <f t="shared" si="3"/>
        <v>54563000</v>
      </c>
      <c r="E23" s="65">
        <f t="shared" si="3"/>
        <v>0</v>
      </c>
      <c r="F23" s="65">
        <f t="shared" si="3"/>
        <v>7996000</v>
      </c>
      <c r="G23" s="65">
        <f t="shared" si="3"/>
        <v>8699500</v>
      </c>
      <c r="H23" s="65">
        <f t="shared" si="3"/>
        <v>6866500</v>
      </c>
      <c r="I23" s="65">
        <f t="shared" si="3"/>
        <v>6741500</v>
      </c>
      <c r="J23" s="65">
        <f t="shared" si="3"/>
        <v>37312000</v>
      </c>
      <c r="K23" s="65">
        <f t="shared" si="3"/>
        <v>52608500</v>
      </c>
      <c r="L23" s="65">
        <f t="shared" si="3"/>
        <v>0</v>
      </c>
      <c r="M23" s="65">
        <f t="shared" si="3"/>
        <v>8727000</v>
      </c>
      <c r="N23" s="65">
        <f t="shared" si="3"/>
        <v>6719500</v>
      </c>
      <c r="O23" s="65">
        <f t="shared" si="3"/>
        <v>6058500</v>
      </c>
      <c r="P23" s="65">
        <f t="shared" si="3"/>
        <v>5242000</v>
      </c>
      <c r="Q23" s="65">
        <f t="shared" si="3"/>
        <v>30704000</v>
      </c>
      <c r="R23" s="65">
        <f t="shared" si="3"/>
        <v>50576500</v>
      </c>
      <c r="S23" s="65">
        <f t="shared" si="3"/>
        <v>34453500</v>
      </c>
      <c r="T23" s="65">
        <f t="shared" si="3"/>
        <v>0</v>
      </c>
      <c r="U23" s="65">
        <f t="shared" si="3"/>
        <v>6190000</v>
      </c>
      <c r="V23" s="65">
        <f t="shared" si="3"/>
        <v>6916000</v>
      </c>
      <c r="W23" s="65">
        <f t="shared" si="3"/>
        <v>5452500</v>
      </c>
      <c r="X23" s="65">
        <f t="shared" si="3"/>
        <v>29290500</v>
      </c>
      <c r="Y23" s="65">
        <f t="shared" si="3"/>
        <v>43723500</v>
      </c>
      <c r="Z23" s="65">
        <f t="shared" si="3"/>
        <v>0</v>
      </c>
      <c r="AA23" s="65">
        <f t="shared" si="3"/>
        <v>50568000</v>
      </c>
      <c r="AB23" s="65">
        <f t="shared" si="3"/>
        <v>6682000</v>
      </c>
      <c r="AC23" s="65">
        <f t="shared" si="3"/>
        <v>5702000</v>
      </c>
      <c r="AD23" s="65">
        <f t="shared" si="3"/>
        <v>5154500</v>
      </c>
      <c r="AE23" s="65">
        <f t="shared" si="3"/>
        <v>31124000</v>
      </c>
      <c r="AF23" s="65">
        <f t="shared" si="3"/>
        <v>47311000</v>
      </c>
      <c r="AG23" s="65">
        <f t="shared" si="3"/>
        <v>0</v>
      </c>
      <c r="AH23" s="65">
        <f t="shared" si="3"/>
        <v>588028000</v>
      </c>
      <c r="AI23" s="65"/>
      <c r="AJ23" s="65">
        <f t="shared" si="3"/>
        <v>680470500</v>
      </c>
      <c r="AK23" s="108"/>
      <c r="AL23" s="38"/>
      <c r="AM23" s="66" t="s">
        <v>11</v>
      </c>
      <c r="AN23" s="39">
        <f t="shared" si="0"/>
        <v>588028000</v>
      </c>
    </row>
    <row r="24" spans="1:41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6"/>
      <c r="AI24" s="6"/>
      <c r="AJ24" s="6"/>
      <c r="AK24" s="7"/>
      <c r="AL24" s="28"/>
      <c r="AM24" s="69"/>
      <c r="AN24" s="29"/>
      <c r="AO24" s="39"/>
    </row>
    <row r="25" spans="1:41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6"/>
      <c r="AI25" s="6"/>
      <c r="AJ25" s="6"/>
      <c r="AK25" s="7"/>
      <c r="AL25" s="28"/>
      <c r="AM25" s="69"/>
      <c r="AN25" s="29"/>
      <c r="AO25" s="39"/>
    </row>
    <row r="26" spans="1:41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6"/>
      <c r="AI26" s="6"/>
      <c r="AJ26" s="6"/>
      <c r="AK26" s="37"/>
      <c r="AL26" s="28"/>
      <c r="AM26" s="69"/>
      <c r="AN26" s="29"/>
      <c r="AO26" s="30"/>
    </row>
    <row r="27" spans="1:41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6"/>
      <c r="AI27" s="6"/>
      <c r="AJ27" s="6"/>
      <c r="AK27" s="14"/>
      <c r="AL27" s="28"/>
      <c r="AM27" s="70" t="s">
        <v>13</v>
      </c>
      <c r="AN27" s="29"/>
      <c r="AO27" s="30"/>
    </row>
    <row r="28" spans="1:41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6">
        <v>31</v>
      </c>
      <c r="AH28" s="87" t="s">
        <v>1</v>
      </c>
      <c r="AI28" s="20"/>
      <c r="AJ28" s="20"/>
      <c r="AK28" s="21"/>
      <c r="AL28" s="28"/>
      <c r="AM28" s="71" t="s">
        <v>14</v>
      </c>
      <c r="AN28" s="72"/>
      <c r="AO28" s="30"/>
    </row>
    <row r="29" spans="1:41" s="25" customFormat="1" ht="18" customHeight="1" x14ac:dyDescent="0.2">
      <c r="B29" s="92" t="s">
        <v>2</v>
      </c>
      <c r="C29" s="92">
        <f t="shared" ref="C29:AG29" si="4">C5/4000</f>
        <v>4691</v>
      </c>
      <c r="D29" s="92">
        <f t="shared" si="4"/>
        <v>7499</v>
      </c>
      <c r="E29" s="92">
        <f t="shared" si="4"/>
        <v>0</v>
      </c>
      <c r="F29" s="92">
        <f t="shared" si="4"/>
        <v>1665</v>
      </c>
      <c r="G29" s="92">
        <f t="shared" si="4"/>
        <v>1848</v>
      </c>
      <c r="H29" s="92">
        <f t="shared" si="4"/>
        <v>1467</v>
      </c>
      <c r="I29" s="92">
        <f t="shared" si="4"/>
        <v>1438</v>
      </c>
      <c r="J29" s="92">
        <f t="shared" si="4"/>
        <v>5579</v>
      </c>
      <c r="K29" s="92">
        <f t="shared" si="4"/>
        <v>7082</v>
      </c>
      <c r="L29" s="92">
        <f t="shared" si="4"/>
        <v>0</v>
      </c>
      <c r="M29" s="92">
        <f t="shared" si="4"/>
        <v>1827</v>
      </c>
      <c r="N29" s="92">
        <f t="shared" si="4"/>
        <v>1424</v>
      </c>
      <c r="O29" s="92">
        <f t="shared" si="4"/>
        <v>1299</v>
      </c>
      <c r="P29" s="92">
        <f t="shared" si="4"/>
        <v>1103</v>
      </c>
      <c r="Q29" s="92">
        <f t="shared" si="4"/>
        <v>4456</v>
      </c>
      <c r="R29" s="92">
        <f t="shared" si="4"/>
        <v>6607</v>
      </c>
      <c r="S29" s="92">
        <f t="shared" si="4"/>
        <v>5036</v>
      </c>
      <c r="T29" s="92">
        <f t="shared" si="4"/>
        <v>0</v>
      </c>
      <c r="U29" s="92">
        <f t="shared" si="4"/>
        <v>1282</v>
      </c>
      <c r="V29" s="92">
        <f t="shared" si="4"/>
        <v>1454</v>
      </c>
      <c r="W29" s="92">
        <f t="shared" si="4"/>
        <v>1153</v>
      </c>
      <c r="X29" s="92">
        <f t="shared" si="4"/>
        <v>3989</v>
      </c>
      <c r="Y29" s="92">
        <f t="shared" si="4"/>
        <v>5990</v>
      </c>
      <c r="Z29" s="92">
        <f t="shared" si="4"/>
        <v>0</v>
      </c>
      <c r="AA29" s="92">
        <f t="shared" si="4"/>
        <v>6172</v>
      </c>
      <c r="AB29" s="92">
        <f t="shared" si="4"/>
        <v>1411</v>
      </c>
      <c r="AC29" s="92">
        <f t="shared" si="4"/>
        <v>1232</v>
      </c>
      <c r="AD29" s="92">
        <f t="shared" si="4"/>
        <v>1100</v>
      </c>
      <c r="AE29" s="92">
        <f t="shared" si="4"/>
        <v>4416</v>
      </c>
      <c r="AF29" s="92">
        <f t="shared" si="4"/>
        <v>6299</v>
      </c>
      <c r="AG29" s="92">
        <f t="shared" si="4"/>
        <v>0</v>
      </c>
      <c r="AH29" s="93">
        <f>SUM(C29:AG29)</f>
        <v>87519</v>
      </c>
      <c r="AI29" s="27"/>
      <c r="AJ29" s="27"/>
      <c r="AK29" s="73"/>
      <c r="AL29" s="28"/>
      <c r="AM29" s="74" t="s">
        <v>2</v>
      </c>
      <c r="AN29" s="75">
        <f>AH29</f>
        <v>87519</v>
      </c>
      <c r="AO29" s="30"/>
    </row>
    <row r="30" spans="1:41" s="25" customFormat="1" ht="18" customHeight="1" x14ac:dyDescent="0.2">
      <c r="B30" s="92" t="s">
        <v>3</v>
      </c>
      <c r="C30" s="92">
        <f t="shared" ref="C30:AG31" si="5">C6/3000</f>
        <v>1189</v>
      </c>
      <c r="D30" s="92">
        <f t="shared" si="5"/>
        <v>1974</v>
      </c>
      <c r="E30" s="92">
        <f t="shared" si="5"/>
        <v>0</v>
      </c>
      <c r="F30" s="92">
        <f t="shared" si="5"/>
        <v>255</v>
      </c>
      <c r="G30" s="92">
        <f t="shared" si="5"/>
        <v>269</v>
      </c>
      <c r="H30" s="92">
        <f t="shared" si="5"/>
        <v>192</v>
      </c>
      <c r="I30" s="92">
        <f t="shared" si="5"/>
        <v>205</v>
      </c>
      <c r="J30" s="92">
        <f t="shared" si="5"/>
        <v>1492</v>
      </c>
      <c r="K30" s="92">
        <f t="shared" si="5"/>
        <v>1736</v>
      </c>
      <c r="L30" s="92">
        <f t="shared" si="5"/>
        <v>0</v>
      </c>
      <c r="M30" s="92">
        <f t="shared" si="5"/>
        <v>267</v>
      </c>
      <c r="N30" s="92">
        <f t="shared" si="5"/>
        <v>216</v>
      </c>
      <c r="O30" s="92">
        <f t="shared" si="5"/>
        <v>180</v>
      </c>
      <c r="P30" s="92">
        <f t="shared" si="5"/>
        <v>156</v>
      </c>
      <c r="Q30" s="92">
        <f t="shared" si="5"/>
        <v>1065</v>
      </c>
      <c r="R30" s="92">
        <f t="shared" si="5"/>
        <v>1837</v>
      </c>
      <c r="S30" s="92">
        <f t="shared" si="5"/>
        <v>1379</v>
      </c>
      <c r="T30" s="92">
        <f t="shared" si="5"/>
        <v>0</v>
      </c>
      <c r="U30" s="92">
        <f t="shared" si="5"/>
        <v>194</v>
      </c>
      <c r="V30" s="92">
        <f t="shared" si="5"/>
        <v>180</v>
      </c>
      <c r="W30" s="92">
        <f t="shared" si="5"/>
        <v>166</v>
      </c>
      <c r="X30" s="92">
        <f t="shared" si="5"/>
        <v>1069</v>
      </c>
      <c r="Y30" s="92">
        <f t="shared" si="5"/>
        <v>1607</v>
      </c>
      <c r="Z30" s="92">
        <f t="shared" si="5"/>
        <v>0</v>
      </c>
      <c r="AA30" s="92">
        <f t="shared" si="5"/>
        <v>1640</v>
      </c>
      <c r="AB30" s="92">
        <f t="shared" si="5"/>
        <v>195</v>
      </c>
      <c r="AC30" s="92">
        <f t="shared" si="5"/>
        <v>142</v>
      </c>
      <c r="AD30" s="92">
        <f t="shared" si="5"/>
        <v>172</v>
      </c>
      <c r="AE30" s="92">
        <f t="shared" si="5"/>
        <v>1015</v>
      </c>
      <c r="AF30" s="92">
        <f t="shared" si="5"/>
        <v>1780</v>
      </c>
      <c r="AG30" s="92">
        <f t="shared" si="5"/>
        <v>0</v>
      </c>
      <c r="AH30" s="93">
        <f t="shared" ref="AH30:AH46" si="6">SUM(C30:AG30)</f>
        <v>20572</v>
      </c>
      <c r="AI30" s="27"/>
      <c r="AJ30" s="27"/>
      <c r="AK30" s="73"/>
      <c r="AL30" s="28"/>
      <c r="AM30" s="74" t="s">
        <v>3</v>
      </c>
      <c r="AN30" s="75">
        <f t="shared" ref="AN30:AN40" si="7">AH30</f>
        <v>20572</v>
      </c>
      <c r="AO30" s="76"/>
    </row>
    <row r="31" spans="1:41" s="25" customFormat="1" ht="18" customHeight="1" x14ac:dyDescent="0.2">
      <c r="B31" s="92" t="s">
        <v>4</v>
      </c>
      <c r="C31" s="92">
        <f t="shared" si="5"/>
        <v>0</v>
      </c>
      <c r="D31" s="92">
        <f t="shared" si="5"/>
        <v>0</v>
      </c>
      <c r="E31" s="92">
        <f t="shared" si="5"/>
        <v>0</v>
      </c>
      <c r="F31" s="92">
        <f t="shared" si="5"/>
        <v>0</v>
      </c>
      <c r="G31" s="92">
        <f t="shared" si="5"/>
        <v>0</v>
      </c>
      <c r="H31" s="92">
        <f t="shared" si="5"/>
        <v>0</v>
      </c>
      <c r="I31" s="92">
        <f t="shared" si="5"/>
        <v>0</v>
      </c>
      <c r="J31" s="92">
        <f t="shared" si="5"/>
        <v>0</v>
      </c>
      <c r="K31" s="92">
        <f t="shared" si="5"/>
        <v>0</v>
      </c>
      <c r="L31" s="92">
        <f t="shared" si="5"/>
        <v>0</v>
      </c>
      <c r="M31" s="92">
        <f t="shared" si="5"/>
        <v>0</v>
      </c>
      <c r="N31" s="92">
        <f t="shared" si="5"/>
        <v>0</v>
      </c>
      <c r="O31" s="92">
        <f t="shared" si="5"/>
        <v>0</v>
      </c>
      <c r="P31" s="92">
        <f t="shared" si="5"/>
        <v>0</v>
      </c>
      <c r="Q31" s="92">
        <f t="shared" si="5"/>
        <v>0</v>
      </c>
      <c r="R31" s="92">
        <f t="shared" si="5"/>
        <v>0</v>
      </c>
      <c r="S31" s="92">
        <f t="shared" si="5"/>
        <v>0</v>
      </c>
      <c r="T31" s="92">
        <f t="shared" si="5"/>
        <v>0</v>
      </c>
      <c r="U31" s="92">
        <f t="shared" si="5"/>
        <v>0</v>
      </c>
      <c r="V31" s="92">
        <f t="shared" si="5"/>
        <v>0</v>
      </c>
      <c r="W31" s="92">
        <f t="shared" si="5"/>
        <v>0</v>
      </c>
      <c r="X31" s="92">
        <f t="shared" si="5"/>
        <v>0</v>
      </c>
      <c r="Y31" s="92">
        <f t="shared" si="5"/>
        <v>0</v>
      </c>
      <c r="Z31" s="92">
        <f t="shared" si="5"/>
        <v>0</v>
      </c>
      <c r="AA31" s="92">
        <f t="shared" si="5"/>
        <v>0</v>
      </c>
      <c r="AB31" s="92">
        <f t="shared" si="5"/>
        <v>0</v>
      </c>
      <c r="AC31" s="92">
        <f t="shared" si="5"/>
        <v>0</v>
      </c>
      <c r="AD31" s="92">
        <f t="shared" si="5"/>
        <v>0</v>
      </c>
      <c r="AE31" s="92">
        <f t="shared" si="5"/>
        <v>0</v>
      </c>
      <c r="AF31" s="92">
        <f t="shared" si="5"/>
        <v>0</v>
      </c>
      <c r="AG31" s="92">
        <f t="shared" si="5"/>
        <v>0</v>
      </c>
      <c r="AH31" s="93">
        <f t="shared" si="6"/>
        <v>0</v>
      </c>
      <c r="AI31" s="27"/>
      <c r="AJ31" s="27"/>
      <c r="AK31" s="73"/>
      <c r="AL31" s="28"/>
      <c r="AM31" s="3" t="s">
        <v>4</v>
      </c>
      <c r="AN31" s="75">
        <f t="shared" si="7"/>
        <v>0</v>
      </c>
      <c r="AO31" s="30"/>
    </row>
    <row r="32" spans="1:41" s="25" customFormat="1" ht="18" customHeight="1" x14ac:dyDescent="0.2">
      <c r="B32" s="92" t="s">
        <v>5</v>
      </c>
      <c r="C32" s="92">
        <f t="shared" ref="C32:AG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2">
        <f t="shared" si="8"/>
        <v>0</v>
      </c>
      <c r="AF32" s="92">
        <f t="shared" si="8"/>
        <v>0</v>
      </c>
      <c r="AG32" s="92">
        <f t="shared" si="8"/>
        <v>0</v>
      </c>
      <c r="AH32" s="93">
        <f t="shared" si="6"/>
        <v>0</v>
      </c>
      <c r="AI32" s="27"/>
      <c r="AJ32" s="27"/>
      <c r="AK32" s="73"/>
      <c r="AL32" s="28"/>
      <c r="AM32" s="3" t="s">
        <v>5</v>
      </c>
      <c r="AN32" s="75">
        <f t="shared" si="7"/>
        <v>0</v>
      </c>
      <c r="AO32" s="30"/>
    </row>
    <row r="33" spans="2:41" s="25" customFormat="1" ht="18" customHeight="1" x14ac:dyDescent="0.2">
      <c r="B33" s="92" t="s">
        <v>33</v>
      </c>
      <c r="C33" s="92">
        <f>C9/2500</f>
        <v>172</v>
      </c>
      <c r="D33" s="92">
        <f t="shared" ref="D33:AG33" si="9">D9/2500</f>
        <v>372</v>
      </c>
      <c r="E33" s="92">
        <f t="shared" si="9"/>
        <v>0</v>
      </c>
      <c r="F33" s="92">
        <f t="shared" si="9"/>
        <v>10</v>
      </c>
      <c r="G33" s="92">
        <f t="shared" si="9"/>
        <v>37</v>
      </c>
      <c r="H33" s="92">
        <f t="shared" si="9"/>
        <v>13</v>
      </c>
      <c r="I33" s="92">
        <f t="shared" si="9"/>
        <v>13</v>
      </c>
      <c r="J33" s="92">
        <f t="shared" si="9"/>
        <v>230</v>
      </c>
      <c r="K33" s="92">
        <f t="shared" si="9"/>
        <v>333</v>
      </c>
      <c r="L33" s="92">
        <f t="shared" si="9"/>
        <v>0</v>
      </c>
      <c r="M33" s="92">
        <f t="shared" si="9"/>
        <v>24</v>
      </c>
      <c r="N33" s="92">
        <f t="shared" si="9"/>
        <v>11</v>
      </c>
      <c r="O33" s="92">
        <f t="shared" si="9"/>
        <v>9</v>
      </c>
      <c r="P33" s="92">
        <f t="shared" si="9"/>
        <v>8</v>
      </c>
      <c r="Q33" s="92">
        <f t="shared" si="9"/>
        <v>229</v>
      </c>
      <c r="R33" s="92">
        <f t="shared" si="9"/>
        <v>402</v>
      </c>
      <c r="S33" s="92">
        <f t="shared" si="9"/>
        <v>232</v>
      </c>
      <c r="T33" s="92">
        <f t="shared" si="9"/>
        <v>0</v>
      </c>
      <c r="U33" s="92">
        <f t="shared" si="9"/>
        <v>24</v>
      </c>
      <c r="V33" s="92">
        <f t="shared" si="9"/>
        <v>44</v>
      </c>
      <c r="W33" s="92">
        <f t="shared" si="9"/>
        <v>5</v>
      </c>
      <c r="X33" s="92">
        <f t="shared" si="9"/>
        <v>184</v>
      </c>
      <c r="Y33" s="92">
        <f t="shared" si="9"/>
        <v>283</v>
      </c>
      <c r="Z33" s="92">
        <f t="shared" si="9"/>
        <v>0</v>
      </c>
      <c r="AA33" s="92">
        <f t="shared" si="9"/>
        <v>263</v>
      </c>
      <c r="AB33" s="92">
        <f t="shared" si="9"/>
        <v>18</v>
      </c>
      <c r="AC33" s="92">
        <f t="shared" si="9"/>
        <v>12</v>
      </c>
      <c r="AD33" s="92">
        <f t="shared" si="9"/>
        <v>9</v>
      </c>
      <c r="AE33" s="92">
        <f t="shared" si="9"/>
        <v>245</v>
      </c>
      <c r="AF33" s="92">
        <f t="shared" si="9"/>
        <v>281</v>
      </c>
      <c r="AG33" s="92">
        <f t="shared" si="9"/>
        <v>0</v>
      </c>
      <c r="AH33" s="93">
        <f t="shared" si="6"/>
        <v>3463</v>
      </c>
      <c r="AI33" s="27"/>
      <c r="AJ33" s="27"/>
      <c r="AK33" s="73"/>
      <c r="AL33" s="28"/>
      <c r="AM33" s="3"/>
      <c r="AN33" s="75"/>
      <c r="AO33" s="30"/>
    </row>
    <row r="34" spans="2:41" s="25" customFormat="1" ht="18" customHeight="1" x14ac:dyDescent="0.2">
      <c r="B34" s="100" t="s">
        <v>21</v>
      </c>
      <c r="C34" s="100">
        <f t="shared" ref="C34:AG35" si="10">C10/6000</f>
        <v>0</v>
      </c>
      <c r="D34" s="100">
        <f t="shared" si="10"/>
        <v>0</v>
      </c>
      <c r="E34" s="100">
        <f t="shared" si="10"/>
        <v>0</v>
      </c>
      <c r="F34" s="100">
        <f t="shared" si="10"/>
        <v>35</v>
      </c>
      <c r="G34" s="100">
        <f t="shared" si="10"/>
        <v>21</v>
      </c>
      <c r="H34" s="100">
        <f t="shared" si="10"/>
        <v>29</v>
      </c>
      <c r="I34" s="100">
        <f t="shared" si="10"/>
        <v>32</v>
      </c>
      <c r="J34" s="100">
        <f t="shared" si="10"/>
        <v>0</v>
      </c>
      <c r="K34" s="100">
        <f t="shared" si="10"/>
        <v>0</v>
      </c>
      <c r="L34" s="100">
        <f t="shared" si="10"/>
        <v>0</v>
      </c>
      <c r="M34" s="100">
        <f t="shared" si="10"/>
        <v>44</v>
      </c>
      <c r="N34" s="100">
        <f t="shared" si="10"/>
        <v>24</v>
      </c>
      <c r="O34" s="100">
        <f t="shared" si="10"/>
        <v>43</v>
      </c>
      <c r="P34" s="100">
        <f t="shared" si="10"/>
        <v>30</v>
      </c>
      <c r="Q34" s="100">
        <f t="shared" si="10"/>
        <v>0</v>
      </c>
      <c r="R34" s="100">
        <f t="shared" si="10"/>
        <v>0</v>
      </c>
      <c r="S34" s="100">
        <f t="shared" si="10"/>
        <v>0</v>
      </c>
      <c r="T34" s="100">
        <f t="shared" si="10"/>
        <v>0</v>
      </c>
      <c r="U34" s="100">
        <f t="shared" si="10"/>
        <v>49</v>
      </c>
      <c r="V34" s="100">
        <f t="shared" si="10"/>
        <v>55</v>
      </c>
      <c r="W34" s="100">
        <f t="shared" si="10"/>
        <v>33</v>
      </c>
      <c r="X34" s="100">
        <f t="shared" si="10"/>
        <v>0</v>
      </c>
      <c r="Y34" s="100">
        <f t="shared" si="10"/>
        <v>0</v>
      </c>
      <c r="Z34" s="100">
        <f t="shared" si="10"/>
        <v>0</v>
      </c>
      <c r="AA34" s="100">
        <f t="shared" si="10"/>
        <v>0</v>
      </c>
      <c r="AB34" s="100">
        <f t="shared" si="10"/>
        <v>26</v>
      </c>
      <c r="AC34" s="100">
        <f t="shared" si="10"/>
        <v>30</v>
      </c>
      <c r="AD34" s="100">
        <f t="shared" si="10"/>
        <v>14</v>
      </c>
      <c r="AE34" s="100">
        <f t="shared" si="10"/>
        <v>0</v>
      </c>
      <c r="AF34" s="100">
        <f t="shared" si="10"/>
        <v>0</v>
      </c>
      <c r="AG34" s="100">
        <f t="shared" si="10"/>
        <v>0</v>
      </c>
      <c r="AH34" s="93">
        <f t="shared" si="6"/>
        <v>465</v>
      </c>
      <c r="AI34" s="27"/>
      <c r="AJ34" s="27"/>
      <c r="AK34" s="73"/>
      <c r="AL34" s="28"/>
      <c r="AM34" s="3" t="s">
        <v>10</v>
      </c>
      <c r="AN34" s="75">
        <f t="shared" si="7"/>
        <v>465</v>
      </c>
      <c r="AO34" s="30"/>
    </row>
    <row r="35" spans="2:41" s="25" customFormat="1" ht="18" customHeight="1" thickBot="1" x14ac:dyDescent="0.25">
      <c r="B35" s="100" t="s">
        <v>22</v>
      </c>
      <c r="C35" s="100">
        <f t="shared" si="10"/>
        <v>0</v>
      </c>
      <c r="D35" s="100">
        <f t="shared" si="10"/>
        <v>0</v>
      </c>
      <c r="E35" s="100">
        <f t="shared" si="10"/>
        <v>0</v>
      </c>
      <c r="F35" s="100">
        <f t="shared" si="10"/>
        <v>56</v>
      </c>
      <c r="G35" s="100">
        <f t="shared" si="10"/>
        <v>47</v>
      </c>
      <c r="H35" s="100">
        <f t="shared" si="10"/>
        <v>36</v>
      </c>
      <c r="I35" s="100">
        <f t="shared" si="10"/>
        <v>25</v>
      </c>
      <c r="J35" s="100">
        <f t="shared" si="10"/>
        <v>0</v>
      </c>
      <c r="K35" s="100">
        <f t="shared" si="10"/>
        <v>0</v>
      </c>
      <c r="L35" s="100">
        <f t="shared" si="10"/>
        <v>0</v>
      </c>
      <c r="M35" s="100">
        <f t="shared" si="10"/>
        <v>49</v>
      </c>
      <c r="N35" s="100">
        <f t="shared" si="10"/>
        <v>34</v>
      </c>
      <c r="O35" s="100">
        <f t="shared" si="10"/>
        <v>7</v>
      </c>
      <c r="P35" s="100">
        <f t="shared" si="10"/>
        <v>27</v>
      </c>
      <c r="Q35" s="100">
        <f t="shared" si="10"/>
        <v>0</v>
      </c>
      <c r="R35" s="100">
        <f t="shared" si="10"/>
        <v>0</v>
      </c>
      <c r="S35" s="100">
        <f t="shared" si="10"/>
        <v>0</v>
      </c>
      <c r="T35" s="100">
        <f t="shared" si="10"/>
        <v>0</v>
      </c>
      <c r="U35" s="100">
        <f t="shared" si="10"/>
        <v>21</v>
      </c>
      <c r="V35" s="100">
        <f t="shared" si="10"/>
        <v>20</v>
      </c>
      <c r="W35" s="100">
        <f t="shared" si="10"/>
        <v>22</v>
      </c>
      <c r="X35" s="100">
        <f t="shared" si="10"/>
        <v>0</v>
      </c>
      <c r="Y35" s="100">
        <f t="shared" si="10"/>
        <v>0</v>
      </c>
      <c r="Z35" s="100">
        <f t="shared" si="10"/>
        <v>0</v>
      </c>
      <c r="AA35" s="100">
        <f t="shared" si="10"/>
        <v>0</v>
      </c>
      <c r="AB35" s="100">
        <f t="shared" si="10"/>
        <v>42</v>
      </c>
      <c r="AC35" s="100">
        <f t="shared" si="10"/>
        <v>23</v>
      </c>
      <c r="AD35" s="100">
        <f t="shared" si="10"/>
        <v>22</v>
      </c>
      <c r="AE35" s="100">
        <f t="shared" si="10"/>
        <v>0</v>
      </c>
      <c r="AF35" s="100">
        <f t="shared" si="10"/>
        <v>0</v>
      </c>
      <c r="AG35" s="100">
        <f t="shared" si="10"/>
        <v>0</v>
      </c>
      <c r="AH35" s="93">
        <f t="shared" si="6"/>
        <v>431</v>
      </c>
      <c r="AI35" s="27"/>
      <c r="AJ35" s="27"/>
      <c r="AK35" s="73"/>
      <c r="AL35" s="28"/>
      <c r="AM35" s="77" t="s">
        <v>15</v>
      </c>
      <c r="AN35" s="75">
        <f t="shared" si="7"/>
        <v>431</v>
      </c>
      <c r="AO35" s="30"/>
    </row>
    <row r="36" spans="2:41" s="29" customFormat="1" ht="18" customHeight="1" x14ac:dyDescent="0.2">
      <c r="B36" s="100" t="s">
        <v>24</v>
      </c>
      <c r="C36" s="100">
        <f t="shared" ref="C36:AG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100">
        <f t="shared" si="11"/>
        <v>0</v>
      </c>
      <c r="AF36" s="100">
        <f t="shared" si="11"/>
        <v>0</v>
      </c>
      <c r="AG36" s="100">
        <f t="shared" si="11"/>
        <v>0</v>
      </c>
      <c r="AH36" s="93">
        <f t="shared" si="6"/>
        <v>0</v>
      </c>
      <c r="AI36" s="27"/>
      <c r="AJ36" s="27"/>
      <c r="AK36" s="73"/>
      <c r="AL36" s="28"/>
      <c r="AM36" s="78" t="s">
        <v>34</v>
      </c>
      <c r="AN36" s="75">
        <f t="shared" si="7"/>
        <v>0</v>
      </c>
    </row>
    <row r="37" spans="2:41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100">
        <f t="shared" si="11"/>
        <v>0</v>
      </c>
      <c r="AF37" s="100">
        <f t="shared" si="11"/>
        <v>0</v>
      </c>
      <c r="AG37" s="100">
        <f t="shared" si="11"/>
        <v>0</v>
      </c>
      <c r="AH37" s="93">
        <f t="shared" si="6"/>
        <v>0</v>
      </c>
      <c r="AI37" s="27"/>
      <c r="AJ37" s="27"/>
      <c r="AK37" s="73"/>
      <c r="AL37" s="28"/>
      <c r="AM37" s="79" t="s">
        <v>35</v>
      </c>
      <c r="AN37" s="75">
        <f t="shared" si="7"/>
        <v>0</v>
      </c>
    </row>
    <row r="38" spans="2:41" s="29" customFormat="1" ht="18" customHeight="1" x14ac:dyDescent="0.2">
      <c r="B38" s="104" t="s">
        <v>28</v>
      </c>
      <c r="C38" s="104">
        <f t="shared" ref="C38:AG39" si="12">C14/7500</f>
        <v>769</v>
      </c>
      <c r="D38" s="104">
        <f t="shared" si="12"/>
        <v>1385</v>
      </c>
      <c r="E38" s="104">
        <f t="shared" si="12"/>
        <v>0</v>
      </c>
      <c r="F38" s="104">
        <f t="shared" si="12"/>
        <v>0</v>
      </c>
      <c r="G38" s="104">
        <f t="shared" si="12"/>
        <v>0</v>
      </c>
      <c r="H38" s="104">
        <f t="shared" si="12"/>
        <v>0</v>
      </c>
      <c r="I38" s="104">
        <f t="shared" si="12"/>
        <v>0</v>
      </c>
      <c r="J38" s="104">
        <f t="shared" si="12"/>
        <v>849</v>
      </c>
      <c r="K38" s="104">
        <f t="shared" si="12"/>
        <v>1468</v>
      </c>
      <c r="L38" s="104">
        <f t="shared" si="12"/>
        <v>0</v>
      </c>
      <c r="M38" s="104">
        <f t="shared" si="12"/>
        <v>0</v>
      </c>
      <c r="N38" s="104">
        <f t="shared" si="12"/>
        <v>0</v>
      </c>
      <c r="O38" s="104">
        <f t="shared" si="12"/>
        <v>0</v>
      </c>
      <c r="P38" s="104">
        <f t="shared" si="12"/>
        <v>0</v>
      </c>
      <c r="Q38" s="104">
        <f t="shared" si="12"/>
        <v>734</v>
      </c>
      <c r="R38" s="104">
        <f t="shared" si="12"/>
        <v>1390</v>
      </c>
      <c r="S38" s="104">
        <f t="shared" si="12"/>
        <v>775</v>
      </c>
      <c r="T38" s="104">
        <f t="shared" si="12"/>
        <v>0</v>
      </c>
      <c r="U38" s="104">
        <f t="shared" si="12"/>
        <v>0</v>
      </c>
      <c r="V38" s="104">
        <f t="shared" si="12"/>
        <v>0</v>
      </c>
      <c r="W38" s="104">
        <f t="shared" si="12"/>
        <v>0</v>
      </c>
      <c r="X38" s="104">
        <f t="shared" si="12"/>
        <v>783</v>
      </c>
      <c r="Y38" s="104">
        <f t="shared" si="12"/>
        <v>1145</v>
      </c>
      <c r="Z38" s="104">
        <f t="shared" si="12"/>
        <v>0</v>
      </c>
      <c r="AA38" s="104">
        <f t="shared" si="12"/>
        <v>1667</v>
      </c>
      <c r="AB38" s="104">
        <f t="shared" si="12"/>
        <v>0</v>
      </c>
      <c r="AC38" s="104">
        <f t="shared" si="12"/>
        <v>0</v>
      </c>
      <c r="AD38" s="104">
        <f t="shared" si="12"/>
        <v>0</v>
      </c>
      <c r="AE38" s="104">
        <f t="shared" si="12"/>
        <v>772</v>
      </c>
      <c r="AF38" s="104">
        <f t="shared" si="12"/>
        <v>1275</v>
      </c>
      <c r="AG38" s="104">
        <f t="shared" si="12"/>
        <v>0</v>
      </c>
      <c r="AH38" s="93">
        <f t="shared" si="6"/>
        <v>13012</v>
      </c>
      <c r="AI38" s="27"/>
      <c r="AJ38" s="27"/>
      <c r="AK38" s="73"/>
      <c r="AL38" s="28"/>
      <c r="AM38" s="79" t="s">
        <v>36</v>
      </c>
      <c r="AN38" s="75">
        <f t="shared" si="7"/>
        <v>13012</v>
      </c>
    </row>
    <row r="39" spans="2:41" s="29" customFormat="1" ht="18" customHeight="1" x14ac:dyDescent="0.2">
      <c r="B39" s="104" t="s">
        <v>30</v>
      </c>
      <c r="C39" s="104">
        <f t="shared" si="12"/>
        <v>549</v>
      </c>
      <c r="D39" s="104">
        <f t="shared" si="12"/>
        <v>977</v>
      </c>
      <c r="E39" s="104">
        <f t="shared" si="12"/>
        <v>0</v>
      </c>
      <c r="F39" s="104">
        <f t="shared" si="12"/>
        <v>0</v>
      </c>
      <c r="G39" s="104">
        <f t="shared" si="12"/>
        <v>0</v>
      </c>
      <c r="H39" s="104">
        <f t="shared" si="12"/>
        <v>0</v>
      </c>
      <c r="I39" s="104">
        <f t="shared" si="12"/>
        <v>0</v>
      </c>
      <c r="J39" s="104">
        <f t="shared" si="12"/>
        <v>477</v>
      </c>
      <c r="K39" s="104">
        <f t="shared" si="12"/>
        <v>964</v>
      </c>
      <c r="L39" s="104">
        <f t="shared" si="12"/>
        <v>0</v>
      </c>
      <c r="M39" s="104">
        <f t="shared" si="12"/>
        <v>0</v>
      </c>
      <c r="N39" s="104">
        <f t="shared" si="12"/>
        <v>0</v>
      </c>
      <c r="O39" s="104">
        <f t="shared" si="12"/>
        <v>0</v>
      </c>
      <c r="P39" s="104">
        <f t="shared" si="12"/>
        <v>0</v>
      </c>
      <c r="Q39" s="104">
        <f t="shared" si="12"/>
        <v>481</v>
      </c>
      <c r="R39" s="104">
        <f t="shared" si="12"/>
        <v>961</v>
      </c>
      <c r="S39" s="104">
        <f t="shared" si="12"/>
        <v>504</v>
      </c>
      <c r="T39" s="104">
        <f t="shared" si="12"/>
        <v>0</v>
      </c>
      <c r="U39" s="104">
        <f t="shared" si="12"/>
        <v>0</v>
      </c>
      <c r="V39" s="104">
        <f t="shared" si="12"/>
        <v>0</v>
      </c>
      <c r="W39" s="104">
        <f t="shared" si="12"/>
        <v>0</v>
      </c>
      <c r="X39" s="104">
        <f t="shared" si="12"/>
        <v>506</v>
      </c>
      <c r="Y39" s="104">
        <f t="shared" si="12"/>
        <v>753</v>
      </c>
      <c r="Z39" s="104">
        <f t="shared" si="12"/>
        <v>0</v>
      </c>
      <c r="AA39" s="104">
        <f t="shared" si="12"/>
        <v>1040</v>
      </c>
      <c r="AB39" s="104">
        <f t="shared" si="12"/>
        <v>0</v>
      </c>
      <c r="AC39" s="104">
        <f t="shared" si="12"/>
        <v>0</v>
      </c>
      <c r="AD39" s="104">
        <f t="shared" si="12"/>
        <v>0</v>
      </c>
      <c r="AE39" s="104">
        <f t="shared" si="12"/>
        <v>535</v>
      </c>
      <c r="AF39" s="104">
        <f t="shared" si="12"/>
        <v>868</v>
      </c>
      <c r="AG39" s="104">
        <f t="shared" si="12"/>
        <v>0</v>
      </c>
      <c r="AH39" s="93">
        <f t="shared" si="6"/>
        <v>8615</v>
      </c>
      <c r="AI39" s="27"/>
      <c r="AJ39" s="27"/>
      <c r="AK39" s="73"/>
      <c r="AL39" s="28"/>
      <c r="AM39" s="79" t="s">
        <v>37</v>
      </c>
      <c r="AN39" s="75">
        <f t="shared" si="7"/>
        <v>8615</v>
      </c>
    </row>
    <row r="40" spans="2:41" s="29" customFormat="1" ht="18" customHeight="1" thickBot="1" x14ac:dyDescent="0.25">
      <c r="B40" s="104" t="s">
        <v>31</v>
      </c>
      <c r="C40" s="104">
        <f t="shared" ref="C40:AG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>
        <f t="shared" si="13"/>
        <v>0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>
        <f t="shared" si="13"/>
        <v>0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104">
        <f t="shared" si="13"/>
        <v>0</v>
      </c>
      <c r="AF40" s="104">
        <f t="shared" si="13"/>
        <v>0</v>
      </c>
      <c r="AG40" s="104">
        <f t="shared" si="13"/>
        <v>0</v>
      </c>
      <c r="AH40" s="93">
        <f t="shared" si="6"/>
        <v>0</v>
      </c>
      <c r="AI40" s="27"/>
      <c r="AJ40" s="27"/>
      <c r="AK40" s="73"/>
      <c r="AL40" s="28"/>
      <c r="AM40" s="77" t="s">
        <v>15</v>
      </c>
      <c r="AN40" s="75">
        <f t="shared" si="7"/>
        <v>0</v>
      </c>
    </row>
    <row r="41" spans="2:41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104">
        <f t="shared" si="13"/>
        <v>0</v>
      </c>
      <c r="AF41" s="104">
        <f t="shared" si="13"/>
        <v>0</v>
      </c>
      <c r="AG41" s="104">
        <f t="shared" si="13"/>
        <v>0</v>
      </c>
      <c r="AH41" s="93">
        <f t="shared" si="6"/>
        <v>0</v>
      </c>
      <c r="AI41" s="6"/>
      <c r="AJ41" s="6"/>
      <c r="AK41" s="14"/>
      <c r="AL41" s="28"/>
      <c r="AM41" s="70"/>
      <c r="AN41" s="80"/>
      <c r="AO41" s="30"/>
    </row>
    <row r="42" spans="2:41" s="25" customFormat="1" ht="18" customHeight="1" x14ac:dyDescent="0.2">
      <c r="B42" s="92" t="s">
        <v>6</v>
      </c>
      <c r="C42" s="92">
        <f t="shared" ref="C42:AG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2">
        <f t="shared" si="14"/>
        <v>0</v>
      </c>
      <c r="AF42" s="92">
        <f t="shared" si="14"/>
        <v>0</v>
      </c>
      <c r="AG42" s="92">
        <f t="shared" si="14"/>
        <v>0</v>
      </c>
      <c r="AH42" s="93">
        <f t="shared" si="6"/>
        <v>0</v>
      </c>
      <c r="AI42" s="6"/>
      <c r="AJ42" s="6"/>
      <c r="AK42" s="14"/>
      <c r="AL42" s="28"/>
      <c r="AM42" s="70"/>
      <c r="AN42" s="29"/>
      <c r="AO42" s="30"/>
    </row>
    <row r="43" spans="2:41" s="17" customFormat="1" ht="18" customHeight="1" x14ac:dyDescent="0.2">
      <c r="B43" s="92" t="s">
        <v>7</v>
      </c>
      <c r="C43" s="92">
        <f t="shared" ref="C43:AG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2">
        <f t="shared" si="15"/>
        <v>0</v>
      </c>
      <c r="AF43" s="92">
        <f t="shared" si="15"/>
        <v>0</v>
      </c>
      <c r="AG43" s="92">
        <f t="shared" si="15"/>
        <v>0</v>
      </c>
      <c r="AH43" s="93">
        <f t="shared" si="6"/>
        <v>0</v>
      </c>
      <c r="AI43" s="2"/>
      <c r="AJ43" s="2"/>
      <c r="AK43" s="14"/>
      <c r="AL43" s="15"/>
      <c r="AM43" s="16"/>
    </row>
    <row r="44" spans="2:41" s="17" customFormat="1" ht="18" customHeight="1" x14ac:dyDescent="0.2">
      <c r="B44" s="92" t="s">
        <v>8</v>
      </c>
      <c r="C44" s="92">
        <f t="shared" ref="C44:AG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2">
        <f t="shared" si="16"/>
        <v>0</v>
      </c>
      <c r="AF44" s="92">
        <f t="shared" si="16"/>
        <v>0</v>
      </c>
      <c r="AG44" s="92">
        <f t="shared" si="16"/>
        <v>0</v>
      </c>
      <c r="AH44" s="93">
        <f t="shared" si="6"/>
        <v>0</v>
      </c>
      <c r="AI44" s="2"/>
      <c r="AJ44" s="2"/>
      <c r="AK44" s="14"/>
      <c r="AL44" s="15"/>
      <c r="AM44" s="16"/>
    </row>
    <row r="45" spans="2:41" s="17" customFormat="1" ht="18" customHeight="1" x14ac:dyDescent="0.2">
      <c r="B45" s="92" t="s">
        <v>9</v>
      </c>
      <c r="C45" s="92">
        <f t="shared" ref="C45:AG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2">
        <f t="shared" si="17"/>
        <v>0</v>
      </c>
      <c r="AF45" s="92">
        <f t="shared" si="17"/>
        <v>0</v>
      </c>
      <c r="AG45" s="92">
        <f t="shared" si="17"/>
        <v>0</v>
      </c>
      <c r="AH45" s="93">
        <f t="shared" si="6"/>
        <v>0</v>
      </c>
      <c r="AI45" s="2"/>
      <c r="AJ45" s="2"/>
      <c r="AK45" s="14"/>
      <c r="AL45" s="15"/>
      <c r="AM45" s="16"/>
    </row>
    <row r="46" spans="2:41" s="17" customFormat="1" ht="18" customHeight="1" x14ac:dyDescent="0.2">
      <c r="B46" s="92" t="s">
        <v>10</v>
      </c>
      <c r="C46" s="92">
        <f t="shared" ref="C46:AG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2">
        <f t="shared" si="18"/>
        <v>0</v>
      </c>
      <c r="AF46" s="92">
        <f t="shared" si="18"/>
        <v>0</v>
      </c>
      <c r="AG46" s="92">
        <f t="shared" si="18"/>
        <v>0</v>
      </c>
      <c r="AH46" s="93">
        <f t="shared" si="6"/>
        <v>0</v>
      </c>
      <c r="AI46" s="2"/>
      <c r="AJ46" s="2"/>
      <c r="AK46" s="14"/>
      <c r="AL46" s="15"/>
      <c r="AM46" s="16"/>
    </row>
    <row r="47" spans="2:41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2"/>
      <c r="AI47" s="2"/>
      <c r="AJ47" s="2"/>
      <c r="AK47" s="14"/>
      <c r="AL47" s="15"/>
      <c r="AM47" s="16"/>
    </row>
    <row r="48" spans="2:41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2"/>
      <c r="AI48" s="2"/>
      <c r="AJ48" s="2"/>
      <c r="AK48" s="14"/>
      <c r="AL48" s="15"/>
      <c r="AM48" s="16"/>
    </row>
    <row r="49" spans="2:40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2"/>
      <c r="AI49" s="2"/>
      <c r="AJ49" s="2"/>
      <c r="AK49" s="14"/>
      <c r="AL49" s="15"/>
      <c r="AM49" s="16"/>
    </row>
    <row r="50" spans="2:40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2"/>
      <c r="AI50" s="2"/>
      <c r="AJ50" s="2"/>
      <c r="AK50" s="14"/>
      <c r="AL50" s="15"/>
      <c r="AM50" s="81"/>
      <c r="AN50" s="17"/>
    </row>
    <row r="51" spans="2:40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"/>
      <c r="AI51" s="2"/>
      <c r="AJ51" s="2"/>
      <c r="AK51" s="14"/>
      <c r="AL51" s="15"/>
      <c r="AM51" s="81"/>
      <c r="AN51" s="17"/>
    </row>
    <row r="52" spans="2:40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2"/>
      <c r="AI52" s="2"/>
      <c r="AJ52" s="2"/>
      <c r="AK52" s="14"/>
      <c r="AL52" s="15"/>
      <c r="AM52" s="81"/>
      <c r="AN52" s="17"/>
    </row>
    <row r="53" spans="2:40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2"/>
      <c r="AJ53" s="2"/>
      <c r="AK53" s="14"/>
      <c r="AL53" s="15"/>
      <c r="AM53" s="81"/>
      <c r="AN53" s="17"/>
    </row>
    <row r="54" spans="2:40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2"/>
      <c r="AI54" s="2"/>
      <c r="AJ54" s="2"/>
      <c r="AK54" s="14"/>
      <c r="AL54" s="15"/>
      <c r="AM54" s="81"/>
      <c r="AN54" s="17"/>
    </row>
    <row r="55" spans="2:40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2"/>
      <c r="AI55" s="2"/>
      <c r="AJ55" s="2"/>
      <c r="AK55" s="14"/>
      <c r="AL55" s="15"/>
      <c r="AM55" s="81"/>
      <c r="AN55" s="17"/>
    </row>
    <row r="56" spans="2:40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2"/>
      <c r="AI56" s="2"/>
      <c r="AJ56" s="2"/>
      <c r="AK56" s="14"/>
      <c r="AL56" s="15"/>
      <c r="AM56" s="81"/>
      <c r="AN56" s="17"/>
    </row>
    <row r="57" spans="2:40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"/>
      <c r="AI57" s="2"/>
      <c r="AJ57" s="2"/>
      <c r="AK57" s="14"/>
      <c r="AL57" s="15"/>
      <c r="AM57" s="81"/>
      <c r="AN57" s="17"/>
    </row>
    <row r="58" spans="2:40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2"/>
      <c r="AI58" s="2"/>
      <c r="AJ58" s="2"/>
      <c r="AK58" s="14"/>
      <c r="AL58" s="15"/>
      <c r="AM58" s="81"/>
      <c r="AN58" s="17"/>
    </row>
    <row r="59" spans="2:40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2"/>
      <c r="AI59" s="2"/>
      <c r="AJ59" s="2"/>
      <c r="AK59" s="14"/>
      <c r="AL59" s="15"/>
      <c r="AM59" s="81"/>
      <c r="AN59" s="17"/>
    </row>
    <row r="60" spans="2:40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2"/>
      <c r="AI60" s="2"/>
      <c r="AJ60" s="2"/>
      <c r="AK60" s="14"/>
      <c r="AL60" s="15"/>
      <c r="AM60" s="81"/>
      <c r="AN60" s="17"/>
    </row>
    <row r="61" spans="2:40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2"/>
      <c r="AI61" s="2"/>
      <c r="AJ61" s="2"/>
      <c r="AK61" s="14"/>
      <c r="AL61" s="15"/>
      <c r="AM61" s="81"/>
      <c r="AN61" s="17"/>
    </row>
    <row r="62" spans="2:40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2"/>
      <c r="AI62" s="2"/>
      <c r="AJ62" s="2"/>
      <c r="AK62" s="14"/>
      <c r="AL62" s="15"/>
      <c r="AM62" s="81"/>
      <c r="AN62" s="17"/>
    </row>
    <row r="63" spans="2:40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2"/>
      <c r="AI63" s="2"/>
      <c r="AJ63" s="2"/>
      <c r="AK63" s="14"/>
      <c r="AL63" s="15"/>
      <c r="AM63" s="81"/>
      <c r="AN63" s="17"/>
    </row>
    <row r="64" spans="2:40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2"/>
      <c r="AI64" s="2"/>
      <c r="AJ64" s="2"/>
      <c r="AK64" s="14"/>
      <c r="AL64" s="15"/>
      <c r="AM64" s="81"/>
      <c r="AN64" s="17"/>
    </row>
    <row r="65" spans="2:40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2"/>
      <c r="AI65" s="2"/>
      <c r="AJ65" s="2"/>
      <c r="AK65" s="14"/>
      <c r="AL65" s="15"/>
      <c r="AM65" s="81"/>
      <c r="AN65" s="17"/>
    </row>
    <row r="66" spans="2:40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2"/>
      <c r="AI66" s="2"/>
      <c r="AJ66" s="2"/>
      <c r="AK66" s="14"/>
      <c r="AL66" s="15"/>
      <c r="AM66" s="81"/>
      <c r="AN66" s="17"/>
    </row>
    <row r="67" spans="2:40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2"/>
      <c r="AI67" s="2"/>
      <c r="AJ67" s="2"/>
      <c r="AK67" s="14"/>
      <c r="AL67" s="15"/>
      <c r="AM67" s="81"/>
      <c r="AN67" s="17"/>
    </row>
    <row r="68" spans="2:40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2"/>
      <c r="AI68" s="2"/>
      <c r="AJ68" s="2"/>
      <c r="AK68" s="14"/>
      <c r="AL68" s="15"/>
      <c r="AM68" s="81"/>
      <c r="AN68" s="17"/>
    </row>
    <row r="69" spans="2:40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2"/>
      <c r="AI69" s="2"/>
      <c r="AJ69" s="2"/>
      <c r="AK69" s="14"/>
      <c r="AL69" s="15"/>
      <c r="AM69" s="81"/>
      <c r="AN69" s="17"/>
    </row>
    <row r="70" spans="2:40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2"/>
      <c r="AI70" s="2"/>
      <c r="AJ70" s="2"/>
      <c r="AK70" s="14"/>
      <c r="AL70" s="15"/>
      <c r="AM70" s="81"/>
      <c r="AN70" s="17"/>
    </row>
    <row r="71" spans="2:40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2"/>
      <c r="AI71" s="2"/>
      <c r="AJ71" s="2"/>
      <c r="AK71" s="14"/>
      <c r="AL71" s="15"/>
      <c r="AM71" s="81"/>
      <c r="AN71" s="17"/>
    </row>
    <row r="72" spans="2:40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2"/>
      <c r="AI72" s="2"/>
      <c r="AJ72" s="2"/>
      <c r="AK72" s="14"/>
      <c r="AL72" s="15"/>
      <c r="AM72" s="81"/>
      <c r="AN72" s="17"/>
    </row>
    <row r="73" spans="2:40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2"/>
      <c r="AI73" s="2"/>
      <c r="AJ73" s="2"/>
      <c r="AK73" s="14"/>
      <c r="AL73" s="15"/>
      <c r="AM73" s="81"/>
      <c r="AN73" s="17"/>
    </row>
    <row r="74" spans="2:40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2"/>
      <c r="AI74" s="2"/>
      <c r="AJ74" s="2"/>
      <c r="AK74" s="14"/>
      <c r="AL74" s="15"/>
      <c r="AM74" s="81"/>
      <c r="AN74" s="17"/>
    </row>
    <row r="75" spans="2:40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2"/>
      <c r="AI75" s="2"/>
      <c r="AJ75" s="2"/>
      <c r="AK75" s="14"/>
      <c r="AL75" s="15"/>
      <c r="AM75" s="81"/>
      <c r="AN75" s="17"/>
    </row>
    <row r="76" spans="2:40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2"/>
      <c r="AI76" s="2"/>
      <c r="AJ76" s="2"/>
      <c r="AK76" s="14"/>
      <c r="AL76" s="15"/>
      <c r="AM76" s="81"/>
      <c r="AN76" s="17"/>
    </row>
    <row r="77" spans="2:40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2"/>
      <c r="AI77" s="2"/>
      <c r="AJ77" s="2"/>
      <c r="AK77" s="14"/>
      <c r="AL77" s="15"/>
      <c r="AM77" s="81"/>
      <c r="AN77" s="17"/>
    </row>
    <row r="78" spans="2:40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2"/>
      <c r="AI78" s="2"/>
      <c r="AJ78" s="2"/>
      <c r="AK78" s="14"/>
      <c r="AL78" s="15"/>
      <c r="AM78" s="81"/>
      <c r="AN78" s="17"/>
    </row>
    <row r="79" spans="2:40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2"/>
      <c r="AI79" s="2"/>
      <c r="AJ79" s="2"/>
      <c r="AK79" s="14"/>
      <c r="AL79" s="15"/>
      <c r="AM79" s="81"/>
      <c r="AN79" s="17"/>
    </row>
    <row r="80" spans="2:40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2"/>
      <c r="AI80" s="2"/>
      <c r="AJ80" s="2"/>
      <c r="AK80" s="14"/>
      <c r="AL80" s="15"/>
      <c r="AM80" s="81"/>
      <c r="AN80" s="17"/>
    </row>
    <row r="81" spans="2:41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2"/>
      <c r="AI81" s="2"/>
      <c r="AJ81" s="2"/>
      <c r="AK81" s="14"/>
      <c r="AL81" s="15"/>
      <c r="AM81" s="81"/>
      <c r="AN81" s="17"/>
    </row>
    <row r="82" spans="2:41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2"/>
      <c r="AI82" s="2"/>
      <c r="AJ82" s="2"/>
      <c r="AK82" s="14"/>
      <c r="AL82" s="15"/>
      <c r="AM82" s="81"/>
      <c r="AN82" s="17"/>
    </row>
    <row r="83" spans="2:41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2"/>
      <c r="AI83" s="2"/>
      <c r="AJ83" s="2"/>
      <c r="AK83" s="14"/>
      <c r="AL83" s="15"/>
      <c r="AM83" s="81"/>
      <c r="AN83" s="17"/>
    </row>
    <row r="84" spans="2:41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2"/>
      <c r="AI84" s="2"/>
      <c r="AJ84" s="2"/>
      <c r="AK84" s="14"/>
      <c r="AL84" s="15"/>
      <c r="AM84" s="81"/>
      <c r="AN84" s="17"/>
    </row>
    <row r="85" spans="2:41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2"/>
      <c r="AI85" s="2"/>
      <c r="AJ85" s="2"/>
      <c r="AK85" s="14"/>
      <c r="AL85" s="15"/>
      <c r="AM85" s="81"/>
      <c r="AN85" s="17"/>
    </row>
    <row r="86" spans="2:41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2"/>
      <c r="AI86" s="2"/>
      <c r="AJ86" s="2"/>
      <c r="AK86" s="14"/>
      <c r="AL86" s="15"/>
      <c r="AM86" s="81"/>
      <c r="AN86" s="17"/>
    </row>
    <row r="87" spans="2:41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2"/>
      <c r="AI87" s="2"/>
      <c r="AJ87" s="2"/>
      <c r="AK87" s="14"/>
      <c r="AL87" s="15"/>
      <c r="AM87" s="81"/>
      <c r="AN87" s="17"/>
    </row>
    <row r="88" spans="2:41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2"/>
      <c r="AI88" s="2"/>
      <c r="AJ88" s="2"/>
      <c r="AK88" s="14"/>
      <c r="AL88" s="15"/>
      <c r="AM88" s="81"/>
      <c r="AN88" s="17"/>
    </row>
    <row r="89" spans="2:41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2"/>
      <c r="AI89" s="2"/>
      <c r="AJ89" s="2"/>
      <c r="AK89" s="14"/>
      <c r="AL89" s="15"/>
      <c r="AM89" s="81"/>
      <c r="AN89" s="17"/>
    </row>
    <row r="90" spans="2:41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2"/>
      <c r="AI90" s="2"/>
      <c r="AJ90" s="2"/>
      <c r="AK90" s="14"/>
      <c r="AL90" s="15"/>
      <c r="AM90" s="81"/>
      <c r="AN90" s="17"/>
    </row>
    <row r="91" spans="2:41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2"/>
      <c r="AI91" s="2"/>
      <c r="AJ91" s="2"/>
      <c r="AK91" s="14"/>
      <c r="AL91" s="15"/>
      <c r="AM91" s="81"/>
      <c r="AN91" s="17"/>
    </row>
    <row r="92" spans="2:41" x14ac:dyDescent="0.2">
      <c r="AO92" s="19"/>
    </row>
  </sheetData>
  <mergeCells count="5">
    <mergeCell ref="A1:AH1"/>
    <mergeCell ref="A3:A4"/>
    <mergeCell ref="B3:B4"/>
    <mergeCell ref="C3:AG3"/>
    <mergeCell ref="AH3:AH4"/>
  </mergeCells>
  <pageMargins left="0.75" right="0.75" top="1" bottom="1" header="0.5" footer="0.5"/>
  <pageSetup paperSize="122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77CD-9DE4-401F-B677-196C3D7B9FEE}">
  <dimension ref="A1:AN92"/>
  <sheetViews>
    <sheetView zoomScale="93" zoomScaleNormal="93" workbookViewId="0">
      <pane xSplit="2" topLeftCell="X1" activePane="topRight" state="frozen"/>
      <selection pane="topRight" activeCell="AG9" sqref="AG9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2" width="15.77734375" style="1" customWidth="1"/>
    <col min="33" max="33" width="15.77734375" style="2" customWidth="1"/>
    <col min="34" max="34" width="10.5546875" style="2" customWidth="1"/>
    <col min="35" max="35" width="14.21875" style="2" customWidth="1"/>
    <col min="36" max="36" width="12.88671875" style="14" customWidth="1"/>
    <col min="37" max="37" width="13.109375" style="15" bestFit="1" customWidth="1"/>
    <col min="38" max="38" width="27.21875" style="16" customWidth="1"/>
    <col min="39" max="39" width="14.44140625" style="17" bestFit="1" customWidth="1"/>
    <col min="40" max="40" width="11.77734375" style="18" bestFit="1" customWidth="1"/>
    <col min="41" max="43" width="8.88671875" style="19"/>
    <col min="44" max="44" width="13.44140625" style="19" bestFit="1" customWidth="1"/>
    <col min="45" max="255" width="8.88671875" style="19"/>
    <col min="256" max="256" width="5.109375" style="19" customWidth="1"/>
    <col min="257" max="257" width="49.33203125" style="19" customWidth="1"/>
    <col min="258" max="289" width="15.77734375" style="19" customWidth="1"/>
    <col min="290" max="291" width="10.5546875" style="19" customWidth="1"/>
    <col min="292" max="292" width="11" style="19" customWidth="1"/>
    <col min="293" max="293" width="13.109375" style="19" bestFit="1" customWidth="1"/>
    <col min="294" max="294" width="27.21875" style="19" customWidth="1"/>
    <col min="295" max="295" width="14.44140625" style="19" bestFit="1" customWidth="1"/>
    <col min="296" max="296" width="11.77734375" style="19" bestFit="1" customWidth="1"/>
    <col min="297" max="299" width="8.88671875" style="19"/>
    <col min="300" max="300" width="13.44140625" style="19" bestFit="1" customWidth="1"/>
    <col min="301" max="511" width="8.88671875" style="19"/>
    <col min="512" max="512" width="5.109375" style="19" customWidth="1"/>
    <col min="513" max="513" width="49.33203125" style="19" customWidth="1"/>
    <col min="514" max="545" width="15.77734375" style="19" customWidth="1"/>
    <col min="546" max="547" width="10.5546875" style="19" customWidth="1"/>
    <col min="548" max="548" width="11" style="19" customWidth="1"/>
    <col min="549" max="549" width="13.109375" style="19" bestFit="1" customWidth="1"/>
    <col min="550" max="550" width="27.21875" style="19" customWidth="1"/>
    <col min="551" max="551" width="14.44140625" style="19" bestFit="1" customWidth="1"/>
    <col min="552" max="552" width="11.77734375" style="19" bestFit="1" customWidth="1"/>
    <col min="553" max="555" width="8.88671875" style="19"/>
    <col min="556" max="556" width="13.44140625" style="19" bestFit="1" customWidth="1"/>
    <col min="557" max="767" width="8.88671875" style="19"/>
    <col min="768" max="768" width="5.109375" style="19" customWidth="1"/>
    <col min="769" max="769" width="49.33203125" style="19" customWidth="1"/>
    <col min="770" max="801" width="15.77734375" style="19" customWidth="1"/>
    <col min="802" max="803" width="10.5546875" style="19" customWidth="1"/>
    <col min="804" max="804" width="11" style="19" customWidth="1"/>
    <col min="805" max="805" width="13.109375" style="19" bestFit="1" customWidth="1"/>
    <col min="806" max="806" width="27.21875" style="19" customWidth="1"/>
    <col min="807" max="807" width="14.44140625" style="19" bestFit="1" customWidth="1"/>
    <col min="808" max="808" width="11.77734375" style="19" bestFit="1" customWidth="1"/>
    <col min="809" max="811" width="8.88671875" style="19"/>
    <col min="812" max="812" width="13.44140625" style="19" bestFit="1" customWidth="1"/>
    <col min="813" max="1023" width="8.88671875" style="19"/>
    <col min="1024" max="1024" width="5.109375" style="19" customWidth="1"/>
    <col min="1025" max="1025" width="49.33203125" style="19" customWidth="1"/>
    <col min="1026" max="1057" width="15.77734375" style="19" customWidth="1"/>
    <col min="1058" max="1059" width="10.5546875" style="19" customWidth="1"/>
    <col min="1060" max="1060" width="11" style="19" customWidth="1"/>
    <col min="1061" max="1061" width="13.109375" style="19" bestFit="1" customWidth="1"/>
    <col min="1062" max="1062" width="27.21875" style="19" customWidth="1"/>
    <col min="1063" max="1063" width="14.44140625" style="19" bestFit="1" customWidth="1"/>
    <col min="1064" max="1064" width="11.77734375" style="19" bestFit="1" customWidth="1"/>
    <col min="1065" max="1067" width="8.88671875" style="19"/>
    <col min="1068" max="1068" width="13.44140625" style="19" bestFit="1" customWidth="1"/>
    <col min="1069" max="1279" width="8.88671875" style="19"/>
    <col min="1280" max="1280" width="5.109375" style="19" customWidth="1"/>
    <col min="1281" max="1281" width="49.33203125" style="19" customWidth="1"/>
    <col min="1282" max="1313" width="15.77734375" style="19" customWidth="1"/>
    <col min="1314" max="1315" width="10.5546875" style="19" customWidth="1"/>
    <col min="1316" max="1316" width="11" style="19" customWidth="1"/>
    <col min="1317" max="1317" width="13.109375" style="19" bestFit="1" customWidth="1"/>
    <col min="1318" max="1318" width="27.21875" style="19" customWidth="1"/>
    <col min="1319" max="1319" width="14.44140625" style="19" bestFit="1" customWidth="1"/>
    <col min="1320" max="1320" width="11.77734375" style="19" bestFit="1" customWidth="1"/>
    <col min="1321" max="1323" width="8.88671875" style="19"/>
    <col min="1324" max="1324" width="13.44140625" style="19" bestFit="1" customWidth="1"/>
    <col min="1325" max="1535" width="8.88671875" style="19"/>
    <col min="1536" max="1536" width="5.109375" style="19" customWidth="1"/>
    <col min="1537" max="1537" width="49.33203125" style="19" customWidth="1"/>
    <col min="1538" max="1569" width="15.77734375" style="19" customWidth="1"/>
    <col min="1570" max="1571" width="10.5546875" style="19" customWidth="1"/>
    <col min="1572" max="1572" width="11" style="19" customWidth="1"/>
    <col min="1573" max="1573" width="13.109375" style="19" bestFit="1" customWidth="1"/>
    <col min="1574" max="1574" width="27.21875" style="19" customWidth="1"/>
    <col min="1575" max="1575" width="14.44140625" style="19" bestFit="1" customWidth="1"/>
    <col min="1576" max="1576" width="11.77734375" style="19" bestFit="1" customWidth="1"/>
    <col min="1577" max="1579" width="8.88671875" style="19"/>
    <col min="1580" max="1580" width="13.44140625" style="19" bestFit="1" customWidth="1"/>
    <col min="1581" max="1791" width="8.88671875" style="19"/>
    <col min="1792" max="1792" width="5.109375" style="19" customWidth="1"/>
    <col min="1793" max="1793" width="49.33203125" style="19" customWidth="1"/>
    <col min="1794" max="1825" width="15.77734375" style="19" customWidth="1"/>
    <col min="1826" max="1827" width="10.5546875" style="19" customWidth="1"/>
    <col min="1828" max="1828" width="11" style="19" customWidth="1"/>
    <col min="1829" max="1829" width="13.109375" style="19" bestFit="1" customWidth="1"/>
    <col min="1830" max="1830" width="27.21875" style="19" customWidth="1"/>
    <col min="1831" max="1831" width="14.44140625" style="19" bestFit="1" customWidth="1"/>
    <col min="1832" max="1832" width="11.77734375" style="19" bestFit="1" customWidth="1"/>
    <col min="1833" max="1835" width="8.88671875" style="19"/>
    <col min="1836" max="1836" width="13.44140625" style="19" bestFit="1" customWidth="1"/>
    <col min="1837" max="2047" width="8.88671875" style="19"/>
    <col min="2048" max="2048" width="5.109375" style="19" customWidth="1"/>
    <col min="2049" max="2049" width="49.33203125" style="19" customWidth="1"/>
    <col min="2050" max="2081" width="15.77734375" style="19" customWidth="1"/>
    <col min="2082" max="2083" width="10.5546875" style="19" customWidth="1"/>
    <col min="2084" max="2084" width="11" style="19" customWidth="1"/>
    <col min="2085" max="2085" width="13.109375" style="19" bestFit="1" customWidth="1"/>
    <col min="2086" max="2086" width="27.21875" style="19" customWidth="1"/>
    <col min="2087" max="2087" width="14.44140625" style="19" bestFit="1" customWidth="1"/>
    <col min="2088" max="2088" width="11.77734375" style="19" bestFit="1" customWidth="1"/>
    <col min="2089" max="2091" width="8.88671875" style="19"/>
    <col min="2092" max="2092" width="13.44140625" style="19" bestFit="1" customWidth="1"/>
    <col min="2093" max="2303" width="8.88671875" style="19"/>
    <col min="2304" max="2304" width="5.109375" style="19" customWidth="1"/>
    <col min="2305" max="2305" width="49.33203125" style="19" customWidth="1"/>
    <col min="2306" max="2337" width="15.77734375" style="19" customWidth="1"/>
    <col min="2338" max="2339" width="10.5546875" style="19" customWidth="1"/>
    <col min="2340" max="2340" width="11" style="19" customWidth="1"/>
    <col min="2341" max="2341" width="13.109375" style="19" bestFit="1" customWidth="1"/>
    <col min="2342" max="2342" width="27.21875" style="19" customWidth="1"/>
    <col min="2343" max="2343" width="14.44140625" style="19" bestFit="1" customWidth="1"/>
    <col min="2344" max="2344" width="11.77734375" style="19" bestFit="1" customWidth="1"/>
    <col min="2345" max="2347" width="8.88671875" style="19"/>
    <col min="2348" max="2348" width="13.44140625" style="19" bestFit="1" customWidth="1"/>
    <col min="2349" max="2559" width="8.88671875" style="19"/>
    <col min="2560" max="2560" width="5.109375" style="19" customWidth="1"/>
    <col min="2561" max="2561" width="49.33203125" style="19" customWidth="1"/>
    <col min="2562" max="2593" width="15.77734375" style="19" customWidth="1"/>
    <col min="2594" max="2595" width="10.5546875" style="19" customWidth="1"/>
    <col min="2596" max="2596" width="11" style="19" customWidth="1"/>
    <col min="2597" max="2597" width="13.109375" style="19" bestFit="1" customWidth="1"/>
    <col min="2598" max="2598" width="27.21875" style="19" customWidth="1"/>
    <col min="2599" max="2599" width="14.44140625" style="19" bestFit="1" customWidth="1"/>
    <col min="2600" max="2600" width="11.77734375" style="19" bestFit="1" customWidth="1"/>
    <col min="2601" max="2603" width="8.88671875" style="19"/>
    <col min="2604" max="2604" width="13.44140625" style="19" bestFit="1" customWidth="1"/>
    <col min="2605" max="2815" width="8.88671875" style="19"/>
    <col min="2816" max="2816" width="5.109375" style="19" customWidth="1"/>
    <col min="2817" max="2817" width="49.33203125" style="19" customWidth="1"/>
    <col min="2818" max="2849" width="15.77734375" style="19" customWidth="1"/>
    <col min="2850" max="2851" width="10.5546875" style="19" customWidth="1"/>
    <col min="2852" max="2852" width="11" style="19" customWidth="1"/>
    <col min="2853" max="2853" width="13.109375" style="19" bestFit="1" customWidth="1"/>
    <col min="2854" max="2854" width="27.21875" style="19" customWidth="1"/>
    <col min="2855" max="2855" width="14.44140625" style="19" bestFit="1" customWidth="1"/>
    <col min="2856" max="2856" width="11.77734375" style="19" bestFit="1" customWidth="1"/>
    <col min="2857" max="2859" width="8.88671875" style="19"/>
    <col min="2860" max="2860" width="13.44140625" style="19" bestFit="1" customWidth="1"/>
    <col min="2861" max="3071" width="8.88671875" style="19"/>
    <col min="3072" max="3072" width="5.109375" style="19" customWidth="1"/>
    <col min="3073" max="3073" width="49.33203125" style="19" customWidth="1"/>
    <col min="3074" max="3105" width="15.77734375" style="19" customWidth="1"/>
    <col min="3106" max="3107" width="10.5546875" style="19" customWidth="1"/>
    <col min="3108" max="3108" width="11" style="19" customWidth="1"/>
    <col min="3109" max="3109" width="13.109375" style="19" bestFit="1" customWidth="1"/>
    <col min="3110" max="3110" width="27.21875" style="19" customWidth="1"/>
    <col min="3111" max="3111" width="14.44140625" style="19" bestFit="1" customWidth="1"/>
    <col min="3112" max="3112" width="11.77734375" style="19" bestFit="1" customWidth="1"/>
    <col min="3113" max="3115" width="8.88671875" style="19"/>
    <col min="3116" max="3116" width="13.44140625" style="19" bestFit="1" customWidth="1"/>
    <col min="3117" max="3327" width="8.88671875" style="19"/>
    <col min="3328" max="3328" width="5.109375" style="19" customWidth="1"/>
    <col min="3329" max="3329" width="49.33203125" style="19" customWidth="1"/>
    <col min="3330" max="3361" width="15.77734375" style="19" customWidth="1"/>
    <col min="3362" max="3363" width="10.5546875" style="19" customWidth="1"/>
    <col min="3364" max="3364" width="11" style="19" customWidth="1"/>
    <col min="3365" max="3365" width="13.109375" style="19" bestFit="1" customWidth="1"/>
    <col min="3366" max="3366" width="27.21875" style="19" customWidth="1"/>
    <col min="3367" max="3367" width="14.44140625" style="19" bestFit="1" customWidth="1"/>
    <col min="3368" max="3368" width="11.77734375" style="19" bestFit="1" customWidth="1"/>
    <col min="3369" max="3371" width="8.88671875" style="19"/>
    <col min="3372" max="3372" width="13.44140625" style="19" bestFit="1" customWidth="1"/>
    <col min="3373" max="3583" width="8.88671875" style="19"/>
    <col min="3584" max="3584" width="5.109375" style="19" customWidth="1"/>
    <col min="3585" max="3585" width="49.33203125" style="19" customWidth="1"/>
    <col min="3586" max="3617" width="15.77734375" style="19" customWidth="1"/>
    <col min="3618" max="3619" width="10.5546875" style="19" customWidth="1"/>
    <col min="3620" max="3620" width="11" style="19" customWidth="1"/>
    <col min="3621" max="3621" width="13.109375" style="19" bestFit="1" customWidth="1"/>
    <col min="3622" max="3622" width="27.21875" style="19" customWidth="1"/>
    <col min="3623" max="3623" width="14.44140625" style="19" bestFit="1" customWidth="1"/>
    <col min="3624" max="3624" width="11.77734375" style="19" bestFit="1" customWidth="1"/>
    <col min="3625" max="3627" width="8.88671875" style="19"/>
    <col min="3628" max="3628" width="13.44140625" style="19" bestFit="1" customWidth="1"/>
    <col min="3629" max="3839" width="8.88671875" style="19"/>
    <col min="3840" max="3840" width="5.109375" style="19" customWidth="1"/>
    <col min="3841" max="3841" width="49.33203125" style="19" customWidth="1"/>
    <col min="3842" max="3873" width="15.77734375" style="19" customWidth="1"/>
    <col min="3874" max="3875" width="10.5546875" style="19" customWidth="1"/>
    <col min="3876" max="3876" width="11" style="19" customWidth="1"/>
    <col min="3877" max="3877" width="13.109375" style="19" bestFit="1" customWidth="1"/>
    <col min="3878" max="3878" width="27.21875" style="19" customWidth="1"/>
    <col min="3879" max="3879" width="14.44140625" style="19" bestFit="1" customWidth="1"/>
    <col min="3880" max="3880" width="11.77734375" style="19" bestFit="1" customWidth="1"/>
    <col min="3881" max="3883" width="8.88671875" style="19"/>
    <col min="3884" max="3884" width="13.44140625" style="19" bestFit="1" customWidth="1"/>
    <col min="3885" max="4095" width="8.88671875" style="19"/>
    <col min="4096" max="4096" width="5.109375" style="19" customWidth="1"/>
    <col min="4097" max="4097" width="49.33203125" style="19" customWidth="1"/>
    <col min="4098" max="4129" width="15.77734375" style="19" customWidth="1"/>
    <col min="4130" max="4131" width="10.5546875" style="19" customWidth="1"/>
    <col min="4132" max="4132" width="11" style="19" customWidth="1"/>
    <col min="4133" max="4133" width="13.109375" style="19" bestFit="1" customWidth="1"/>
    <col min="4134" max="4134" width="27.21875" style="19" customWidth="1"/>
    <col min="4135" max="4135" width="14.44140625" style="19" bestFit="1" customWidth="1"/>
    <col min="4136" max="4136" width="11.77734375" style="19" bestFit="1" customWidth="1"/>
    <col min="4137" max="4139" width="8.88671875" style="19"/>
    <col min="4140" max="4140" width="13.44140625" style="19" bestFit="1" customWidth="1"/>
    <col min="4141" max="4351" width="8.88671875" style="19"/>
    <col min="4352" max="4352" width="5.109375" style="19" customWidth="1"/>
    <col min="4353" max="4353" width="49.33203125" style="19" customWidth="1"/>
    <col min="4354" max="4385" width="15.77734375" style="19" customWidth="1"/>
    <col min="4386" max="4387" width="10.5546875" style="19" customWidth="1"/>
    <col min="4388" max="4388" width="11" style="19" customWidth="1"/>
    <col min="4389" max="4389" width="13.109375" style="19" bestFit="1" customWidth="1"/>
    <col min="4390" max="4390" width="27.21875" style="19" customWidth="1"/>
    <col min="4391" max="4391" width="14.44140625" style="19" bestFit="1" customWidth="1"/>
    <col min="4392" max="4392" width="11.77734375" style="19" bestFit="1" customWidth="1"/>
    <col min="4393" max="4395" width="8.88671875" style="19"/>
    <col min="4396" max="4396" width="13.44140625" style="19" bestFit="1" customWidth="1"/>
    <col min="4397" max="4607" width="8.88671875" style="19"/>
    <col min="4608" max="4608" width="5.109375" style="19" customWidth="1"/>
    <col min="4609" max="4609" width="49.33203125" style="19" customWidth="1"/>
    <col min="4610" max="4641" width="15.77734375" style="19" customWidth="1"/>
    <col min="4642" max="4643" width="10.5546875" style="19" customWidth="1"/>
    <col min="4644" max="4644" width="11" style="19" customWidth="1"/>
    <col min="4645" max="4645" width="13.109375" style="19" bestFit="1" customWidth="1"/>
    <col min="4646" max="4646" width="27.21875" style="19" customWidth="1"/>
    <col min="4647" max="4647" width="14.44140625" style="19" bestFit="1" customWidth="1"/>
    <col min="4648" max="4648" width="11.77734375" style="19" bestFit="1" customWidth="1"/>
    <col min="4649" max="4651" width="8.88671875" style="19"/>
    <col min="4652" max="4652" width="13.44140625" style="19" bestFit="1" customWidth="1"/>
    <col min="4653" max="4863" width="8.88671875" style="19"/>
    <col min="4864" max="4864" width="5.109375" style="19" customWidth="1"/>
    <col min="4865" max="4865" width="49.33203125" style="19" customWidth="1"/>
    <col min="4866" max="4897" width="15.77734375" style="19" customWidth="1"/>
    <col min="4898" max="4899" width="10.5546875" style="19" customWidth="1"/>
    <col min="4900" max="4900" width="11" style="19" customWidth="1"/>
    <col min="4901" max="4901" width="13.109375" style="19" bestFit="1" customWidth="1"/>
    <col min="4902" max="4902" width="27.21875" style="19" customWidth="1"/>
    <col min="4903" max="4903" width="14.44140625" style="19" bestFit="1" customWidth="1"/>
    <col min="4904" max="4904" width="11.77734375" style="19" bestFit="1" customWidth="1"/>
    <col min="4905" max="4907" width="8.88671875" style="19"/>
    <col min="4908" max="4908" width="13.44140625" style="19" bestFit="1" customWidth="1"/>
    <col min="4909" max="5119" width="8.88671875" style="19"/>
    <col min="5120" max="5120" width="5.109375" style="19" customWidth="1"/>
    <col min="5121" max="5121" width="49.33203125" style="19" customWidth="1"/>
    <col min="5122" max="5153" width="15.77734375" style="19" customWidth="1"/>
    <col min="5154" max="5155" width="10.5546875" style="19" customWidth="1"/>
    <col min="5156" max="5156" width="11" style="19" customWidth="1"/>
    <col min="5157" max="5157" width="13.109375" style="19" bestFit="1" customWidth="1"/>
    <col min="5158" max="5158" width="27.21875" style="19" customWidth="1"/>
    <col min="5159" max="5159" width="14.44140625" style="19" bestFit="1" customWidth="1"/>
    <col min="5160" max="5160" width="11.77734375" style="19" bestFit="1" customWidth="1"/>
    <col min="5161" max="5163" width="8.88671875" style="19"/>
    <col min="5164" max="5164" width="13.44140625" style="19" bestFit="1" customWidth="1"/>
    <col min="5165" max="5375" width="8.88671875" style="19"/>
    <col min="5376" max="5376" width="5.109375" style="19" customWidth="1"/>
    <col min="5377" max="5377" width="49.33203125" style="19" customWidth="1"/>
    <col min="5378" max="5409" width="15.77734375" style="19" customWidth="1"/>
    <col min="5410" max="5411" width="10.5546875" style="19" customWidth="1"/>
    <col min="5412" max="5412" width="11" style="19" customWidth="1"/>
    <col min="5413" max="5413" width="13.109375" style="19" bestFit="1" customWidth="1"/>
    <col min="5414" max="5414" width="27.21875" style="19" customWidth="1"/>
    <col min="5415" max="5415" width="14.44140625" style="19" bestFit="1" customWidth="1"/>
    <col min="5416" max="5416" width="11.77734375" style="19" bestFit="1" customWidth="1"/>
    <col min="5417" max="5419" width="8.88671875" style="19"/>
    <col min="5420" max="5420" width="13.44140625" style="19" bestFit="1" customWidth="1"/>
    <col min="5421" max="5631" width="8.88671875" style="19"/>
    <col min="5632" max="5632" width="5.109375" style="19" customWidth="1"/>
    <col min="5633" max="5633" width="49.33203125" style="19" customWidth="1"/>
    <col min="5634" max="5665" width="15.77734375" style="19" customWidth="1"/>
    <col min="5666" max="5667" width="10.5546875" style="19" customWidth="1"/>
    <col min="5668" max="5668" width="11" style="19" customWidth="1"/>
    <col min="5669" max="5669" width="13.109375" style="19" bestFit="1" customWidth="1"/>
    <col min="5670" max="5670" width="27.21875" style="19" customWidth="1"/>
    <col min="5671" max="5671" width="14.44140625" style="19" bestFit="1" customWidth="1"/>
    <col min="5672" max="5672" width="11.77734375" style="19" bestFit="1" customWidth="1"/>
    <col min="5673" max="5675" width="8.88671875" style="19"/>
    <col min="5676" max="5676" width="13.44140625" style="19" bestFit="1" customWidth="1"/>
    <col min="5677" max="5887" width="8.88671875" style="19"/>
    <col min="5888" max="5888" width="5.109375" style="19" customWidth="1"/>
    <col min="5889" max="5889" width="49.33203125" style="19" customWidth="1"/>
    <col min="5890" max="5921" width="15.77734375" style="19" customWidth="1"/>
    <col min="5922" max="5923" width="10.5546875" style="19" customWidth="1"/>
    <col min="5924" max="5924" width="11" style="19" customWidth="1"/>
    <col min="5925" max="5925" width="13.109375" style="19" bestFit="1" customWidth="1"/>
    <col min="5926" max="5926" width="27.21875" style="19" customWidth="1"/>
    <col min="5927" max="5927" width="14.44140625" style="19" bestFit="1" customWidth="1"/>
    <col min="5928" max="5928" width="11.77734375" style="19" bestFit="1" customWidth="1"/>
    <col min="5929" max="5931" width="8.88671875" style="19"/>
    <col min="5932" max="5932" width="13.44140625" style="19" bestFit="1" customWidth="1"/>
    <col min="5933" max="6143" width="8.88671875" style="19"/>
    <col min="6144" max="6144" width="5.109375" style="19" customWidth="1"/>
    <col min="6145" max="6145" width="49.33203125" style="19" customWidth="1"/>
    <col min="6146" max="6177" width="15.77734375" style="19" customWidth="1"/>
    <col min="6178" max="6179" width="10.5546875" style="19" customWidth="1"/>
    <col min="6180" max="6180" width="11" style="19" customWidth="1"/>
    <col min="6181" max="6181" width="13.109375" style="19" bestFit="1" customWidth="1"/>
    <col min="6182" max="6182" width="27.21875" style="19" customWidth="1"/>
    <col min="6183" max="6183" width="14.44140625" style="19" bestFit="1" customWidth="1"/>
    <col min="6184" max="6184" width="11.77734375" style="19" bestFit="1" customWidth="1"/>
    <col min="6185" max="6187" width="8.88671875" style="19"/>
    <col min="6188" max="6188" width="13.44140625" style="19" bestFit="1" customWidth="1"/>
    <col min="6189" max="6399" width="8.88671875" style="19"/>
    <col min="6400" max="6400" width="5.109375" style="19" customWidth="1"/>
    <col min="6401" max="6401" width="49.33203125" style="19" customWidth="1"/>
    <col min="6402" max="6433" width="15.77734375" style="19" customWidth="1"/>
    <col min="6434" max="6435" width="10.5546875" style="19" customWidth="1"/>
    <col min="6436" max="6436" width="11" style="19" customWidth="1"/>
    <col min="6437" max="6437" width="13.109375" style="19" bestFit="1" customWidth="1"/>
    <col min="6438" max="6438" width="27.21875" style="19" customWidth="1"/>
    <col min="6439" max="6439" width="14.44140625" style="19" bestFit="1" customWidth="1"/>
    <col min="6440" max="6440" width="11.77734375" style="19" bestFit="1" customWidth="1"/>
    <col min="6441" max="6443" width="8.88671875" style="19"/>
    <col min="6444" max="6444" width="13.44140625" style="19" bestFit="1" customWidth="1"/>
    <col min="6445" max="6655" width="8.88671875" style="19"/>
    <col min="6656" max="6656" width="5.109375" style="19" customWidth="1"/>
    <col min="6657" max="6657" width="49.33203125" style="19" customWidth="1"/>
    <col min="6658" max="6689" width="15.77734375" style="19" customWidth="1"/>
    <col min="6690" max="6691" width="10.5546875" style="19" customWidth="1"/>
    <col min="6692" max="6692" width="11" style="19" customWidth="1"/>
    <col min="6693" max="6693" width="13.109375" style="19" bestFit="1" customWidth="1"/>
    <col min="6694" max="6694" width="27.21875" style="19" customWidth="1"/>
    <col min="6695" max="6695" width="14.44140625" style="19" bestFit="1" customWidth="1"/>
    <col min="6696" max="6696" width="11.77734375" style="19" bestFit="1" customWidth="1"/>
    <col min="6697" max="6699" width="8.88671875" style="19"/>
    <col min="6700" max="6700" width="13.44140625" style="19" bestFit="1" customWidth="1"/>
    <col min="6701" max="6911" width="8.88671875" style="19"/>
    <col min="6912" max="6912" width="5.109375" style="19" customWidth="1"/>
    <col min="6913" max="6913" width="49.33203125" style="19" customWidth="1"/>
    <col min="6914" max="6945" width="15.77734375" style="19" customWidth="1"/>
    <col min="6946" max="6947" width="10.5546875" style="19" customWidth="1"/>
    <col min="6948" max="6948" width="11" style="19" customWidth="1"/>
    <col min="6949" max="6949" width="13.109375" style="19" bestFit="1" customWidth="1"/>
    <col min="6950" max="6950" width="27.21875" style="19" customWidth="1"/>
    <col min="6951" max="6951" width="14.44140625" style="19" bestFit="1" customWidth="1"/>
    <col min="6952" max="6952" width="11.77734375" style="19" bestFit="1" customWidth="1"/>
    <col min="6953" max="6955" width="8.88671875" style="19"/>
    <col min="6956" max="6956" width="13.44140625" style="19" bestFit="1" customWidth="1"/>
    <col min="6957" max="7167" width="8.88671875" style="19"/>
    <col min="7168" max="7168" width="5.109375" style="19" customWidth="1"/>
    <col min="7169" max="7169" width="49.33203125" style="19" customWidth="1"/>
    <col min="7170" max="7201" width="15.77734375" style="19" customWidth="1"/>
    <col min="7202" max="7203" width="10.5546875" style="19" customWidth="1"/>
    <col min="7204" max="7204" width="11" style="19" customWidth="1"/>
    <col min="7205" max="7205" width="13.109375" style="19" bestFit="1" customWidth="1"/>
    <col min="7206" max="7206" width="27.21875" style="19" customWidth="1"/>
    <col min="7207" max="7207" width="14.44140625" style="19" bestFit="1" customWidth="1"/>
    <col min="7208" max="7208" width="11.77734375" style="19" bestFit="1" customWidth="1"/>
    <col min="7209" max="7211" width="8.88671875" style="19"/>
    <col min="7212" max="7212" width="13.44140625" style="19" bestFit="1" customWidth="1"/>
    <col min="7213" max="7423" width="8.88671875" style="19"/>
    <col min="7424" max="7424" width="5.109375" style="19" customWidth="1"/>
    <col min="7425" max="7425" width="49.33203125" style="19" customWidth="1"/>
    <col min="7426" max="7457" width="15.77734375" style="19" customWidth="1"/>
    <col min="7458" max="7459" width="10.5546875" style="19" customWidth="1"/>
    <col min="7460" max="7460" width="11" style="19" customWidth="1"/>
    <col min="7461" max="7461" width="13.109375" style="19" bestFit="1" customWidth="1"/>
    <col min="7462" max="7462" width="27.21875" style="19" customWidth="1"/>
    <col min="7463" max="7463" width="14.44140625" style="19" bestFit="1" customWidth="1"/>
    <col min="7464" max="7464" width="11.77734375" style="19" bestFit="1" customWidth="1"/>
    <col min="7465" max="7467" width="8.88671875" style="19"/>
    <col min="7468" max="7468" width="13.44140625" style="19" bestFit="1" customWidth="1"/>
    <col min="7469" max="7679" width="8.88671875" style="19"/>
    <col min="7680" max="7680" width="5.109375" style="19" customWidth="1"/>
    <col min="7681" max="7681" width="49.33203125" style="19" customWidth="1"/>
    <col min="7682" max="7713" width="15.77734375" style="19" customWidth="1"/>
    <col min="7714" max="7715" width="10.5546875" style="19" customWidth="1"/>
    <col min="7716" max="7716" width="11" style="19" customWidth="1"/>
    <col min="7717" max="7717" width="13.109375" style="19" bestFit="1" customWidth="1"/>
    <col min="7718" max="7718" width="27.21875" style="19" customWidth="1"/>
    <col min="7719" max="7719" width="14.44140625" style="19" bestFit="1" customWidth="1"/>
    <col min="7720" max="7720" width="11.77734375" style="19" bestFit="1" customWidth="1"/>
    <col min="7721" max="7723" width="8.88671875" style="19"/>
    <col min="7724" max="7724" width="13.44140625" style="19" bestFit="1" customWidth="1"/>
    <col min="7725" max="7935" width="8.88671875" style="19"/>
    <col min="7936" max="7936" width="5.109375" style="19" customWidth="1"/>
    <col min="7937" max="7937" width="49.33203125" style="19" customWidth="1"/>
    <col min="7938" max="7969" width="15.77734375" style="19" customWidth="1"/>
    <col min="7970" max="7971" width="10.5546875" style="19" customWidth="1"/>
    <col min="7972" max="7972" width="11" style="19" customWidth="1"/>
    <col min="7973" max="7973" width="13.109375" style="19" bestFit="1" customWidth="1"/>
    <col min="7974" max="7974" width="27.21875" style="19" customWidth="1"/>
    <col min="7975" max="7975" width="14.44140625" style="19" bestFit="1" customWidth="1"/>
    <col min="7976" max="7976" width="11.77734375" style="19" bestFit="1" customWidth="1"/>
    <col min="7977" max="7979" width="8.88671875" style="19"/>
    <col min="7980" max="7980" width="13.44140625" style="19" bestFit="1" customWidth="1"/>
    <col min="7981" max="8191" width="8.88671875" style="19"/>
    <col min="8192" max="8192" width="5.109375" style="19" customWidth="1"/>
    <col min="8193" max="8193" width="49.33203125" style="19" customWidth="1"/>
    <col min="8194" max="8225" width="15.77734375" style="19" customWidth="1"/>
    <col min="8226" max="8227" width="10.5546875" style="19" customWidth="1"/>
    <col min="8228" max="8228" width="11" style="19" customWidth="1"/>
    <col min="8229" max="8229" width="13.109375" style="19" bestFit="1" customWidth="1"/>
    <col min="8230" max="8230" width="27.21875" style="19" customWidth="1"/>
    <col min="8231" max="8231" width="14.44140625" style="19" bestFit="1" customWidth="1"/>
    <col min="8232" max="8232" width="11.77734375" style="19" bestFit="1" customWidth="1"/>
    <col min="8233" max="8235" width="8.88671875" style="19"/>
    <col min="8236" max="8236" width="13.44140625" style="19" bestFit="1" customWidth="1"/>
    <col min="8237" max="8447" width="8.88671875" style="19"/>
    <col min="8448" max="8448" width="5.109375" style="19" customWidth="1"/>
    <col min="8449" max="8449" width="49.33203125" style="19" customWidth="1"/>
    <col min="8450" max="8481" width="15.77734375" style="19" customWidth="1"/>
    <col min="8482" max="8483" width="10.5546875" style="19" customWidth="1"/>
    <col min="8484" max="8484" width="11" style="19" customWidth="1"/>
    <col min="8485" max="8485" width="13.109375" style="19" bestFit="1" customWidth="1"/>
    <col min="8486" max="8486" width="27.21875" style="19" customWidth="1"/>
    <col min="8487" max="8487" width="14.44140625" style="19" bestFit="1" customWidth="1"/>
    <col min="8488" max="8488" width="11.77734375" style="19" bestFit="1" customWidth="1"/>
    <col min="8489" max="8491" width="8.88671875" style="19"/>
    <col min="8492" max="8492" width="13.44140625" style="19" bestFit="1" customWidth="1"/>
    <col min="8493" max="8703" width="8.88671875" style="19"/>
    <col min="8704" max="8704" width="5.109375" style="19" customWidth="1"/>
    <col min="8705" max="8705" width="49.33203125" style="19" customWidth="1"/>
    <col min="8706" max="8737" width="15.77734375" style="19" customWidth="1"/>
    <col min="8738" max="8739" width="10.5546875" style="19" customWidth="1"/>
    <col min="8740" max="8740" width="11" style="19" customWidth="1"/>
    <col min="8741" max="8741" width="13.109375" style="19" bestFit="1" customWidth="1"/>
    <col min="8742" max="8742" width="27.21875" style="19" customWidth="1"/>
    <col min="8743" max="8743" width="14.44140625" style="19" bestFit="1" customWidth="1"/>
    <col min="8744" max="8744" width="11.77734375" style="19" bestFit="1" customWidth="1"/>
    <col min="8745" max="8747" width="8.88671875" style="19"/>
    <col min="8748" max="8748" width="13.44140625" style="19" bestFit="1" customWidth="1"/>
    <col min="8749" max="8959" width="8.88671875" style="19"/>
    <col min="8960" max="8960" width="5.109375" style="19" customWidth="1"/>
    <col min="8961" max="8961" width="49.33203125" style="19" customWidth="1"/>
    <col min="8962" max="8993" width="15.77734375" style="19" customWidth="1"/>
    <col min="8994" max="8995" width="10.5546875" style="19" customWidth="1"/>
    <col min="8996" max="8996" width="11" style="19" customWidth="1"/>
    <col min="8997" max="8997" width="13.109375" style="19" bestFit="1" customWidth="1"/>
    <col min="8998" max="8998" width="27.21875" style="19" customWidth="1"/>
    <col min="8999" max="8999" width="14.44140625" style="19" bestFit="1" customWidth="1"/>
    <col min="9000" max="9000" width="11.77734375" style="19" bestFit="1" customWidth="1"/>
    <col min="9001" max="9003" width="8.88671875" style="19"/>
    <col min="9004" max="9004" width="13.44140625" style="19" bestFit="1" customWidth="1"/>
    <col min="9005" max="9215" width="8.88671875" style="19"/>
    <col min="9216" max="9216" width="5.109375" style="19" customWidth="1"/>
    <col min="9217" max="9217" width="49.33203125" style="19" customWidth="1"/>
    <col min="9218" max="9249" width="15.77734375" style="19" customWidth="1"/>
    <col min="9250" max="9251" width="10.5546875" style="19" customWidth="1"/>
    <col min="9252" max="9252" width="11" style="19" customWidth="1"/>
    <col min="9253" max="9253" width="13.109375" style="19" bestFit="1" customWidth="1"/>
    <col min="9254" max="9254" width="27.21875" style="19" customWidth="1"/>
    <col min="9255" max="9255" width="14.44140625" style="19" bestFit="1" customWidth="1"/>
    <col min="9256" max="9256" width="11.77734375" style="19" bestFit="1" customWidth="1"/>
    <col min="9257" max="9259" width="8.88671875" style="19"/>
    <col min="9260" max="9260" width="13.44140625" style="19" bestFit="1" customWidth="1"/>
    <col min="9261" max="9471" width="8.88671875" style="19"/>
    <col min="9472" max="9472" width="5.109375" style="19" customWidth="1"/>
    <col min="9473" max="9473" width="49.33203125" style="19" customWidth="1"/>
    <col min="9474" max="9505" width="15.77734375" style="19" customWidth="1"/>
    <col min="9506" max="9507" width="10.5546875" style="19" customWidth="1"/>
    <col min="9508" max="9508" width="11" style="19" customWidth="1"/>
    <col min="9509" max="9509" width="13.109375" style="19" bestFit="1" customWidth="1"/>
    <col min="9510" max="9510" width="27.21875" style="19" customWidth="1"/>
    <col min="9511" max="9511" width="14.44140625" style="19" bestFit="1" customWidth="1"/>
    <col min="9512" max="9512" width="11.77734375" style="19" bestFit="1" customWidth="1"/>
    <col min="9513" max="9515" width="8.88671875" style="19"/>
    <col min="9516" max="9516" width="13.44140625" style="19" bestFit="1" customWidth="1"/>
    <col min="9517" max="9727" width="8.88671875" style="19"/>
    <col min="9728" max="9728" width="5.109375" style="19" customWidth="1"/>
    <col min="9729" max="9729" width="49.33203125" style="19" customWidth="1"/>
    <col min="9730" max="9761" width="15.77734375" style="19" customWidth="1"/>
    <col min="9762" max="9763" width="10.5546875" style="19" customWidth="1"/>
    <col min="9764" max="9764" width="11" style="19" customWidth="1"/>
    <col min="9765" max="9765" width="13.109375" style="19" bestFit="1" customWidth="1"/>
    <col min="9766" max="9766" width="27.21875" style="19" customWidth="1"/>
    <col min="9767" max="9767" width="14.44140625" style="19" bestFit="1" customWidth="1"/>
    <col min="9768" max="9768" width="11.77734375" style="19" bestFit="1" customWidth="1"/>
    <col min="9769" max="9771" width="8.88671875" style="19"/>
    <col min="9772" max="9772" width="13.44140625" style="19" bestFit="1" customWidth="1"/>
    <col min="9773" max="9983" width="8.88671875" style="19"/>
    <col min="9984" max="9984" width="5.109375" style="19" customWidth="1"/>
    <col min="9985" max="9985" width="49.33203125" style="19" customWidth="1"/>
    <col min="9986" max="10017" width="15.77734375" style="19" customWidth="1"/>
    <col min="10018" max="10019" width="10.5546875" style="19" customWidth="1"/>
    <col min="10020" max="10020" width="11" style="19" customWidth="1"/>
    <col min="10021" max="10021" width="13.109375" style="19" bestFit="1" customWidth="1"/>
    <col min="10022" max="10022" width="27.21875" style="19" customWidth="1"/>
    <col min="10023" max="10023" width="14.44140625" style="19" bestFit="1" customWidth="1"/>
    <col min="10024" max="10024" width="11.77734375" style="19" bestFit="1" customWidth="1"/>
    <col min="10025" max="10027" width="8.88671875" style="19"/>
    <col min="10028" max="10028" width="13.44140625" style="19" bestFit="1" customWidth="1"/>
    <col min="10029" max="10239" width="8.88671875" style="19"/>
    <col min="10240" max="10240" width="5.109375" style="19" customWidth="1"/>
    <col min="10241" max="10241" width="49.33203125" style="19" customWidth="1"/>
    <col min="10242" max="10273" width="15.77734375" style="19" customWidth="1"/>
    <col min="10274" max="10275" width="10.5546875" style="19" customWidth="1"/>
    <col min="10276" max="10276" width="11" style="19" customWidth="1"/>
    <col min="10277" max="10277" width="13.109375" style="19" bestFit="1" customWidth="1"/>
    <col min="10278" max="10278" width="27.21875" style="19" customWidth="1"/>
    <col min="10279" max="10279" width="14.44140625" style="19" bestFit="1" customWidth="1"/>
    <col min="10280" max="10280" width="11.77734375" style="19" bestFit="1" customWidth="1"/>
    <col min="10281" max="10283" width="8.88671875" style="19"/>
    <col min="10284" max="10284" width="13.44140625" style="19" bestFit="1" customWidth="1"/>
    <col min="10285" max="10495" width="8.88671875" style="19"/>
    <col min="10496" max="10496" width="5.109375" style="19" customWidth="1"/>
    <col min="10497" max="10497" width="49.33203125" style="19" customWidth="1"/>
    <col min="10498" max="10529" width="15.77734375" style="19" customWidth="1"/>
    <col min="10530" max="10531" width="10.5546875" style="19" customWidth="1"/>
    <col min="10532" max="10532" width="11" style="19" customWidth="1"/>
    <col min="10533" max="10533" width="13.109375" style="19" bestFit="1" customWidth="1"/>
    <col min="10534" max="10534" width="27.21875" style="19" customWidth="1"/>
    <col min="10535" max="10535" width="14.44140625" style="19" bestFit="1" customWidth="1"/>
    <col min="10536" max="10536" width="11.77734375" style="19" bestFit="1" customWidth="1"/>
    <col min="10537" max="10539" width="8.88671875" style="19"/>
    <col min="10540" max="10540" width="13.44140625" style="19" bestFit="1" customWidth="1"/>
    <col min="10541" max="10751" width="8.88671875" style="19"/>
    <col min="10752" max="10752" width="5.109375" style="19" customWidth="1"/>
    <col min="10753" max="10753" width="49.33203125" style="19" customWidth="1"/>
    <col min="10754" max="10785" width="15.77734375" style="19" customWidth="1"/>
    <col min="10786" max="10787" width="10.5546875" style="19" customWidth="1"/>
    <col min="10788" max="10788" width="11" style="19" customWidth="1"/>
    <col min="10789" max="10789" width="13.109375" style="19" bestFit="1" customWidth="1"/>
    <col min="10790" max="10790" width="27.21875" style="19" customWidth="1"/>
    <col min="10791" max="10791" width="14.44140625" style="19" bestFit="1" customWidth="1"/>
    <col min="10792" max="10792" width="11.77734375" style="19" bestFit="1" customWidth="1"/>
    <col min="10793" max="10795" width="8.88671875" style="19"/>
    <col min="10796" max="10796" width="13.44140625" style="19" bestFit="1" customWidth="1"/>
    <col min="10797" max="11007" width="8.88671875" style="19"/>
    <col min="11008" max="11008" width="5.109375" style="19" customWidth="1"/>
    <col min="11009" max="11009" width="49.33203125" style="19" customWidth="1"/>
    <col min="11010" max="11041" width="15.77734375" style="19" customWidth="1"/>
    <col min="11042" max="11043" width="10.5546875" style="19" customWidth="1"/>
    <col min="11044" max="11044" width="11" style="19" customWidth="1"/>
    <col min="11045" max="11045" width="13.109375" style="19" bestFit="1" customWidth="1"/>
    <col min="11046" max="11046" width="27.21875" style="19" customWidth="1"/>
    <col min="11047" max="11047" width="14.44140625" style="19" bestFit="1" customWidth="1"/>
    <col min="11048" max="11048" width="11.77734375" style="19" bestFit="1" customWidth="1"/>
    <col min="11049" max="11051" width="8.88671875" style="19"/>
    <col min="11052" max="11052" width="13.44140625" style="19" bestFit="1" customWidth="1"/>
    <col min="11053" max="11263" width="8.88671875" style="19"/>
    <col min="11264" max="11264" width="5.109375" style="19" customWidth="1"/>
    <col min="11265" max="11265" width="49.33203125" style="19" customWidth="1"/>
    <col min="11266" max="11297" width="15.77734375" style="19" customWidth="1"/>
    <col min="11298" max="11299" width="10.5546875" style="19" customWidth="1"/>
    <col min="11300" max="11300" width="11" style="19" customWidth="1"/>
    <col min="11301" max="11301" width="13.109375" style="19" bestFit="1" customWidth="1"/>
    <col min="11302" max="11302" width="27.21875" style="19" customWidth="1"/>
    <col min="11303" max="11303" width="14.44140625" style="19" bestFit="1" customWidth="1"/>
    <col min="11304" max="11304" width="11.77734375" style="19" bestFit="1" customWidth="1"/>
    <col min="11305" max="11307" width="8.88671875" style="19"/>
    <col min="11308" max="11308" width="13.44140625" style="19" bestFit="1" customWidth="1"/>
    <col min="11309" max="11519" width="8.88671875" style="19"/>
    <col min="11520" max="11520" width="5.109375" style="19" customWidth="1"/>
    <col min="11521" max="11521" width="49.33203125" style="19" customWidth="1"/>
    <col min="11522" max="11553" width="15.77734375" style="19" customWidth="1"/>
    <col min="11554" max="11555" width="10.5546875" style="19" customWidth="1"/>
    <col min="11556" max="11556" width="11" style="19" customWidth="1"/>
    <col min="11557" max="11557" width="13.109375" style="19" bestFit="1" customWidth="1"/>
    <col min="11558" max="11558" width="27.21875" style="19" customWidth="1"/>
    <col min="11559" max="11559" width="14.44140625" style="19" bestFit="1" customWidth="1"/>
    <col min="11560" max="11560" width="11.77734375" style="19" bestFit="1" customWidth="1"/>
    <col min="11561" max="11563" width="8.88671875" style="19"/>
    <col min="11564" max="11564" width="13.44140625" style="19" bestFit="1" customWidth="1"/>
    <col min="11565" max="11775" width="8.88671875" style="19"/>
    <col min="11776" max="11776" width="5.109375" style="19" customWidth="1"/>
    <col min="11777" max="11777" width="49.33203125" style="19" customWidth="1"/>
    <col min="11778" max="11809" width="15.77734375" style="19" customWidth="1"/>
    <col min="11810" max="11811" width="10.5546875" style="19" customWidth="1"/>
    <col min="11812" max="11812" width="11" style="19" customWidth="1"/>
    <col min="11813" max="11813" width="13.109375" style="19" bestFit="1" customWidth="1"/>
    <col min="11814" max="11814" width="27.21875" style="19" customWidth="1"/>
    <col min="11815" max="11815" width="14.44140625" style="19" bestFit="1" customWidth="1"/>
    <col min="11816" max="11816" width="11.77734375" style="19" bestFit="1" customWidth="1"/>
    <col min="11817" max="11819" width="8.88671875" style="19"/>
    <col min="11820" max="11820" width="13.44140625" style="19" bestFit="1" customWidth="1"/>
    <col min="11821" max="12031" width="8.88671875" style="19"/>
    <col min="12032" max="12032" width="5.109375" style="19" customWidth="1"/>
    <col min="12033" max="12033" width="49.33203125" style="19" customWidth="1"/>
    <col min="12034" max="12065" width="15.77734375" style="19" customWidth="1"/>
    <col min="12066" max="12067" width="10.5546875" style="19" customWidth="1"/>
    <col min="12068" max="12068" width="11" style="19" customWidth="1"/>
    <col min="12069" max="12069" width="13.109375" style="19" bestFit="1" customWidth="1"/>
    <col min="12070" max="12070" width="27.21875" style="19" customWidth="1"/>
    <col min="12071" max="12071" width="14.44140625" style="19" bestFit="1" customWidth="1"/>
    <col min="12072" max="12072" width="11.77734375" style="19" bestFit="1" customWidth="1"/>
    <col min="12073" max="12075" width="8.88671875" style="19"/>
    <col min="12076" max="12076" width="13.44140625" style="19" bestFit="1" customWidth="1"/>
    <col min="12077" max="12287" width="8.88671875" style="19"/>
    <col min="12288" max="12288" width="5.109375" style="19" customWidth="1"/>
    <col min="12289" max="12289" width="49.33203125" style="19" customWidth="1"/>
    <col min="12290" max="12321" width="15.77734375" style="19" customWidth="1"/>
    <col min="12322" max="12323" width="10.5546875" style="19" customWidth="1"/>
    <col min="12324" max="12324" width="11" style="19" customWidth="1"/>
    <col min="12325" max="12325" width="13.109375" style="19" bestFit="1" customWidth="1"/>
    <col min="12326" max="12326" width="27.21875" style="19" customWidth="1"/>
    <col min="12327" max="12327" width="14.44140625" style="19" bestFit="1" customWidth="1"/>
    <col min="12328" max="12328" width="11.77734375" style="19" bestFit="1" customWidth="1"/>
    <col min="12329" max="12331" width="8.88671875" style="19"/>
    <col min="12332" max="12332" width="13.44140625" style="19" bestFit="1" customWidth="1"/>
    <col min="12333" max="12543" width="8.88671875" style="19"/>
    <col min="12544" max="12544" width="5.109375" style="19" customWidth="1"/>
    <col min="12545" max="12545" width="49.33203125" style="19" customWidth="1"/>
    <col min="12546" max="12577" width="15.77734375" style="19" customWidth="1"/>
    <col min="12578" max="12579" width="10.5546875" style="19" customWidth="1"/>
    <col min="12580" max="12580" width="11" style="19" customWidth="1"/>
    <col min="12581" max="12581" width="13.109375" style="19" bestFit="1" customWidth="1"/>
    <col min="12582" max="12582" width="27.21875" style="19" customWidth="1"/>
    <col min="12583" max="12583" width="14.44140625" style="19" bestFit="1" customWidth="1"/>
    <col min="12584" max="12584" width="11.77734375" style="19" bestFit="1" customWidth="1"/>
    <col min="12585" max="12587" width="8.88671875" style="19"/>
    <col min="12588" max="12588" width="13.44140625" style="19" bestFit="1" customWidth="1"/>
    <col min="12589" max="12799" width="8.88671875" style="19"/>
    <col min="12800" max="12800" width="5.109375" style="19" customWidth="1"/>
    <col min="12801" max="12801" width="49.33203125" style="19" customWidth="1"/>
    <col min="12802" max="12833" width="15.77734375" style="19" customWidth="1"/>
    <col min="12834" max="12835" width="10.5546875" style="19" customWidth="1"/>
    <col min="12836" max="12836" width="11" style="19" customWidth="1"/>
    <col min="12837" max="12837" width="13.109375" style="19" bestFit="1" customWidth="1"/>
    <col min="12838" max="12838" width="27.21875" style="19" customWidth="1"/>
    <col min="12839" max="12839" width="14.44140625" style="19" bestFit="1" customWidth="1"/>
    <col min="12840" max="12840" width="11.77734375" style="19" bestFit="1" customWidth="1"/>
    <col min="12841" max="12843" width="8.88671875" style="19"/>
    <col min="12844" max="12844" width="13.44140625" style="19" bestFit="1" customWidth="1"/>
    <col min="12845" max="13055" width="8.88671875" style="19"/>
    <col min="13056" max="13056" width="5.109375" style="19" customWidth="1"/>
    <col min="13057" max="13057" width="49.33203125" style="19" customWidth="1"/>
    <col min="13058" max="13089" width="15.77734375" style="19" customWidth="1"/>
    <col min="13090" max="13091" width="10.5546875" style="19" customWidth="1"/>
    <col min="13092" max="13092" width="11" style="19" customWidth="1"/>
    <col min="13093" max="13093" width="13.109375" style="19" bestFit="1" customWidth="1"/>
    <col min="13094" max="13094" width="27.21875" style="19" customWidth="1"/>
    <col min="13095" max="13095" width="14.44140625" style="19" bestFit="1" customWidth="1"/>
    <col min="13096" max="13096" width="11.77734375" style="19" bestFit="1" customWidth="1"/>
    <col min="13097" max="13099" width="8.88671875" style="19"/>
    <col min="13100" max="13100" width="13.44140625" style="19" bestFit="1" customWidth="1"/>
    <col min="13101" max="13311" width="8.88671875" style="19"/>
    <col min="13312" max="13312" width="5.109375" style="19" customWidth="1"/>
    <col min="13313" max="13313" width="49.33203125" style="19" customWidth="1"/>
    <col min="13314" max="13345" width="15.77734375" style="19" customWidth="1"/>
    <col min="13346" max="13347" width="10.5546875" style="19" customWidth="1"/>
    <col min="13348" max="13348" width="11" style="19" customWidth="1"/>
    <col min="13349" max="13349" width="13.109375" style="19" bestFit="1" customWidth="1"/>
    <col min="13350" max="13350" width="27.21875" style="19" customWidth="1"/>
    <col min="13351" max="13351" width="14.44140625" style="19" bestFit="1" customWidth="1"/>
    <col min="13352" max="13352" width="11.77734375" style="19" bestFit="1" customWidth="1"/>
    <col min="13353" max="13355" width="8.88671875" style="19"/>
    <col min="13356" max="13356" width="13.44140625" style="19" bestFit="1" customWidth="1"/>
    <col min="13357" max="13567" width="8.88671875" style="19"/>
    <col min="13568" max="13568" width="5.109375" style="19" customWidth="1"/>
    <col min="13569" max="13569" width="49.33203125" style="19" customWidth="1"/>
    <col min="13570" max="13601" width="15.77734375" style="19" customWidth="1"/>
    <col min="13602" max="13603" width="10.5546875" style="19" customWidth="1"/>
    <col min="13604" max="13604" width="11" style="19" customWidth="1"/>
    <col min="13605" max="13605" width="13.109375" style="19" bestFit="1" customWidth="1"/>
    <col min="13606" max="13606" width="27.21875" style="19" customWidth="1"/>
    <col min="13607" max="13607" width="14.44140625" style="19" bestFit="1" customWidth="1"/>
    <col min="13608" max="13608" width="11.77734375" style="19" bestFit="1" customWidth="1"/>
    <col min="13609" max="13611" width="8.88671875" style="19"/>
    <col min="13612" max="13612" width="13.44140625" style="19" bestFit="1" customWidth="1"/>
    <col min="13613" max="13823" width="8.88671875" style="19"/>
    <col min="13824" max="13824" width="5.109375" style="19" customWidth="1"/>
    <col min="13825" max="13825" width="49.33203125" style="19" customWidth="1"/>
    <col min="13826" max="13857" width="15.77734375" style="19" customWidth="1"/>
    <col min="13858" max="13859" width="10.5546875" style="19" customWidth="1"/>
    <col min="13860" max="13860" width="11" style="19" customWidth="1"/>
    <col min="13861" max="13861" width="13.109375" style="19" bestFit="1" customWidth="1"/>
    <col min="13862" max="13862" width="27.21875" style="19" customWidth="1"/>
    <col min="13863" max="13863" width="14.44140625" style="19" bestFit="1" customWidth="1"/>
    <col min="13864" max="13864" width="11.77734375" style="19" bestFit="1" customWidth="1"/>
    <col min="13865" max="13867" width="8.88671875" style="19"/>
    <col min="13868" max="13868" width="13.44140625" style="19" bestFit="1" customWidth="1"/>
    <col min="13869" max="14079" width="8.88671875" style="19"/>
    <col min="14080" max="14080" width="5.109375" style="19" customWidth="1"/>
    <col min="14081" max="14081" width="49.33203125" style="19" customWidth="1"/>
    <col min="14082" max="14113" width="15.77734375" style="19" customWidth="1"/>
    <col min="14114" max="14115" width="10.5546875" style="19" customWidth="1"/>
    <col min="14116" max="14116" width="11" style="19" customWidth="1"/>
    <col min="14117" max="14117" width="13.109375" style="19" bestFit="1" customWidth="1"/>
    <col min="14118" max="14118" width="27.21875" style="19" customWidth="1"/>
    <col min="14119" max="14119" width="14.44140625" style="19" bestFit="1" customWidth="1"/>
    <col min="14120" max="14120" width="11.77734375" style="19" bestFit="1" customWidth="1"/>
    <col min="14121" max="14123" width="8.88671875" style="19"/>
    <col min="14124" max="14124" width="13.44140625" style="19" bestFit="1" customWidth="1"/>
    <col min="14125" max="14335" width="8.88671875" style="19"/>
    <col min="14336" max="14336" width="5.109375" style="19" customWidth="1"/>
    <col min="14337" max="14337" width="49.33203125" style="19" customWidth="1"/>
    <col min="14338" max="14369" width="15.77734375" style="19" customWidth="1"/>
    <col min="14370" max="14371" width="10.5546875" style="19" customWidth="1"/>
    <col min="14372" max="14372" width="11" style="19" customWidth="1"/>
    <col min="14373" max="14373" width="13.109375" style="19" bestFit="1" customWidth="1"/>
    <col min="14374" max="14374" width="27.21875" style="19" customWidth="1"/>
    <col min="14375" max="14375" width="14.44140625" style="19" bestFit="1" customWidth="1"/>
    <col min="14376" max="14376" width="11.77734375" style="19" bestFit="1" customWidth="1"/>
    <col min="14377" max="14379" width="8.88671875" style="19"/>
    <col min="14380" max="14380" width="13.44140625" style="19" bestFit="1" customWidth="1"/>
    <col min="14381" max="14591" width="8.88671875" style="19"/>
    <col min="14592" max="14592" width="5.109375" style="19" customWidth="1"/>
    <col min="14593" max="14593" width="49.33203125" style="19" customWidth="1"/>
    <col min="14594" max="14625" width="15.77734375" style="19" customWidth="1"/>
    <col min="14626" max="14627" width="10.5546875" style="19" customWidth="1"/>
    <col min="14628" max="14628" width="11" style="19" customWidth="1"/>
    <col min="14629" max="14629" width="13.109375" style="19" bestFit="1" customWidth="1"/>
    <col min="14630" max="14630" width="27.21875" style="19" customWidth="1"/>
    <col min="14631" max="14631" width="14.44140625" style="19" bestFit="1" customWidth="1"/>
    <col min="14632" max="14632" width="11.77734375" style="19" bestFit="1" customWidth="1"/>
    <col min="14633" max="14635" width="8.88671875" style="19"/>
    <col min="14636" max="14636" width="13.44140625" style="19" bestFit="1" customWidth="1"/>
    <col min="14637" max="14847" width="8.88671875" style="19"/>
    <col min="14848" max="14848" width="5.109375" style="19" customWidth="1"/>
    <col min="14849" max="14849" width="49.33203125" style="19" customWidth="1"/>
    <col min="14850" max="14881" width="15.77734375" style="19" customWidth="1"/>
    <col min="14882" max="14883" width="10.5546875" style="19" customWidth="1"/>
    <col min="14884" max="14884" width="11" style="19" customWidth="1"/>
    <col min="14885" max="14885" width="13.109375" style="19" bestFit="1" customWidth="1"/>
    <col min="14886" max="14886" width="27.21875" style="19" customWidth="1"/>
    <col min="14887" max="14887" width="14.44140625" style="19" bestFit="1" customWidth="1"/>
    <col min="14888" max="14888" width="11.77734375" style="19" bestFit="1" customWidth="1"/>
    <col min="14889" max="14891" width="8.88671875" style="19"/>
    <col min="14892" max="14892" width="13.44140625" style="19" bestFit="1" customWidth="1"/>
    <col min="14893" max="15103" width="8.88671875" style="19"/>
    <col min="15104" max="15104" width="5.109375" style="19" customWidth="1"/>
    <col min="15105" max="15105" width="49.33203125" style="19" customWidth="1"/>
    <col min="15106" max="15137" width="15.77734375" style="19" customWidth="1"/>
    <col min="15138" max="15139" width="10.5546875" style="19" customWidth="1"/>
    <col min="15140" max="15140" width="11" style="19" customWidth="1"/>
    <col min="15141" max="15141" width="13.109375" style="19" bestFit="1" customWidth="1"/>
    <col min="15142" max="15142" width="27.21875" style="19" customWidth="1"/>
    <col min="15143" max="15143" width="14.44140625" style="19" bestFit="1" customWidth="1"/>
    <col min="15144" max="15144" width="11.77734375" style="19" bestFit="1" customWidth="1"/>
    <col min="15145" max="15147" width="8.88671875" style="19"/>
    <col min="15148" max="15148" width="13.44140625" style="19" bestFit="1" customWidth="1"/>
    <col min="15149" max="15359" width="8.88671875" style="19"/>
    <col min="15360" max="15360" width="5.109375" style="19" customWidth="1"/>
    <col min="15361" max="15361" width="49.33203125" style="19" customWidth="1"/>
    <col min="15362" max="15393" width="15.77734375" style="19" customWidth="1"/>
    <col min="15394" max="15395" width="10.5546875" style="19" customWidth="1"/>
    <col min="15396" max="15396" width="11" style="19" customWidth="1"/>
    <col min="15397" max="15397" width="13.109375" style="19" bestFit="1" customWidth="1"/>
    <col min="15398" max="15398" width="27.21875" style="19" customWidth="1"/>
    <col min="15399" max="15399" width="14.44140625" style="19" bestFit="1" customWidth="1"/>
    <col min="15400" max="15400" width="11.77734375" style="19" bestFit="1" customWidth="1"/>
    <col min="15401" max="15403" width="8.88671875" style="19"/>
    <col min="15404" max="15404" width="13.44140625" style="19" bestFit="1" customWidth="1"/>
    <col min="15405" max="15615" width="8.88671875" style="19"/>
    <col min="15616" max="15616" width="5.109375" style="19" customWidth="1"/>
    <col min="15617" max="15617" width="49.33203125" style="19" customWidth="1"/>
    <col min="15618" max="15649" width="15.77734375" style="19" customWidth="1"/>
    <col min="15650" max="15651" width="10.5546875" style="19" customWidth="1"/>
    <col min="15652" max="15652" width="11" style="19" customWidth="1"/>
    <col min="15653" max="15653" width="13.109375" style="19" bestFit="1" customWidth="1"/>
    <col min="15654" max="15654" width="27.21875" style="19" customWidth="1"/>
    <col min="15655" max="15655" width="14.44140625" style="19" bestFit="1" customWidth="1"/>
    <col min="15656" max="15656" width="11.77734375" style="19" bestFit="1" customWidth="1"/>
    <col min="15657" max="15659" width="8.88671875" style="19"/>
    <col min="15660" max="15660" width="13.44140625" style="19" bestFit="1" customWidth="1"/>
    <col min="15661" max="15871" width="8.88671875" style="19"/>
    <col min="15872" max="15872" width="5.109375" style="19" customWidth="1"/>
    <col min="15873" max="15873" width="49.33203125" style="19" customWidth="1"/>
    <col min="15874" max="15905" width="15.77734375" style="19" customWidth="1"/>
    <col min="15906" max="15907" width="10.5546875" style="19" customWidth="1"/>
    <col min="15908" max="15908" width="11" style="19" customWidth="1"/>
    <col min="15909" max="15909" width="13.109375" style="19" bestFit="1" customWidth="1"/>
    <col min="15910" max="15910" width="27.21875" style="19" customWidth="1"/>
    <col min="15911" max="15911" width="14.44140625" style="19" bestFit="1" customWidth="1"/>
    <col min="15912" max="15912" width="11.77734375" style="19" bestFit="1" customWidth="1"/>
    <col min="15913" max="15915" width="8.88671875" style="19"/>
    <col min="15916" max="15916" width="13.44140625" style="19" bestFit="1" customWidth="1"/>
    <col min="15917" max="16127" width="8.88671875" style="19"/>
    <col min="16128" max="16128" width="5.109375" style="19" customWidth="1"/>
    <col min="16129" max="16129" width="49.33203125" style="19" customWidth="1"/>
    <col min="16130" max="16161" width="15.77734375" style="19" customWidth="1"/>
    <col min="16162" max="16163" width="10.5546875" style="19" customWidth="1"/>
    <col min="16164" max="16164" width="11" style="19" customWidth="1"/>
    <col min="16165" max="16165" width="13.109375" style="19" bestFit="1" customWidth="1"/>
    <col min="16166" max="16166" width="27.21875" style="19" customWidth="1"/>
    <col min="16167" max="16167" width="14.44140625" style="19" bestFit="1" customWidth="1"/>
    <col min="16168" max="16168" width="11.77734375" style="19" bestFit="1" customWidth="1"/>
    <col min="16169" max="16171" width="8.88671875" style="19"/>
    <col min="16172" max="16172" width="13.44140625" style="19" bestFit="1" customWidth="1"/>
    <col min="16173" max="16384" width="8.88671875" style="19"/>
  </cols>
  <sheetData>
    <row r="1" spans="1:40" ht="15.75" customHeight="1" x14ac:dyDescent="0.2">
      <c r="A1" s="115" t="s">
        <v>62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</row>
    <row r="2" spans="1:40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</row>
    <row r="3" spans="1:40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2" t="s">
        <v>18</v>
      </c>
      <c r="AH3" s="20"/>
      <c r="AI3" s="20"/>
      <c r="AJ3" s="21"/>
      <c r="AK3" s="22"/>
      <c r="AL3" s="23" t="s">
        <v>0</v>
      </c>
      <c r="AM3" s="24"/>
      <c r="AN3" s="24"/>
    </row>
    <row r="4" spans="1:40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122"/>
      <c r="AH4" s="27"/>
      <c r="AI4" s="27"/>
      <c r="AJ4" s="14"/>
      <c r="AK4" s="28"/>
      <c r="AL4" s="23" t="s">
        <v>19</v>
      </c>
      <c r="AM4" s="29"/>
      <c r="AN4" s="30"/>
    </row>
    <row r="5" spans="1:40" s="25" customFormat="1" ht="18" customHeight="1" x14ac:dyDescent="0.2">
      <c r="A5" s="31">
        <v>1</v>
      </c>
      <c r="B5" s="32" t="s">
        <v>2</v>
      </c>
      <c r="C5" s="32">
        <v>6916000</v>
      </c>
      <c r="D5" s="32">
        <v>5984000</v>
      </c>
      <c r="E5" s="32">
        <v>5084000</v>
      </c>
      <c r="F5" s="34">
        <v>4480000</v>
      </c>
      <c r="G5" s="34">
        <v>18852000</v>
      </c>
      <c r="H5" s="34">
        <v>27172000</v>
      </c>
      <c r="I5" s="33"/>
      <c r="J5" s="32">
        <v>4272000</v>
      </c>
      <c r="K5" s="32">
        <v>4448000</v>
      </c>
      <c r="L5" s="32">
        <v>4304000</v>
      </c>
      <c r="M5" s="32">
        <v>4532000</v>
      </c>
      <c r="N5" s="32">
        <v>19980000</v>
      </c>
      <c r="O5" s="32">
        <v>24976000</v>
      </c>
      <c r="P5" s="33"/>
      <c r="Q5" s="32">
        <v>4332000</v>
      </c>
      <c r="R5" s="32">
        <v>4288000</v>
      </c>
      <c r="S5" s="32">
        <v>4440000</v>
      </c>
      <c r="T5" s="32">
        <v>4300000</v>
      </c>
      <c r="U5" s="32">
        <v>20272000</v>
      </c>
      <c r="V5" s="32">
        <v>21736000</v>
      </c>
      <c r="W5" s="33"/>
      <c r="X5" s="32">
        <v>4500000</v>
      </c>
      <c r="Y5" s="32">
        <v>4684000</v>
      </c>
      <c r="Z5" s="32">
        <v>3696000</v>
      </c>
      <c r="AA5" s="32">
        <v>4712000</v>
      </c>
      <c r="AB5" s="32">
        <v>17140000</v>
      </c>
      <c r="AC5" s="32">
        <v>24448000</v>
      </c>
      <c r="AD5" s="33"/>
      <c r="AE5" s="32">
        <v>5032000</v>
      </c>
      <c r="AF5" s="32">
        <v>4560000</v>
      </c>
      <c r="AG5" s="35">
        <f t="shared" ref="AG5:AG22" si="0">SUM(C5:AF5)</f>
        <v>259140000</v>
      </c>
      <c r="AH5" s="107">
        <f>AG5/4000</f>
        <v>64785</v>
      </c>
      <c r="AI5" s="109">
        <v>273100000</v>
      </c>
      <c r="AJ5" s="111">
        <f>AG5+AI5</f>
        <v>532240000</v>
      </c>
      <c r="AK5" s="38"/>
      <c r="AL5" s="3" t="s">
        <v>2</v>
      </c>
      <c r="AM5" s="39">
        <f t="shared" ref="AM5:AM23" si="1">AG5</f>
        <v>259140000</v>
      </c>
      <c r="AN5" s="30"/>
    </row>
    <row r="6" spans="1:40" s="25" customFormat="1" ht="18" customHeight="1" x14ac:dyDescent="0.2">
      <c r="A6" s="40">
        <v>2</v>
      </c>
      <c r="B6" s="41" t="s">
        <v>3</v>
      </c>
      <c r="C6" s="41">
        <v>906000</v>
      </c>
      <c r="D6" s="41">
        <v>789000</v>
      </c>
      <c r="E6" s="41">
        <v>720000</v>
      </c>
      <c r="F6" s="41">
        <v>552000</v>
      </c>
      <c r="G6" s="41">
        <v>3258000</v>
      </c>
      <c r="H6" s="41">
        <v>5280000</v>
      </c>
      <c r="I6" s="42"/>
      <c r="J6" s="41">
        <v>693000</v>
      </c>
      <c r="K6" s="41">
        <v>690000</v>
      </c>
      <c r="L6" s="41">
        <v>570000</v>
      </c>
      <c r="M6" s="41">
        <v>660000</v>
      </c>
      <c r="N6" s="41">
        <v>3516000</v>
      </c>
      <c r="O6" s="41">
        <v>4992000</v>
      </c>
      <c r="P6" s="42"/>
      <c r="Q6" s="41">
        <v>561000</v>
      </c>
      <c r="R6" s="41">
        <v>453000</v>
      </c>
      <c r="S6" s="41">
        <v>558000</v>
      </c>
      <c r="T6" s="41">
        <v>549000</v>
      </c>
      <c r="U6" s="41">
        <v>3474000</v>
      </c>
      <c r="V6" s="41">
        <v>3885000</v>
      </c>
      <c r="W6" s="42"/>
      <c r="X6" s="41">
        <v>591000</v>
      </c>
      <c r="Y6" s="41">
        <v>684000</v>
      </c>
      <c r="Z6" s="41">
        <v>444000</v>
      </c>
      <c r="AA6" s="41">
        <v>585000</v>
      </c>
      <c r="AB6" s="41">
        <v>3198000</v>
      </c>
      <c r="AC6" s="41">
        <v>4788000</v>
      </c>
      <c r="AD6" s="42"/>
      <c r="AE6" s="41">
        <v>822000</v>
      </c>
      <c r="AF6" s="41">
        <v>687000</v>
      </c>
      <c r="AG6" s="84">
        <f t="shared" si="0"/>
        <v>43905000</v>
      </c>
      <c r="AH6" s="107">
        <f>AG6/3000</f>
        <v>14635</v>
      </c>
      <c r="AI6" s="109">
        <v>30489000</v>
      </c>
      <c r="AJ6" s="111">
        <f t="shared" ref="AJ6:AJ22" si="2">AG6+AI6</f>
        <v>74394000</v>
      </c>
      <c r="AK6" s="38"/>
      <c r="AL6" s="3" t="s">
        <v>3</v>
      </c>
      <c r="AM6" s="39">
        <f t="shared" si="1"/>
        <v>43905000</v>
      </c>
      <c r="AN6" s="30"/>
    </row>
    <row r="7" spans="1:40" s="25" customFormat="1" ht="18" customHeight="1" x14ac:dyDescent="0.2">
      <c r="A7" s="40">
        <v>3</v>
      </c>
      <c r="B7" s="41" t="s">
        <v>4</v>
      </c>
      <c r="C7" s="41"/>
      <c r="D7" s="41"/>
      <c r="E7" s="41"/>
      <c r="F7" s="41"/>
      <c r="G7" s="41"/>
      <c r="H7" s="41"/>
      <c r="I7" s="42"/>
      <c r="J7" s="41"/>
      <c r="K7" s="41"/>
      <c r="L7" s="41"/>
      <c r="M7" s="41"/>
      <c r="N7" s="41"/>
      <c r="O7" s="41"/>
      <c r="P7" s="42"/>
      <c r="Q7" s="41"/>
      <c r="R7" s="41"/>
      <c r="S7" s="41"/>
      <c r="T7" s="41"/>
      <c r="U7" s="41"/>
      <c r="V7" s="41"/>
      <c r="W7" s="42"/>
      <c r="X7" s="41"/>
      <c r="Y7" s="41"/>
      <c r="Z7" s="41"/>
      <c r="AA7" s="41"/>
      <c r="AB7" s="41"/>
      <c r="AC7" s="41"/>
      <c r="AD7" s="42"/>
      <c r="AE7" s="41"/>
      <c r="AF7" s="41"/>
      <c r="AG7" s="84">
        <f t="shared" si="0"/>
        <v>0</v>
      </c>
      <c r="AH7" s="107">
        <f>AG7/3000</f>
        <v>0</v>
      </c>
      <c r="AI7" s="109"/>
      <c r="AJ7" s="111">
        <f t="shared" si="2"/>
        <v>0</v>
      </c>
      <c r="AK7" s="38"/>
      <c r="AL7" s="3" t="s">
        <v>4</v>
      </c>
      <c r="AM7" s="39">
        <f t="shared" si="1"/>
        <v>0</v>
      </c>
      <c r="AN7" s="30"/>
    </row>
    <row r="8" spans="1:40" s="25" customFormat="1" ht="18" customHeight="1" x14ac:dyDescent="0.2">
      <c r="A8" s="40">
        <v>4</v>
      </c>
      <c r="B8" s="41" t="s">
        <v>5</v>
      </c>
      <c r="C8" s="41"/>
      <c r="D8" s="41"/>
      <c r="E8" s="41"/>
      <c r="F8" s="41"/>
      <c r="G8" s="41"/>
      <c r="H8" s="41"/>
      <c r="I8" s="42"/>
      <c r="J8" s="41"/>
      <c r="K8" s="41"/>
      <c r="L8" s="41"/>
      <c r="M8" s="41"/>
      <c r="N8" s="41"/>
      <c r="O8" s="41"/>
      <c r="P8" s="42"/>
      <c r="Q8" s="41"/>
      <c r="R8" s="41"/>
      <c r="S8" s="41"/>
      <c r="T8" s="41"/>
      <c r="U8" s="41"/>
      <c r="V8" s="41"/>
      <c r="W8" s="42"/>
      <c r="X8" s="41"/>
      <c r="Y8" s="41"/>
      <c r="Z8" s="41"/>
      <c r="AA8" s="41"/>
      <c r="AB8" s="41"/>
      <c r="AC8" s="41"/>
      <c r="AD8" s="42"/>
      <c r="AE8" s="41"/>
      <c r="AF8" s="41"/>
      <c r="AG8" s="84">
        <f t="shared" si="0"/>
        <v>0</v>
      </c>
      <c r="AH8" s="107">
        <f>AG8/2250</f>
        <v>0</v>
      </c>
      <c r="AI8" s="109"/>
      <c r="AJ8" s="111">
        <f t="shared" si="2"/>
        <v>0</v>
      </c>
      <c r="AK8" s="38"/>
      <c r="AL8" s="3" t="s">
        <v>5</v>
      </c>
      <c r="AM8" s="39">
        <f t="shared" si="1"/>
        <v>0</v>
      </c>
      <c r="AN8" s="30"/>
    </row>
    <row r="9" spans="1:40" s="25" customFormat="1" ht="18" customHeight="1" x14ac:dyDescent="0.2">
      <c r="A9" s="40">
        <v>5</v>
      </c>
      <c r="B9" s="43" t="s">
        <v>20</v>
      </c>
      <c r="C9" s="41">
        <v>40000</v>
      </c>
      <c r="D9" s="41">
        <v>97500</v>
      </c>
      <c r="E9" s="41">
        <v>87500</v>
      </c>
      <c r="F9" s="41">
        <v>32500</v>
      </c>
      <c r="G9" s="41">
        <v>420000</v>
      </c>
      <c r="H9" s="41">
        <v>822500</v>
      </c>
      <c r="I9" s="42"/>
      <c r="J9" s="41">
        <v>15000</v>
      </c>
      <c r="K9" s="41">
        <v>50000</v>
      </c>
      <c r="L9" s="41">
        <v>5000</v>
      </c>
      <c r="M9" s="41">
        <v>7500</v>
      </c>
      <c r="N9" s="41">
        <v>610000</v>
      </c>
      <c r="O9" s="41">
        <v>822500</v>
      </c>
      <c r="P9" s="42"/>
      <c r="Q9" s="41">
        <v>15000</v>
      </c>
      <c r="R9" s="41">
        <v>42500</v>
      </c>
      <c r="S9" s="41">
        <v>15000</v>
      </c>
      <c r="T9" s="41">
        <v>92500</v>
      </c>
      <c r="U9" s="41">
        <v>560000</v>
      </c>
      <c r="V9" s="41">
        <v>695000</v>
      </c>
      <c r="W9" s="42"/>
      <c r="X9" s="41">
        <v>12500</v>
      </c>
      <c r="Y9" s="41">
        <v>12500</v>
      </c>
      <c r="Z9" s="41">
        <v>2500</v>
      </c>
      <c r="AA9" s="41">
        <v>7500</v>
      </c>
      <c r="AB9" s="41">
        <v>507500</v>
      </c>
      <c r="AC9" s="41">
        <v>735000</v>
      </c>
      <c r="AD9" s="42"/>
      <c r="AE9" s="41">
        <v>47500</v>
      </c>
      <c r="AF9" s="41">
        <v>15000</v>
      </c>
      <c r="AG9" s="84">
        <f t="shared" si="0"/>
        <v>5770000</v>
      </c>
      <c r="AH9" s="107">
        <f>AG9/2500</f>
        <v>2308</v>
      </c>
      <c r="AI9" s="109">
        <v>20592500</v>
      </c>
      <c r="AJ9" s="111">
        <f t="shared" si="2"/>
        <v>26362500</v>
      </c>
      <c r="AK9" s="38"/>
      <c r="AL9" s="3"/>
      <c r="AM9" s="39"/>
      <c r="AN9" s="30"/>
    </row>
    <row r="10" spans="1:40" s="25" customFormat="1" ht="18" customHeight="1" x14ac:dyDescent="0.2">
      <c r="A10" s="40">
        <v>6</v>
      </c>
      <c r="B10" s="44" t="s">
        <v>21</v>
      </c>
      <c r="C10" s="44">
        <v>366000</v>
      </c>
      <c r="D10" s="44">
        <v>264000</v>
      </c>
      <c r="E10" s="44">
        <v>510000</v>
      </c>
      <c r="F10" s="44">
        <v>132000</v>
      </c>
      <c r="G10" s="44"/>
      <c r="H10" s="44"/>
      <c r="I10" s="42"/>
      <c r="J10" s="44">
        <v>168000</v>
      </c>
      <c r="K10" s="44">
        <v>174000</v>
      </c>
      <c r="L10" s="44">
        <v>312000</v>
      </c>
      <c r="M10" s="44">
        <v>192000</v>
      </c>
      <c r="N10" s="44"/>
      <c r="O10" s="44"/>
      <c r="P10" s="42"/>
      <c r="Q10" s="44">
        <v>174000</v>
      </c>
      <c r="R10" s="44">
        <v>204000</v>
      </c>
      <c r="S10" s="44">
        <v>186000</v>
      </c>
      <c r="T10" s="44">
        <v>114000</v>
      </c>
      <c r="U10" s="44"/>
      <c r="V10" s="44"/>
      <c r="W10" s="42"/>
      <c r="X10" s="44">
        <v>198000</v>
      </c>
      <c r="Y10" s="44">
        <v>150000</v>
      </c>
      <c r="Z10" s="44">
        <v>126000</v>
      </c>
      <c r="AA10" s="44">
        <v>186000</v>
      </c>
      <c r="AB10" s="44"/>
      <c r="AC10" s="44"/>
      <c r="AD10" s="42"/>
      <c r="AE10" s="44">
        <v>312000</v>
      </c>
      <c r="AF10" s="44">
        <v>270000</v>
      </c>
      <c r="AG10" s="84">
        <f t="shared" si="0"/>
        <v>4038000</v>
      </c>
      <c r="AH10" s="107">
        <f>AG10/6000</f>
        <v>673</v>
      </c>
      <c r="AI10" s="109">
        <v>27930000</v>
      </c>
      <c r="AJ10" s="111">
        <f t="shared" si="2"/>
        <v>31968000</v>
      </c>
      <c r="AK10" s="38"/>
      <c r="AL10" s="3" t="s">
        <v>10</v>
      </c>
      <c r="AM10" s="39">
        <f t="shared" si="1"/>
        <v>4038000</v>
      </c>
      <c r="AN10" s="30"/>
    </row>
    <row r="11" spans="1:40" s="50" customFormat="1" ht="18" customHeight="1" x14ac:dyDescent="0.2">
      <c r="A11" s="40">
        <v>7</v>
      </c>
      <c r="B11" s="44" t="s">
        <v>22</v>
      </c>
      <c r="C11" s="44">
        <v>96000</v>
      </c>
      <c r="D11" s="44">
        <v>30000</v>
      </c>
      <c r="E11" s="44">
        <v>84000</v>
      </c>
      <c r="F11" s="46">
        <v>48000</v>
      </c>
      <c r="G11" s="46"/>
      <c r="H11" s="46"/>
      <c r="I11" s="42"/>
      <c r="J11" s="44">
        <v>18000</v>
      </c>
      <c r="K11" s="44">
        <v>132000</v>
      </c>
      <c r="L11" s="44">
        <v>54000</v>
      </c>
      <c r="M11" s="44">
        <v>54000</v>
      </c>
      <c r="N11" s="44"/>
      <c r="O11" s="44"/>
      <c r="P11" s="42"/>
      <c r="Q11" s="44">
        <v>48000</v>
      </c>
      <c r="R11" s="44">
        <v>48000</v>
      </c>
      <c r="S11" s="44">
        <v>36000</v>
      </c>
      <c r="T11" s="44">
        <v>36000</v>
      </c>
      <c r="U11" s="44"/>
      <c r="V11" s="44"/>
      <c r="W11" s="42"/>
      <c r="X11" s="44">
        <v>78000</v>
      </c>
      <c r="Y11" s="44">
        <v>24000</v>
      </c>
      <c r="Z11" s="44">
        <v>54000</v>
      </c>
      <c r="AA11" s="44">
        <v>18000</v>
      </c>
      <c r="AB11" s="44"/>
      <c r="AC11" s="44"/>
      <c r="AD11" s="42"/>
      <c r="AE11" s="44">
        <v>126000</v>
      </c>
      <c r="AF11" s="44">
        <v>108000</v>
      </c>
      <c r="AG11" s="84">
        <f t="shared" si="0"/>
        <v>1092000</v>
      </c>
      <c r="AH11" s="107">
        <f>AG11/6000</f>
        <v>182</v>
      </c>
      <c r="AI11" s="109">
        <v>4200000</v>
      </c>
      <c r="AJ11" s="111">
        <f t="shared" si="2"/>
        <v>5292000</v>
      </c>
      <c r="AK11" s="47"/>
      <c r="AL11" s="48" t="s">
        <v>23</v>
      </c>
      <c r="AM11" s="39">
        <f t="shared" si="1"/>
        <v>1092000</v>
      </c>
      <c r="AN11" s="49"/>
    </row>
    <row r="12" spans="1:40" s="50" customFormat="1" ht="18" customHeight="1" x14ac:dyDescent="0.2">
      <c r="A12" s="40">
        <v>8</v>
      </c>
      <c r="B12" s="44" t="s">
        <v>24</v>
      </c>
      <c r="C12" s="44"/>
      <c r="D12" s="44"/>
      <c r="E12" s="44"/>
      <c r="F12" s="44"/>
      <c r="G12" s="44"/>
      <c r="H12" s="44"/>
      <c r="I12" s="42"/>
      <c r="J12" s="44"/>
      <c r="K12" s="44"/>
      <c r="L12" s="44"/>
      <c r="M12" s="44"/>
      <c r="N12" s="44"/>
      <c r="O12" s="44"/>
      <c r="P12" s="42"/>
      <c r="Q12" s="44"/>
      <c r="R12" s="44"/>
      <c r="S12" s="44"/>
      <c r="T12" s="44"/>
      <c r="U12" s="44"/>
      <c r="V12" s="44"/>
      <c r="W12" s="42"/>
      <c r="X12" s="44"/>
      <c r="Y12" s="44"/>
      <c r="Z12" s="44"/>
      <c r="AA12" s="44"/>
      <c r="AB12" s="44"/>
      <c r="AC12" s="44"/>
      <c r="AD12" s="42"/>
      <c r="AE12" s="44"/>
      <c r="AF12" s="44"/>
      <c r="AG12" s="84">
        <f t="shared" si="0"/>
        <v>0</v>
      </c>
      <c r="AH12" s="107">
        <f>AG12/4500</f>
        <v>0</v>
      </c>
      <c r="AI12" s="109"/>
      <c r="AJ12" s="111">
        <f t="shared" si="2"/>
        <v>0</v>
      </c>
      <c r="AK12" s="47"/>
      <c r="AL12" s="48" t="s">
        <v>25</v>
      </c>
      <c r="AM12" s="39">
        <f t="shared" si="1"/>
        <v>0</v>
      </c>
      <c r="AN12" s="49"/>
    </row>
    <row r="13" spans="1:40" s="50" customFormat="1" ht="18" customHeight="1" x14ac:dyDescent="0.2">
      <c r="A13" s="40">
        <v>9</v>
      </c>
      <c r="B13" s="44" t="s">
        <v>26</v>
      </c>
      <c r="C13" s="44"/>
      <c r="D13" s="44"/>
      <c r="E13" s="44"/>
      <c r="F13" s="44"/>
      <c r="G13" s="44"/>
      <c r="H13" s="44"/>
      <c r="I13" s="42"/>
      <c r="J13" s="44"/>
      <c r="K13" s="44"/>
      <c r="L13" s="44"/>
      <c r="M13" s="44"/>
      <c r="N13" s="44"/>
      <c r="O13" s="44"/>
      <c r="P13" s="42"/>
      <c r="Q13" s="44"/>
      <c r="R13" s="44"/>
      <c r="S13" s="44"/>
      <c r="T13" s="44"/>
      <c r="U13" s="44"/>
      <c r="V13" s="44"/>
      <c r="W13" s="42"/>
      <c r="X13" s="44"/>
      <c r="Y13" s="44"/>
      <c r="Z13" s="44"/>
      <c r="AA13" s="44"/>
      <c r="AB13" s="44"/>
      <c r="AC13" s="44"/>
      <c r="AD13" s="42"/>
      <c r="AE13" s="44"/>
      <c r="AF13" s="44"/>
      <c r="AG13" s="84">
        <f t="shared" si="0"/>
        <v>0</v>
      </c>
      <c r="AH13" s="107">
        <f>AG13/4500</f>
        <v>0</v>
      </c>
      <c r="AI13" s="109"/>
      <c r="AJ13" s="111">
        <f t="shared" si="2"/>
        <v>0</v>
      </c>
      <c r="AK13" s="47"/>
      <c r="AL13" s="48" t="s">
        <v>27</v>
      </c>
      <c r="AM13" s="39">
        <f t="shared" si="1"/>
        <v>0</v>
      </c>
      <c r="AN13" s="49"/>
    </row>
    <row r="14" spans="1:40" s="50" customFormat="1" ht="18" customHeight="1" x14ac:dyDescent="0.2">
      <c r="A14" s="40">
        <v>10</v>
      </c>
      <c r="B14" s="52" t="s">
        <v>28</v>
      </c>
      <c r="C14" s="52"/>
      <c r="D14" s="52"/>
      <c r="E14" s="52"/>
      <c r="F14" s="52"/>
      <c r="G14" s="52">
        <v>6885000</v>
      </c>
      <c r="H14" s="52">
        <v>11130000</v>
      </c>
      <c r="I14" s="42"/>
      <c r="J14" s="52"/>
      <c r="K14" s="52"/>
      <c r="L14" s="52"/>
      <c r="M14" s="52"/>
      <c r="N14" s="52">
        <v>5887500</v>
      </c>
      <c r="O14" s="52">
        <v>9292500</v>
      </c>
      <c r="P14" s="42"/>
      <c r="Q14" s="52"/>
      <c r="R14" s="52"/>
      <c r="S14" s="52"/>
      <c r="T14" s="52"/>
      <c r="U14" s="52">
        <v>6405000</v>
      </c>
      <c r="V14" s="52">
        <v>8460000</v>
      </c>
      <c r="W14" s="42"/>
      <c r="X14" s="52"/>
      <c r="Y14" s="52"/>
      <c r="Z14" s="52"/>
      <c r="AA14" s="52"/>
      <c r="AB14" s="52">
        <v>6045000</v>
      </c>
      <c r="AC14" s="52">
        <v>8947500</v>
      </c>
      <c r="AD14" s="42"/>
      <c r="AE14" s="52"/>
      <c r="AF14" s="52"/>
      <c r="AG14" s="84">
        <f t="shared" si="0"/>
        <v>63052500</v>
      </c>
      <c r="AH14" s="107">
        <f>AG14/7500</f>
        <v>8407</v>
      </c>
      <c r="AI14" s="109">
        <v>99472500</v>
      </c>
      <c r="AJ14" s="111">
        <f t="shared" si="2"/>
        <v>162525000</v>
      </c>
      <c r="AK14" s="47"/>
      <c r="AL14" s="48" t="s">
        <v>29</v>
      </c>
      <c r="AM14" s="39">
        <f t="shared" si="1"/>
        <v>63052500</v>
      </c>
      <c r="AN14" s="49"/>
    </row>
    <row r="15" spans="1:40" s="11" customFormat="1" ht="18" customHeight="1" x14ac:dyDescent="0.2">
      <c r="A15" s="40">
        <v>11</v>
      </c>
      <c r="B15" s="52" t="s">
        <v>30</v>
      </c>
      <c r="C15" s="52"/>
      <c r="D15" s="52"/>
      <c r="E15" s="52"/>
      <c r="F15" s="52"/>
      <c r="G15" s="52">
        <v>4492500</v>
      </c>
      <c r="H15" s="52">
        <v>7987500</v>
      </c>
      <c r="I15" s="42"/>
      <c r="J15" s="52"/>
      <c r="K15" s="52"/>
      <c r="L15" s="52"/>
      <c r="M15" s="52"/>
      <c r="N15" s="52">
        <v>3667500</v>
      </c>
      <c r="O15" s="52">
        <v>7155000</v>
      </c>
      <c r="P15" s="42"/>
      <c r="Q15" s="52"/>
      <c r="R15" s="52"/>
      <c r="S15" s="52"/>
      <c r="T15" s="52"/>
      <c r="U15" s="52">
        <v>4042500</v>
      </c>
      <c r="V15" s="52">
        <v>6502500</v>
      </c>
      <c r="W15" s="42"/>
      <c r="X15" s="52"/>
      <c r="Y15" s="52"/>
      <c r="Z15" s="52"/>
      <c r="AA15" s="52"/>
      <c r="AB15" s="52">
        <v>3622500</v>
      </c>
      <c r="AC15" s="52">
        <v>6442500</v>
      </c>
      <c r="AD15" s="42"/>
      <c r="AE15" s="52"/>
      <c r="AF15" s="52"/>
      <c r="AG15" s="84">
        <f t="shared" si="0"/>
        <v>43912500</v>
      </c>
      <c r="AH15" s="107">
        <f>AG15/7500</f>
        <v>5855</v>
      </c>
      <c r="AI15" s="109">
        <v>17955000</v>
      </c>
      <c r="AJ15" s="111">
        <f t="shared" si="2"/>
        <v>61867500</v>
      </c>
      <c r="AK15" s="38"/>
      <c r="AL15" s="54" t="s">
        <v>21</v>
      </c>
      <c r="AM15" s="39">
        <f t="shared" si="1"/>
        <v>43912500</v>
      </c>
      <c r="AN15" s="29"/>
    </row>
    <row r="16" spans="1:40" s="11" customFormat="1" ht="18" customHeight="1" x14ac:dyDescent="0.2">
      <c r="A16" s="40">
        <v>12</v>
      </c>
      <c r="B16" s="55" t="s">
        <v>31</v>
      </c>
      <c r="C16" s="52"/>
      <c r="D16" s="52"/>
      <c r="E16" s="52"/>
      <c r="F16" s="52"/>
      <c r="G16" s="52"/>
      <c r="H16" s="52"/>
      <c r="I16" s="42"/>
      <c r="J16" s="52"/>
      <c r="K16" s="52"/>
      <c r="L16" s="52"/>
      <c r="M16" s="52"/>
      <c r="N16" s="52"/>
      <c r="O16" s="52"/>
      <c r="P16" s="42"/>
      <c r="Q16" s="52"/>
      <c r="R16" s="52"/>
      <c r="S16" s="52"/>
      <c r="T16" s="52"/>
      <c r="U16" s="52"/>
      <c r="V16" s="52" t="s">
        <v>54</v>
      </c>
      <c r="W16" s="42"/>
      <c r="X16" s="52"/>
      <c r="Y16" s="52"/>
      <c r="Z16" s="52"/>
      <c r="AA16" s="52"/>
      <c r="AB16" s="52"/>
      <c r="AC16" s="52"/>
      <c r="AD16" s="42"/>
      <c r="AE16" s="52"/>
      <c r="AF16" s="52"/>
      <c r="AG16" s="84">
        <f t="shared" si="0"/>
        <v>0</v>
      </c>
      <c r="AH16" s="107">
        <f>AG16/5625</f>
        <v>0</v>
      </c>
      <c r="AI16" s="109"/>
      <c r="AJ16" s="111">
        <f t="shared" si="2"/>
        <v>0</v>
      </c>
      <c r="AK16" s="38"/>
      <c r="AL16" s="54" t="s">
        <v>22</v>
      </c>
      <c r="AM16" s="39">
        <f t="shared" si="1"/>
        <v>0</v>
      </c>
      <c r="AN16" s="29"/>
    </row>
    <row r="17" spans="1:40" s="11" customFormat="1" ht="18" customHeight="1" x14ac:dyDescent="0.2">
      <c r="A17" s="40">
        <v>13</v>
      </c>
      <c r="B17" s="52" t="s">
        <v>32</v>
      </c>
      <c r="C17" s="52"/>
      <c r="D17" s="52"/>
      <c r="E17" s="52"/>
      <c r="F17" s="52"/>
      <c r="G17" s="52"/>
      <c r="H17" s="52"/>
      <c r="I17" s="42"/>
      <c r="J17" s="52"/>
      <c r="K17" s="52"/>
      <c r="L17" s="52"/>
      <c r="M17" s="52"/>
      <c r="N17" s="52"/>
      <c r="O17" s="52"/>
      <c r="P17" s="42"/>
      <c r="Q17" s="52"/>
      <c r="R17" s="52"/>
      <c r="S17" s="52"/>
      <c r="T17" s="52"/>
      <c r="U17" s="52"/>
      <c r="V17" s="52"/>
      <c r="W17" s="42"/>
      <c r="X17" s="52"/>
      <c r="Y17" s="52"/>
      <c r="Z17" s="52"/>
      <c r="AA17" s="52"/>
      <c r="AB17" s="52"/>
      <c r="AC17" s="52"/>
      <c r="AD17" s="42"/>
      <c r="AE17" s="52"/>
      <c r="AF17" s="52"/>
      <c r="AG17" s="84">
        <f t="shared" si="0"/>
        <v>0</v>
      </c>
      <c r="AH17" s="107">
        <f>AG17/5625</f>
        <v>0</v>
      </c>
      <c r="AI17" s="109"/>
      <c r="AJ17" s="111">
        <f t="shared" si="2"/>
        <v>0</v>
      </c>
      <c r="AK17" s="38"/>
      <c r="AL17" s="54" t="s">
        <v>24</v>
      </c>
      <c r="AM17" s="39">
        <f t="shared" si="1"/>
        <v>0</v>
      </c>
      <c r="AN17" s="29"/>
    </row>
    <row r="18" spans="1:40" s="11" customFormat="1" ht="18" customHeight="1" x14ac:dyDescent="0.2">
      <c r="A18" s="40">
        <v>14</v>
      </c>
      <c r="B18" s="41" t="s">
        <v>6</v>
      </c>
      <c r="C18" s="41"/>
      <c r="D18" s="41"/>
      <c r="E18" s="41"/>
      <c r="F18" s="41"/>
      <c r="G18" s="41"/>
      <c r="H18" s="41"/>
      <c r="I18" s="42"/>
      <c r="J18" s="41"/>
      <c r="K18" s="41"/>
      <c r="L18" s="41"/>
      <c r="M18" s="41"/>
      <c r="N18" s="41"/>
      <c r="O18" s="41"/>
      <c r="P18" s="42"/>
      <c r="Q18" s="41"/>
      <c r="R18" s="41"/>
      <c r="S18" s="41"/>
      <c r="T18" s="41"/>
      <c r="U18" s="41"/>
      <c r="V18" s="41"/>
      <c r="W18" s="42"/>
      <c r="X18" s="41"/>
      <c r="Y18" s="41"/>
      <c r="Z18" s="41"/>
      <c r="AA18" s="41"/>
      <c r="AB18" s="41"/>
      <c r="AC18" s="41"/>
      <c r="AD18" s="42"/>
      <c r="AE18" s="41"/>
      <c r="AF18" s="41"/>
      <c r="AG18" s="84">
        <f t="shared" si="0"/>
        <v>0</v>
      </c>
      <c r="AH18" s="107">
        <f>AG18/15000</f>
        <v>0</v>
      </c>
      <c r="AI18" s="110">
        <v>1455000</v>
      </c>
      <c r="AJ18" s="111">
        <f t="shared" si="2"/>
        <v>1455000</v>
      </c>
      <c r="AK18" s="38"/>
      <c r="AL18" s="54" t="s">
        <v>26</v>
      </c>
      <c r="AM18" s="39">
        <f t="shared" si="1"/>
        <v>0</v>
      </c>
      <c r="AN18" s="29"/>
    </row>
    <row r="19" spans="1:40" s="11" customFormat="1" ht="18" customHeight="1" x14ac:dyDescent="0.2">
      <c r="A19" s="40">
        <v>15</v>
      </c>
      <c r="B19" s="41" t="s">
        <v>7</v>
      </c>
      <c r="C19" s="41"/>
      <c r="D19" s="41"/>
      <c r="E19" s="41"/>
      <c r="F19" s="41"/>
      <c r="G19" s="41"/>
      <c r="H19" s="41"/>
      <c r="I19" s="42"/>
      <c r="J19" s="41"/>
      <c r="K19" s="41"/>
      <c r="L19" s="41"/>
      <c r="M19" s="41"/>
      <c r="N19" s="41"/>
      <c r="O19" s="41"/>
      <c r="P19" s="42"/>
      <c r="Q19" s="41"/>
      <c r="R19" s="41"/>
      <c r="S19" s="41"/>
      <c r="T19" s="41"/>
      <c r="U19" s="41"/>
      <c r="V19" s="41"/>
      <c r="W19" s="42"/>
      <c r="X19" s="41"/>
      <c r="Y19" s="41"/>
      <c r="Z19" s="41"/>
      <c r="AA19" s="41"/>
      <c r="AB19" s="41"/>
      <c r="AC19" s="41"/>
      <c r="AD19" s="42"/>
      <c r="AE19" s="41"/>
      <c r="AF19" s="41"/>
      <c r="AG19" s="84">
        <f t="shared" si="0"/>
        <v>0</v>
      </c>
      <c r="AH19" s="107">
        <f>AG19/12500</f>
        <v>0</v>
      </c>
      <c r="AI19" s="110">
        <v>762500</v>
      </c>
      <c r="AJ19" s="111">
        <f t="shared" si="2"/>
        <v>762500</v>
      </c>
      <c r="AK19" s="38"/>
      <c r="AL19" s="58" t="s">
        <v>28</v>
      </c>
      <c r="AM19" s="39">
        <f t="shared" si="1"/>
        <v>0</v>
      </c>
      <c r="AN19" s="29"/>
    </row>
    <row r="20" spans="1:40" s="11" customFormat="1" ht="18" customHeight="1" x14ac:dyDescent="0.2">
      <c r="A20" s="40">
        <v>16</v>
      </c>
      <c r="B20" s="41" t="s">
        <v>8</v>
      </c>
      <c r="C20" s="41"/>
      <c r="D20" s="41"/>
      <c r="E20" s="41"/>
      <c r="F20" s="41"/>
      <c r="G20" s="41"/>
      <c r="H20" s="41"/>
      <c r="I20" s="42"/>
      <c r="J20" s="41"/>
      <c r="K20" s="41"/>
      <c r="L20" s="41"/>
      <c r="M20" s="41"/>
      <c r="N20" s="41"/>
      <c r="O20" s="41"/>
      <c r="P20" s="42"/>
      <c r="Q20" s="41"/>
      <c r="R20" s="41"/>
      <c r="S20" s="41"/>
      <c r="T20" s="41"/>
      <c r="U20" s="41"/>
      <c r="V20" s="41"/>
      <c r="W20" s="42"/>
      <c r="X20" s="41"/>
      <c r="Y20" s="41"/>
      <c r="Z20" s="41"/>
      <c r="AA20" s="41"/>
      <c r="AB20" s="41"/>
      <c r="AC20" s="41"/>
      <c r="AD20" s="42"/>
      <c r="AE20" s="41"/>
      <c r="AF20" s="41"/>
      <c r="AG20" s="84">
        <f t="shared" si="0"/>
        <v>0</v>
      </c>
      <c r="AH20" s="107">
        <f>AG20/6000</f>
        <v>0</v>
      </c>
      <c r="AI20" s="110">
        <v>21576000</v>
      </c>
      <c r="AJ20" s="111">
        <f t="shared" si="2"/>
        <v>21576000</v>
      </c>
      <c r="AK20" s="38"/>
      <c r="AL20" s="58" t="s">
        <v>30</v>
      </c>
      <c r="AM20" s="39">
        <f t="shared" si="1"/>
        <v>0</v>
      </c>
      <c r="AN20" s="29"/>
    </row>
    <row r="21" spans="1:40" s="11" customFormat="1" ht="18" customHeight="1" x14ac:dyDescent="0.2">
      <c r="A21" s="40">
        <v>17</v>
      </c>
      <c r="B21" s="41" t="s">
        <v>9</v>
      </c>
      <c r="C21" s="41"/>
      <c r="D21" s="41"/>
      <c r="E21" s="41"/>
      <c r="F21" s="41"/>
      <c r="G21" s="41"/>
      <c r="H21" s="41"/>
      <c r="I21" s="42"/>
      <c r="J21" s="41"/>
      <c r="K21" s="41"/>
      <c r="L21" s="41"/>
      <c r="M21" s="41"/>
      <c r="N21" s="41"/>
      <c r="O21" s="41"/>
      <c r="P21" s="42"/>
      <c r="Q21" s="41"/>
      <c r="R21" s="41"/>
      <c r="S21" s="41"/>
      <c r="T21" s="41"/>
      <c r="U21" s="41"/>
      <c r="V21" s="41"/>
      <c r="W21" s="42"/>
      <c r="X21" s="41"/>
      <c r="Y21" s="41"/>
      <c r="Z21" s="41"/>
      <c r="AA21" s="41"/>
      <c r="AB21" s="41"/>
      <c r="AC21" s="41"/>
      <c r="AD21" s="42"/>
      <c r="AE21" s="41"/>
      <c r="AF21" s="41"/>
      <c r="AG21" s="84">
        <f t="shared" si="0"/>
        <v>0</v>
      </c>
      <c r="AH21" s="107">
        <f>AG21/3000</f>
        <v>0</v>
      </c>
      <c r="AI21" s="110">
        <v>27252000</v>
      </c>
      <c r="AJ21" s="111">
        <f t="shared" si="2"/>
        <v>27252000</v>
      </c>
      <c r="AK21" s="38"/>
      <c r="AL21" s="58" t="s">
        <v>31</v>
      </c>
      <c r="AM21" s="39">
        <f t="shared" si="1"/>
        <v>0</v>
      </c>
      <c r="AN21" s="29"/>
    </row>
    <row r="22" spans="1:40" s="11" customFormat="1" ht="18" customHeight="1" thickBot="1" x14ac:dyDescent="0.25">
      <c r="A22" s="40">
        <v>18</v>
      </c>
      <c r="B22" s="59" t="s">
        <v>10</v>
      </c>
      <c r="C22" s="59"/>
      <c r="D22" s="59"/>
      <c r="E22" s="59"/>
      <c r="F22" s="61"/>
      <c r="G22" s="61"/>
      <c r="H22" s="61"/>
      <c r="I22" s="60"/>
      <c r="J22" s="59"/>
      <c r="K22" s="59"/>
      <c r="L22" s="59"/>
      <c r="M22" s="59"/>
      <c r="N22" s="59"/>
      <c r="O22" s="59"/>
      <c r="P22" s="60"/>
      <c r="Q22" s="59"/>
      <c r="R22" s="59"/>
      <c r="S22" s="59"/>
      <c r="T22" s="59"/>
      <c r="U22" s="59"/>
      <c r="V22" s="59"/>
      <c r="W22" s="60"/>
      <c r="X22" s="59"/>
      <c r="Y22" s="59"/>
      <c r="Z22" s="59"/>
      <c r="AA22" s="59"/>
      <c r="AB22" s="59"/>
      <c r="AC22" s="59"/>
      <c r="AD22" s="60"/>
      <c r="AE22" s="59"/>
      <c r="AF22" s="59"/>
      <c r="AG22" s="83">
        <f t="shared" si="0"/>
        <v>0</v>
      </c>
      <c r="AH22" s="107">
        <f>AG22/1000</f>
        <v>0</v>
      </c>
      <c r="AI22" s="110">
        <v>2062000</v>
      </c>
      <c r="AJ22" s="111">
        <f t="shared" si="2"/>
        <v>2062000</v>
      </c>
      <c r="AK22" s="38"/>
      <c r="AL22" s="58" t="s">
        <v>32</v>
      </c>
      <c r="AM22" s="39">
        <f t="shared" si="1"/>
        <v>0</v>
      </c>
      <c r="AN22" s="29"/>
    </row>
    <row r="23" spans="1:40" s="67" customFormat="1" ht="18" customHeight="1" x14ac:dyDescent="0.25">
      <c r="A23" s="63"/>
      <c r="B23" s="64" t="s">
        <v>11</v>
      </c>
      <c r="C23" s="65">
        <f t="shared" ref="C23:AI23" si="3">SUM(C5:C22)</f>
        <v>8324000</v>
      </c>
      <c r="D23" s="65">
        <f t="shared" si="3"/>
        <v>7164500</v>
      </c>
      <c r="E23" s="65">
        <f t="shared" si="3"/>
        <v>6485500</v>
      </c>
      <c r="F23" s="65">
        <f t="shared" si="3"/>
        <v>5244500</v>
      </c>
      <c r="G23" s="65">
        <f t="shared" si="3"/>
        <v>33907500</v>
      </c>
      <c r="H23" s="65">
        <f t="shared" si="3"/>
        <v>52392000</v>
      </c>
      <c r="I23" s="65">
        <f t="shared" si="3"/>
        <v>0</v>
      </c>
      <c r="J23" s="65">
        <f t="shared" si="3"/>
        <v>5166000</v>
      </c>
      <c r="K23" s="65">
        <f t="shared" si="3"/>
        <v>5494000</v>
      </c>
      <c r="L23" s="65">
        <f t="shared" si="3"/>
        <v>5245000</v>
      </c>
      <c r="M23" s="65">
        <f t="shared" si="3"/>
        <v>5445500</v>
      </c>
      <c r="N23" s="65">
        <f t="shared" si="3"/>
        <v>33661000</v>
      </c>
      <c r="O23" s="65">
        <f t="shared" si="3"/>
        <v>47238000</v>
      </c>
      <c r="P23" s="65">
        <f t="shared" si="3"/>
        <v>0</v>
      </c>
      <c r="Q23" s="65">
        <f t="shared" si="3"/>
        <v>5130000</v>
      </c>
      <c r="R23" s="65">
        <f t="shared" si="3"/>
        <v>5035500</v>
      </c>
      <c r="S23" s="65">
        <f t="shared" si="3"/>
        <v>5235000</v>
      </c>
      <c r="T23" s="65">
        <f t="shared" si="3"/>
        <v>5091500</v>
      </c>
      <c r="U23" s="65">
        <f t="shared" si="3"/>
        <v>34753500</v>
      </c>
      <c r="V23" s="65">
        <f t="shared" si="3"/>
        <v>41278500</v>
      </c>
      <c r="W23" s="65">
        <f t="shared" si="3"/>
        <v>0</v>
      </c>
      <c r="X23" s="65">
        <f t="shared" si="3"/>
        <v>5379500</v>
      </c>
      <c r="Y23" s="65">
        <f t="shared" si="3"/>
        <v>5554500</v>
      </c>
      <c r="Z23" s="65">
        <f t="shared" si="3"/>
        <v>4322500</v>
      </c>
      <c r="AA23" s="65">
        <f t="shared" si="3"/>
        <v>5508500</v>
      </c>
      <c r="AB23" s="65">
        <f t="shared" si="3"/>
        <v>30513000</v>
      </c>
      <c r="AC23" s="65">
        <f t="shared" si="3"/>
        <v>45361000</v>
      </c>
      <c r="AD23" s="65">
        <f t="shared" si="3"/>
        <v>0</v>
      </c>
      <c r="AE23" s="65">
        <f t="shared" si="3"/>
        <v>6339500</v>
      </c>
      <c r="AF23" s="65">
        <f t="shared" si="3"/>
        <v>5640000</v>
      </c>
      <c r="AG23" s="65">
        <f t="shared" si="3"/>
        <v>420910000</v>
      </c>
      <c r="AH23" s="65"/>
      <c r="AI23" s="65">
        <f t="shared" si="3"/>
        <v>526846500</v>
      </c>
      <c r="AJ23" s="108"/>
      <c r="AK23" s="38"/>
      <c r="AL23" s="66" t="s">
        <v>11</v>
      </c>
      <c r="AM23" s="39">
        <f t="shared" si="1"/>
        <v>420910000</v>
      </c>
    </row>
    <row r="24" spans="1:40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6"/>
      <c r="AH24" s="6"/>
      <c r="AI24" s="6"/>
      <c r="AJ24" s="7"/>
      <c r="AK24" s="28"/>
      <c r="AL24" s="69"/>
      <c r="AM24" s="29"/>
      <c r="AN24" s="39"/>
    </row>
    <row r="25" spans="1:40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6"/>
      <c r="AH25" s="6"/>
      <c r="AI25" s="6"/>
      <c r="AJ25" s="7"/>
      <c r="AK25" s="28"/>
      <c r="AL25" s="69"/>
      <c r="AM25" s="29"/>
      <c r="AN25" s="39"/>
    </row>
    <row r="26" spans="1:40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6"/>
      <c r="AH26" s="6"/>
      <c r="AI26" s="6"/>
      <c r="AJ26" s="37"/>
      <c r="AK26" s="28"/>
      <c r="AL26" s="69"/>
      <c r="AM26" s="29"/>
      <c r="AN26" s="30"/>
    </row>
    <row r="27" spans="1:40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6"/>
      <c r="AH27" s="6"/>
      <c r="AI27" s="6"/>
      <c r="AJ27" s="14"/>
      <c r="AK27" s="28"/>
      <c r="AL27" s="70" t="s">
        <v>13</v>
      </c>
      <c r="AM27" s="29"/>
      <c r="AN27" s="30"/>
    </row>
    <row r="28" spans="1:40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7" t="s">
        <v>1</v>
      </c>
      <c r="AH28" s="20"/>
      <c r="AI28" s="20"/>
      <c r="AJ28" s="21"/>
      <c r="AK28" s="28"/>
      <c r="AL28" s="71" t="s">
        <v>14</v>
      </c>
      <c r="AM28" s="72"/>
      <c r="AN28" s="30"/>
    </row>
    <row r="29" spans="1:40" s="25" customFormat="1" ht="18" customHeight="1" x14ac:dyDescent="0.2">
      <c r="B29" s="92" t="s">
        <v>2</v>
      </c>
      <c r="C29" s="92">
        <f t="shared" ref="C29:AF29" si="4">C5/4000</f>
        <v>1729</v>
      </c>
      <c r="D29" s="92">
        <f t="shared" si="4"/>
        <v>1496</v>
      </c>
      <c r="E29" s="92">
        <f t="shared" si="4"/>
        <v>1271</v>
      </c>
      <c r="F29" s="92">
        <f t="shared" si="4"/>
        <v>1120</v>
      </c>
      <c r="G29" s="92">
        <f t="shared" si="4"/>
        <v>4713</v>
      </c>
      <c r="H29" s="92">
        <f t="shared" si="4"/>
        <v>6793</v>
      </c>
      <c r="I29" s="92">
        <f t="shared" si="4"/>
        <v>0</v>
      </c>
      <c r="J29" s="92">
        <f t="shared" si="4"/>
        <v>1068</v>
      </c>
      <c r="K29" s="92">
        <f t="shared" si="4"/>
        <v>1112</v>
      </c>
      <c r="L29" s="92">
        <f t="shared" si="4"/>
        <v>1076</v>
      </c>
      <c r="M29" s="92">
        <f t="shared" si="4"/>
        <v>1133</v>
      </c>
      <c r="N29" s="92">
        <f t="shared" si="4"/>
        <v>4995</v>
      </c>
      <c r="O29" s="92">
        <f t="shared" si="4"/>
        <v>6244</v>
      </c>
      <c r="P29" s="92">
        <f t="shared" si="4"/>
        <v>0</v>
      </c>
      <c r="Q29" s="92">
        <f t="shared" si="4"/>
        <v>1083</v>
      </c>
      <c r="R29" s="92">
        <f t="shared" si="4"/>
        <v>1072</v>
      </c>
      <c r="S29" s="92">
        <f t="shared" si="4"/>
        <v>1110</v>
      </c>
      <c r="T29" s="92">
        <f t="shared" si="4"/>
        <v>1075</v>
      </c>
      <c r="U29" s="92">
        <f t="shared" si="4"/>
        <v>5068</v>
      </c>
      <c r="V29" s="92">
        <f t="shared" si="4"/>
        <v>5434</v>
      </c>
      <c r="W29" s="92">
        <f t="shared" si="4"/>
        <v>0</v>
      </c>
      <c r="X29" s="92">
        <f t="shared" si="4"/>
        <v>1125</v>
      </c>
      <c r="Y29" s="92">
        <f t="shared" si="4"/>
        <v>1171</v>
      </c>
      <c r="Z29" s="92">
        <f t="shared" si="4"/>
        <v>924</v>
      </c>
      <c r="AA29" s="92">
        <f t="shared" si="4"/>
        <v>1178</v>
      </c>
      <c r="AB29" s="92">
        <f t="shared" si="4"/>
        <v>4285</v>
      </c>
      <c r="AC29" s="92">
        <f t="shared" si="4"/>
        <v>6112</v>
      </c>
      <c r="AD29" s="92">
        <f t="shared" si="4"/>
        <v>0</v>
      </c>
      <c r="AE29" s="92">
        <f t="shared" si="4"/>
        <v>1258</v>
      </c>
      <c r="AF29" s="92">
        <f t="shared" si="4"/>
        <v>1140</v>
      </c>
      <c r="AG29" s="93">
        <f t="shared" ref="AG29:AG46" si="5">SUM(C29:AF29)</f>
        <v>64785</v>
      </c>
      <c r="AH29" s="27"/>
      <c r="AI29" s="27"/>
      <c r="AJ29" s="73"/>
      <c r="AK29" s="28"/>
      <c r="AL29" s="74" t="s">
        <v>2</v>
      </c>
      <c r="AM29" s="75">
        <f>AG29</f>
        <v>64785</v>
      </c>
      <c r="AN29" s="30"/>
    </row>
    <row r="30" spans="1:40" s="25" customFormat="1" ht="18" customHeight="1" x14ac:dyDescent="0.2">
      <c r="B30" s="92" t="s">
        <v>3</v>
      </c>
      <c r="C30" s="92">
        <f t="shared" ref="C30:AF31" si="6">C6/3000</f>
        <v>302</v>
      </c>
      <c r="D30" s="92">
        <f t="shared" si="6"/>
        <v>263</v>
      </c>
      <c r="E30" s="92">
        <f t="shared" si="6"/>
        <v>240</v>
      </c>
      <c r="F30" s="92">
        <f t="shared" si="6"/>
        <v>184</v>
      </c>
      <c r="G30" s="92">
        <f t="shared" si="6"/>
        <v>1086</v>
      </c>
      <c r="H30" s="92">
        <f t="shared" si="6"/>
        <v>1760</v>
      </c>
      <c r="I30" s="92">
        <f t="shared" si="6"/>
        <v>0</v>
      </c>
      <c r="J30" s="92">
        <f t="shared" si="6"/>
        <v>231</v>
      </c>
      <c r="K30" s="92">
        <f t="shared" si="6"/>
        <v>230</v>
      </c>
      <c r="L30" s="92">
        <f t="shared" si="6"/>
        <v>190</v>
      </c>
      <c r="M30" s="92">
        <f t="shared" si="6"/>
        <v>220</v>
      </c>
      <c r="N30" s="92">
        <f t="shared" si="6"/>
        <v>1172</v>
      </c>
      <c r="O30" s="92">
        <f t="shared" si="6"/>
        <v>1664</v>
      </c>
      <c r="P30" s="92">
        <f t="shared" si="6"/>
        <v>0</v>
      </c>
      <c r="Q30" s="92">
        <f t="shared" si="6"/>
        <v>187</v>
      </c>
      <c r="R30" s="92">
        <f t="shared" si="6"/>
        <v>151</v>
      </c>
      <c r="S30" s="92">
        <f t="shared" si="6"/>
        <v>186</v>
      </c>
      <c r="T30" s="92">
        <f t="shared" si="6"/>
        <v>183</v>
      </c>
      <c r="U30" s="92">
        <f t="shared" si="6"/>
        <v>1158</v>
      </c>
      <c r="V30" s="92">
        <f t="shared" si="6"/>
        <v>1295</v>
      </c>
      <c r="W30" s="92">
        <f t="shared" si="6"/>
        <v>0</v>
      </c>
      <c r="X30" s="92">
        <f t="shared" si="6"/>
        <v>197</v>
      </c>
      <c r="Y30" s="92">
        <f t="shared" si="6"/>
        <v>228</v>
      </c>
      <c r="Z30" s="92">
        <f t="shared" si="6"/>
        <v>148</v>
      </c>
      <c r="AA30" s="92">
        <f t="shared" si="6"/>
        <v>195</v>
      </c>
      <c r="AB30" s="92">
        <f t="shared" si="6"/>
        <v>1066</v>
      </c>
      <c r="AC30" s="92">
        <f t="shared" si="6"/>
        <v>1596</v>
      </c>
      <c r="AD30" s="92">
        <f t="shared" si="6"/>
        <v>0</v>
      </c>
      <c r="AE30" s="92">
        <f t="shared" si="6"/>
        <v>274</v>
      </c>
      <c r="AF30" s="92">
        <f t="shared" si="6"/>
        <v>229</v>
      </c>
      <c r="AG30" s="93">
        <f t="shared" si="5"/>
        <v>14635</v>
      </c>
      <c r="AH30" s="27"/>
      <c r="AI30" s="27"/>
      <c r="AJ30" s="73"/>
      <c r="AK30" s="28"/>
      <c r="AL30" s="74" t="s">
        <v>3</v>
      </c>
      <c r="AM30" s="75">
        <f t="shared" ref="AM30:AM40" si="7">AG30</f>
        <v>14635</v>
      </c>
      <c r="AN30" s="76"/>
    </row>
    <row r="31" spans="1:40" s="25" customFormat="1" ht="18" customHeight="1" x14ac:dyDescent="0.2">
      <c r="B31" s="92" t="s">
        <v>4</v>
      </c>
      <c r="C31" s="92">
        <f t="shared" si="6"/>
        <v>0</v>
      </c>
      <c r="D31" s="92">
        <f t="shared" si="6"/>
        <v>0</v>
      </c>
      <c r="E31" s="92">
        <f t="shared" si="6"/>
        <v>0</v>
      </c>
      <c r="F31" s="92">
        <f t="shared" si="6"/>
        <v>0</v>
      </c>
      <c r="G31" s="92">
        <f t="shared" si="6"/>
        <v>0</v>
      </c>
      <c r="H31" s="92">
        <f t="shared" si="6"/>
        <v>0</v>
      </c>
      <c r="I31" s="92">
        <f t="shared" si="6"/>
        <v>0</v>
      </c>
      <c r="J31" s="92">
        <f t="shared" si="6"/>
        <v>0</v>
      </c>
      <c r="K31" s="92">
        <f t="shared" si="6"/>
        <v>0</v>
      </c>
      <c r="L31" s="92">
        <f t="shared" si="6"/>
        <v>0</v>
      </c>
      <c r="M31" s="92">
        <f t="shared" si="6"/>
        <v>0</v>
      </c>
      <c r="N31" s="92">
        <f t="shared" si="6"/>
        <v>0</v>
      </c>
      <c r="O31" s="92">
        <f t="shared" si="6"/>
        <v>0</v>
      </c>
      <c r="P31" s="92">
        <f t="shared" si="6"/>
        <v>0</v>
      </c>
      <c r="Q31" s="92">
        <f t="shared" si="6"/>
        <v>0</v>
      </c>
      <c r="R31" s="92">
        <f t="shared" si="6"/>
        <v>0</v>
      </c>
      <c r="S31" s="92">
        <f t="shared" si="6"/>
        <v>0</v>
      </c>
      <c r="T31" s="92">
        <f t="shared" si="6"/>
        <v>0</v>
      </c>
      <c r="U31" s="92">
        <f t="shared" si="6"/>
        <v>0</v>
      </c>
      <c r="V31" s="92">
        <f t="shared" si="6"/>
        <v>0</v>
      </c>
      <c r="W31" s="92">
        <f t="shared" si="6"/>
        <v>0</v>
      </c>
      <c r="X31" s="92">
        <f t="shared" si="6"/>
        <v>0</v>
      </c>
      <c r="Y31" s="92">
        <f t="shared" si="6"/>
        <v>0</v>
      </c>
      <c r="Z31" s="92">
        <f t="shared" si="6"/>
        <v>0</v>
      </c>
      <c r="AA31" s="92">
        <f t="shared" si="6"/>
        <v>0</v>
      </c>
      <c r="AB31" s="92">
        <f t="shared" si="6"/>
        <v>0</v>
      </c>
      <c r="AC31" s="92">
        <f t="shared" si="6"/>
        <v>0</v>
      </c>
      <c r="AD31" s="92">
        <f t="shared" si="6"/>
        <v>0</v>
      </c>
      <c r="AE31" s="92">
        <f t="shared" si="6"/>
        <v>0</v>
      </c>
      <c r="AF31" s="92">
        <f t="shared" si="6"/>
        <v>0</v>
      </c>
      <c r="AG31" s="93">
        <f t="shared" si="5"/>
        <v>0</v>
      </c>
      <c r="AH31" s="27"/>
      <c r="AI31" s="27"/>
      <c r="AJ31" s="73"/>
      <c r="AK31" s="28"/>
      <c r="AL31" s="3" t="s">
        <v>4</v>
      </c>
      <c r="AM31" s="75">
        <f t="shared" si="7"/>
        <v>0</v>
      </c>
      <c r="AN31" s="30"/>
    </row>
    <row r="32" spans="1:40" s="25" customFormat="1" ht="18" customHeight="1" x14ac:dyDescent="0.2">
      <c r="B32" s="92" t="s">
        <v>5</v>
      </c>
      <c r="C32" s="92">
        <f t="shared" ref="C32:AF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2">
        <f t="shared" si="8"/>
        <v>0</v>
      </c>
      <c r="AF32" s="92">
        <f t="shared" si="8"/>
        <v>0</v>
      </c>
      <c r="AG32" s="93">
        <f t="shared" si="5"/>
        <v>0</v>
      </c>
      <c r="AH32" s="27"/>
      <c r="AI32" s="27"/>
      <c r="AJ32" s="73"/>
      <c r="AK32" s="28"/>
      <c r="AL32" s="3" t="s">
        <v>5</v>
      </c>
      <c r="AM32" s="75">
        <f t="shared" si="7"/>
        <v>0</v>
      </c>
      <c r="AN32" s="30"/>
    </row>
    <row r="33" spans="2:40" s="25" customFormat="1" ht="18" customHeight="1" x14ac:dyDescent="0.2">
      <c r="B33" s="92" t="s">
        <v>33</v>
      </c>
      <c r="C33" s="92">
        <f>C9/2500</f>
        <v>16</v>
      </c>
      <c r="D33" s="92">
        <f t="shared" ref="D33:AF33" si="9">D9/2500</f>
        <v>39</v>
      </c>
      <c r="E33" s="92">
        <f t="shared" si="9"/>
        <v>35</v>
      </c>
      <c r="F33" s="92">
        <f t="shared" si="9"/>
        <v>13</v>
      </c>
      <c r="G33" s="92">
        <f t="shared" si="9"/>
        <v>168</v>
      </c>
      <c r="H33" s="92">
        <f t="shared" si="9"/>
        <v>329</v>
      </c>
      <c r="I33" s="92">
        <f t="shared" si="9"/>
        <v>0</v>
      </c>
      <c r="J33" s="92">
        <f t="shared" si="9"/>
        <v>6</v>
      </c>
      <c r="K33" s="92">
        <f t="shared" si="9"/>
        <v>20</v>
      </c>
      <c r="L33" s="92">
        <f t="shared" si="9"/>
        <v>2</v>
      </c>
      <c r="M33" s="92">
        <f t="shared" si="9"/>
        <v>3</v>
      </c>
      <c r="N33" s="92">
        <f t="shared" si="9"/>
        <v>244</v>
      </c>
      <c r="O33" s="92">
        <f t="shared" si="9"/>
        <v>329</v>
      </c>
      <c r="P33" s="92">
        <f t="shared" si="9"/>
        <v>0</v>
      </c>
      <c r="Q33" s="92">
        <f t="shared" si="9"/>
        <v>6</v>
      </c>
      <c r="R33" s="92">
        <f t="shared" si="9"/>
        <v>17</v>
      </c>
      <c r="S33" s="92">
        <f t="shared" si="9"/>
        <v>6</v>
      </c>
      <c r="T33" s="92">
        <f t="shared" si="9"/>
        <v>37</v>
      </c>
      <c r="U33" s="92">
        <f t="shared" si="9"/>
        <v>224</v>
      </c>
      <c r="V33" s="92">
        <f t="shared" si="9"/>
        <v>278</v>
      </c>
      <c r="W33" s="92">
        <f t="shared" si="9"/>
        <v>0</v>
      </c>
      <c r="X33" s="92">
        <f t="shared" si="9"/>
        <v>5</v>
      </c>
      <c r="Y33" s="92">
        <f t="shared" si="9"/>
        <v>5</v>
      </c>
      <c r="Z33" s="92">
        <f t="shared" si="9"/>
        <v>1</v>
      </c>
      <c r="AA33" s="92">
        <f t="shared" si="9"/>
        <v>3</v>
      </c>
      <c r="AB33" s="92">
        <f t="shared" si="9"/>
        <v>203</v>
      </c>
      <c r="AC33" s="92">
        <f t="shared" si="9"/>
        <v>294</v>
      </c>
      <c r="AD33" s="92">
        <f t="shared" si="9"/>
        <v>0</v>
      </c>
      <c r="AE33" s="92">
        <f t="shared" si="9"/>
        <v>19</v>
      </c>
      <c r="AF33" s="92">
        <f t="shared" si="9"/>
        <v>6</v>
      </c>
      <c r="AG33" s="93">
        <f t="shared" si="5"/>
        <v>2308</v>
      </c>
      <c r="AH33" s="27"/>
      <c r="AI33" s="27"/>
      <c r="AJ33" s="73"/>
      <c r="AK33" s="28"/>
      <c r="AL33" s="3"/>
      <c r="AM33" s="75"/>
      <c r="AN33" s="30"/>
    </row>
    <row r="34" spans="2:40" s="25" customFormat="1" ht="18" customHeight="1" x14ac:dyDescent="0.2">
      <c r="B34" s="100" t="s">
        <v>21</v>
      </c>
      <c r="C34" s="100">
        <f t="shared" ref="C34:AF35" si="10">C10/6000</f>
        <v>61</v>
      </c>
      <c r="D34" s="100">
        <f t="shared" si="10"/>
        <v>44</v>
      </c>
      <c r="E34" s="100">
        <f t="shared" si="10"/>
        <v>85</v>
      </c>
      <c r="F34" s="100">
        <f t="shared" si="10"/>
        <v>22</v>
      </c>
      <c r="G34" s="100">
        <f t="shared" si="10"/>
        <v>0</v>
      </c>
      <c r="H34" s="100">
        <f t="shared" si="10"/>
        <v>0</v>
      </c>
      <c r="I34" s="100">
        <f t="shared" si="10"/>
        <v>0</v>
      </c>
      <c r="J34" s="100">
        <f t="shared" si="10"/>
        <v>28</v>
      </c>
      <c r="K34" s="100">
        <f t="shared" si="10"/>
        <v>29</v>
      </c>
      <c r="L34" s="100">
        <f t="shared" si="10"/>
        <v>52</v>
      </c>
      <c r="M34" s="100">
        <f t="shared" si="10"/>
        <v>32</v>
      </c>
      <c r="N34" s="100">
        <f t="shared" si="10"/>
        <v>0</v>
      </c>
      <c r="O34" s="100">
        <f t="shared" si="10"/>
        <v>0</v>
      </c>
      <c r="P34" s="100">
        <f t="shared" si="10"/>
        <v>0</v>
      </c>
      <c r="Q34" s="100">
        <f t="shared" si="10"/>
        <v>29</v>
      </c>
      <c r="R34" s="100">
        <f t="shared" si="10"/>
        <v>34</v>
      </c>
      <c r="S34" s="100">
        <f t="shared" si="10"/>
        <v>31</v>
      </c>
      <c r="T34" s="100">
        <f t="shared" si="10"/>
        <v>19</v>
      </c>
      <c r="U34" s="100">
        <f t="shared" si="10"/>
        <v>0</v>
      </c>
      <c r="V34" s="100">
        <f t="shared" si="10"/>
        <v>0</v>
      </c>
      <c r="W34" s="100">
        <f t="shared" si="10"/>
        <v>0</v>
      </c>
      <c r="X34" s="100">
        <f t="shared" si="10"/>
        <v>33</v>
      </c>
      <c r="Y34" s="100">
        <f t="shared" si="10"/>
        <v>25</v>
      </c>
      <c r="Z34" s="100">
        <f t="shared" si="10"/>
        <v>21</v>
      </c>
      <c r="AA34" s="100">
        <f t="shared" si="10"/>
        <v>31</v>
      </c>
      <c r="AB34" s="100">
        <f t="shared" si="10"/>
        <v>0</v>
      </c>
      <c r="AC34" s="100">
        <f t="shared" si="10"/>
        <v>0</v>
      </c>
      <c r="AD34" s="100">
        <f t="shared" si="10"/>
        <v>0</v>
      </c>
      <c r="AE34" s="100">
        <f t="shared" si="10"/>
        <v>52</v>
      </c>
      <c r="AF34" s="100">
        <f t="shared" si="10"/>
        <v>45</v>
      </c>
      <c r="AG34" s="93">
        <f t="shared" si="5"/>
        <v>673</v>
      </c>
      <c r="AH34" s="27"/>
      <c r="AI34" s="27"/>
      <c r="AJ34" s="73"/>
      <c r="AK34" s="28"/>
      <c r="AL34" s="3" t="s">
        <v>10</v>
      </c>
      <c r="AM34" s="75">
        <f t="shared" si="7"/>
        <v>673</v>
      </c>
      <c r="AN34" s="30"/>
    </row>
    <row r="35" spans="2:40" s="25" customFormat="1" ht="18" customHeight="1" thickBot="1" x14ac:dyDescent="0.25">
      <c r="B35" s="100" t="s">
        <v>22</v>
      </c>
      <c r="C35" s="100">
        <f t="shared" si="10"/>
        <v>16</v>
      </c>
      <c r="D35" s="100">
        <f t="shared" si="10"/>
        <v>5</v>
      </c>
      <c r="E35" s="100">
        <f t="shared" si="10"/>
        <v>14</v>
      </c>
      <c r="F35" s="100">
        <f t="shared" si="10"/>
        <v>8</v>
      </c>
      <c r="G35" s="100">
        <f t="shared" si="10"/>
        <v>0</v>
      </c>
      <c r="H35" s="100">
        <f t="shared" si="10"/>
        <v>0</v>
      </c>
      <c r="I35" s="100">
        <f t="shared" si="10"/>
        <v>0</v>
      </c>
      <c r="J35" s="100">
        <f t="shared" si="10"/>
        <v>3</v>
      </c>
      <c r="K35" s="100">
        <f t="shared" si="10"/>
        <v>22</v>
      </c>
      <c r="L35" s="100">
        <f t="shared" si="10"/>
        <v>9</v>
      </c>
      <c r="M35" s="100">
        <f t="shared" si="10"/>
        <v>9</v>
      </c>
      <c r="N35" s="100">
        <f t="shared" si="10"/>
        <v>0</v>
      </c>
      <c r="O35" s="100">
        <f t="shared" si="10"/>
        <v>0</v>
      </c>
      <c r="P35" s="100">
        <f t="shared" si="10"/>
        <v>0</v>
      </c>
      <c r="Q35" s="100">
        <f t="shared" si="10"/>
        <v>8</v>
      </c>
      <c r="R35" s="100">
        <f t="shared" si="10"/>
        <v>8</v>
      </c>
      <c r="S35" s="100">
        <f t="shared" si="10"/>
        <v>6</v>
      </c>
      <c r="T35" s="100">
        <f t="shared" si="10"/>
        <v>6</v>
      </c>
      <c r="U35" s="100">
        <f t="shared" si="10"/>
        <v>0</v>
      </c>
      <c r="V35" s="100">
        <f t="shared" si="10"/>
        <v>0</v>
      </c>
      <c r="W35" s="100">
        <f t="shared" si="10"/>
        <v>0</v>
      </c>
      <c r="X35" s="100">
        <f t="shared" si="10"/>
        <v>13</v>
      </c>
      <c r="Y35" s="100">
        <f t="shared" si="10"/>
        <v>4</v>
      </c>
      <c r="Z35" s="100">
        <f t="shared" si="10"/>
        <v>9</v>
      </c>
      <c r="AA35" s="100">
        <f t="shared" si="10"/>
        <v>3</v>
      </c>
      <c r="AB35" s="100">
        <f t="shared" si="10"/>
        <v>0</v>
      </c>
      <c r="AC35" s="100">
        <f t="shared" si="10"/>
        <v>0</v>
      </c>
      <c r="AD35" s="100">
        <f t="shared" si="10"/>
        <v>0</v>
      </c>
      <c r="AE35" s="100">
        <f t="shared" si="10"/>
        <v>21</v>
      </c>
      <c r="AF35" s="100">
        <f t="shared" si="10"/>
        <v>18</v>
      </c>
      <c r="AG35" s="93">
        <f t="shared" si="5"/>
        <v>182</v>
      </c>
      <c r="AH35" s="27"/>
      <c r="AI35" s="27"/>
      <c r="AJ35" s="73"/>
      <c r="AK35" s="28"/>
      <c r="AL35" s="77" t="s">
        <v>15</v>
      </c>
      <c r="AM35" s="75">
        <f t="shared" si="7"/>
        <v>182</v>
      </c>
      <c r="AN35" s="30"/>
    </row>
    <row r="36" spans="2:40" s="29" customFormat="1" ht="18" customHeight="1" x14ac:dyDescent="0.2">
      <c r="B36" s="100" t="s">
        <v>24</v>
      </c>
      <c r="C36" s="100">
        <f t="shared" ref="C36:AF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100">
        <f t="shared" si="11"/>
        <v>0</v>
      </c>
      <c r="AF36" s="100">
        <f t="shared" si="11"/>
        <v>0</v>
      </c>
      <c r="AG36" s="93">
        <f t="shared" si="5"/>
        <v>0</v>
      </c>
      <c r="AH36" s="27"/>
      <c r="AI36" s="27"/>
      <c r="AJ36" s="73"/>
      <c r="AK36" s="28"/>
      <c r="AL36" s="78" t="s">
        <v>34</v>
      </c>
      <c r="AM36" s="75">
        <f t="shared" si="7"/>
        <v>0</v>
      </c>
    </row>
    <row r="37" spans="2:40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100">
        <f t="shared" si="11"/>
        <v>0</v>
      </c>
      <c r="AF37" s="100">
        <f t="shared" si="11"/>
        <v>0</v>
      </c>
      <c r="AG37" s="93">
        <f t="shared" si="5"/>
        <v>0</v>
      </c>
      <c r="AH37" s="27"/>
      <c r="AI37" s="27"/>
      <c r="AJ37" s="73"/>
      <c r="AK37" s="28"/>
      <c r="AL37" s="79" t="s">
        <v>35</v>
      </c>
      <c r="AM37" s="75">
        <f t="shared" si="7"/>
        <v>0</v>
      </c>
    </row>
    <row r="38" spans="2:40" s="29" customFormat="1" ht="18" customHeight="1" x14ac:dyDescent="0.2">
      <c r="B38" s="104" t="s">
        <v>28</v>
      </c>
      <c r="C38" s="104">
        <f t="shared" ref="C38:AF39" si="12">C14/7500</f>
        <v>0</v>
      </c>
      <c r="D38" s="104">
        <f t="shared" si="12"/>
        <v>0</v>
      </c>
      <c r="E38" s="104">
        <f t="shared" si="12"/>
        <v>0</v>
      </c>
      <c r="F38" s="104">
        <f t="shared" si="12"/>
        <v>0</v>
      </c>
      <c r="G38" s="104">
        <f t="shared" si="12"/>
        <v>918</v>
      </c>
      <c r="H38" s="104">
        <f t="shared" si="12"/>
        <v>1484</v>
      </c>
      <c r="I38" s="104">
        <f t="shared" si="12"/>
        <v>0</v>
      </c>
      <c r="J38" s="104">
        <f t="shared" si="12"/>
        <v>0</v>
      </c>
      <c r="K38" s="104">
        <f t="shared" si="12"/>
        <v>0</v>
      </c>
      <c r="L38" s="104">
        <f t="shared" si="12"/>
        <v>0</v>
      </c>
      <c r="M38" s="104">
        <f t="shared" si="12"/>
        <v>0</v>
      </c>
      <c r="N38" s="104">
        <f t="shared" si="12"/>
        <v>785</v>
      </c>
      <c r="O38" s="104">
        <f t="shared" si="12"/>
        <v>1239</v>
      </c>
      <c r="P38" s="104">
        <f t="shared" si="12"/>
        <v>0</v>
      </c>
      <c r="Q38" s="104">
        <f t="shared" si="12"/>
        <v>0</v>
      </c>
      <c r="R38" s="104">
        <f t="shared" si="12"/>
        <v>0</v>
      </c>
      <c r="S38" s="104">
        <f t="shared" si="12"/>
        <v>0</v>
      </c>
      <c r="T38" s="104">
        <f t="shared" si="12"/>
        <v>0</v>
      </c>
      <c r="U38" s="104">
        <f t="shared" si="12"/>
        <v>854</v>
      </c>
      <c r="V38" s="104">
        <f t="shared" si="12"/>
        <v>1128</v>
      </c>
      <c r="W38" s="104">
        <f t="shared" si="12"/>
        <v>0</v>
      </c>
      <c r="X38" s="104">
        <f t="shared" si="12"/>
        <v>0</v>
      </c>
      <c r="Y38" s="104">
        <f t="shared" si="12"/>
        <v>0</v>
      </c>
      <c r="Z38" s="104">
        <f t="shared" si="12"/>
        <v>0</v>
      </c>
      <c r="AA38" s="104">
        <f t="shared" si="12"/>
        <v>0</v>
      </c>
      <c r="AB38" s="104">
        <f t="shared" si="12"/>
        <v>806</v>
      </c>
      <c r="AC38" s="104">
        <f t="shared" si="12"/>
        <v>1193</v>
      </c>
      <c r="AD38" s="104">
        <f t="shared" si="12"/>
        <v>0</v>
      </c>
      <c r="AE38" s="104">
        <f t="shared" si="12"/>
        <v>0</v>
      </c>
      <c r="AF38" s="104">
        <f t="shared" si="12"/>
        <v>0</v>
      </c>
      <c r="AG38" s="93">
        <f t="shared" si="5"/>
        <v>8407</v>
      </c>
      <c r="AH38" s="27"/>
      <c r="AI38" s="27"/>
      <c r="AJ38" s="73"/>
      <c r="AK38" s="28"/>
      <c r="AL38" s="79" t="s">
        <v>36</v>
      </c>
      <c r="AM38" s="75">
        <f t="shared" si="7"/>
        <v>8407</v>
      </c>
    </row>
    <row r="39" spans="2:40" s="29" customFormat="1" ht="18" customHeight="1" x14ac:dyDescent="0.2">
      <c r="B39" s="104" t="s">
        <v>30</v>
      </c>
      <c r="C39" s="104">
        <f t="shared" si="12"/>
        <v>0</v>
      </c>
      <c r="D39" s="104">
        <f t="shared" si="12"/>
        <v>0</v>
      </c>
      <c r="E39" s="104">
        <f t="shared" si="12"/>
        <v>0</v>
      </c>
      <c r="F39" s="104">
        <f t="shared" si="12"/>
        <v>0</v>
      </c>
      <c r="G39" s="104">
        <f t="shared" si="12"/>
        <v>599</v>
      </c>
      <c r="H39" s="104">
        <f t="shared" si="12"/>
        <v>1065</v>
      </c>
      <c r="I39" s="104">
        <f t="shared" si="12"/>
        <v>0</v>
      </c>
      <c r="J39" s="104">
        <f t="shared" si="12"/>
        <v>0</v>
      </c>
      <c r="K39" s="104">
        <f t="shared" si="12"/>
        <v>0</v>
      </c>
      <c r="L39" s="104">
        <f t="shared" si="12"/>
        <v>0</v>
      </c>
      <c r="M39" s="104">
        <f t="shared" si="12"/>
        <v>0</v>
      </c>
      <c r="N39" s="104">
        <f t="shared" si="12"/>
        <v>489</v>
      </c>
      <c r="O39" s="104">
        <f t="shared" si="12"/>
        <v>954</v>
      </c>
      <c r="P39" s="104">
        <f t="shared" si="12"/>
        <v>0</v>
      </c>
      <c r="Q39" s="104">
        <f t="shared" si="12"/>
        <v>0</v>
      </c>
      <c r="R39" s="104">
        <f t="shared" si="12"/>
        <v>0</v>
      </c>
      <c r="S39" s="104">
        <f t="shared" si="12"/>
        <v>0</v>
      </c>
      <c r="T39" s="104">
        <f t="shared" si="12"/>
        <v>0</v>
      </c>
      <c r="U39" s="104">
        <f t="shared" si="12"/>
        <v>539</v>
      </c>
      <c r="V39" s="104">
        <f t="shared" si="12"/>
        <v>867</v>
      </c>
      <c r="W39" s="104">
        <f t="shared" si="12"/>
        <v>0</v>
      </c>
      <c r="X39" s="104">
        <f t="shared" si="12"/>
        <v>0</v>
      </c>
      <c r="Y39" s="104">
        <f t="shared" si="12"/>
        <v>0</v>
      </c>
      <c r="Z39" s="104">
        <f t="shared" si="12"/>
        <v>0</v>
      </c>
      <c r="AA39" s="104">
        <f t="shared" si="12"/>
        <v>0</v>
      </c>
      <c r="AB39" s="104">
        <f t="shared" si="12"/>
        <v>483</v>
      </c>
      <c r="AC39" s="104">
        <f t="shared" si="12"/>
        <v>859</v>
      </c>
      <c r="AD39" s="104">
        <f t="shared" si="12"/>
        <v>0</v>
      </c>
      <c r="AE39" s="104">
        <f t="shared" si="12"/>
        <v>0</v>
      </c>
      <c r="AF39" s="104">
        <f t="shared" si="12"/>
        <v>0</v>
      </c>
      <c r="AG39" s="93">
        <f t="shared" si="5"/>
        <v>5855</v>
      </c>
      <c r="AH39" s="27"/>
      <c r="AI39" s="27"/>
      <c r="AJ39" s="73"/>
      <c r="AK39" s="28"/>
      <c r="AL39" s="79" t="s">
        <v>37</v>
      </c>
      <c r="AM39" s="75">
        <f t="shared" si="7"/>
        <v>5855</v>
      </c>
    </row>
    <row r="40" spans="2:40" s="29" customFormat="1" ht="18" customHeight="1" thickBot="1" x14ac:dyDescent="0.25">
      <c r="B40" s="104" t="s">
        <v>31</v>
      </c>
      <c r="C40" s="104">
        <f t="shared" ref="C40:AF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 t="e">
        <f t="shared" si="13"/>
        <v>#VALUE!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>
        <f t="shared" si="13"/>
        <v>0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104">
        <f t="shared" si="13"/>
        <v>0</v>
      </c>
      <c r="AF40" s="104">
        <f t="shared" si="13"/>
        <v>0</v>
      </c>
      <c r="AG40" s="93" t="e">
        <f t="shared" si="5"/>
        <v>#VALUE!</v>
      </c>
      <c r="AH40" s="27"/>
      <c r="AI40" s="27"/>
      <c r="AJ40" s="73"/>
      <c r="AK40" s="28"/>
      <c r="AL40" s="77" t="s">
        <v>15</v>
      </c>
      <c r="AM40" s="75" t="e">
        <f t="shared" si="7"/>
        <v>#VALUE!</v>
      </c>
    </row>
    <row r="41" spans="2:40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104">
        <f t="shared" si="13"/>
        <v>0</v>
      </c>
      <c r="AF41" s="104">
        <f t="shared" si="13"/>
        <v>0</v>
      </c>
      <c r="AG41" s="93">
        <f t="shared" si="5"/>
        <v>0</v>
      </c>
      <c r="AH41" s="6"/>
      <c r="AI41" s="6"/>
      <c r="AJ41" s="14"/>
      <c r="AK41" s="28"/>
      <c r="AL41" s="70"/>
      <c r="AM41" s="80"/>
      <c r="AN41" s="30"/>
    </row>
    <row r="42" spans="2:40" s="25" customFormat="1" ht="18" customHeight="1" x14ac:dyDescent="0.2">
      <c r="B42" s="92" t="s">
        <v>6</v>
      </c>
      <c r="C42" s="92">
        <f t="shared" ref="C42:AF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2">
        <f t="shared" si="14"/>
        <v>0</v>
      </c>
      <c r="AF42" s="92">
        <f t="shared" si="14"/>
        <v>0</v>
      </c>
      <c r="AG42" s="93">
        <f t="shared" si="5"/>
        <v>0</v>
      </c>
      <c r="AH42" s="6"/>
      <c r="AI42" s="6"/>
      <c r="AJ42" s="14"/>
      <c r="AK42" s="28"/>
      <c r="AL42" s="70"/>
      <c r="AM42" s="29"/>
      <c r="AN42" s="30"/>
    </row>
    <row r="43" spans="2:40" s="17" customFormat="1" ht="18" customHeight="1" x14ac:dyDescent="0.2">
      <c r="B43" s="92" t="s">
        <v>7</v>
      </c>
      <c r="C43" s="92">
        <f t="shared" ref="C43:AF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2">
        <f t="shared" si="15"/>
        <v>0</v>
      </c>
      <c r="AF43" s="92">
        <f t="shared" si="15"/>
        <v>0</v>
      </c>
      <c r="AG43" s="93">
        <f t="shared" si="5"/>
        <v>0</v>
      </c>
      <c r="AH43" s="2"/>
      <c r="AI43" s="2"/>
      <c r="AJ43" s="14"/>
      <c r="AK43" s="15"/>
      <c r="AL43" s="16"/>
    </row>
    <row r="44" spans="2:40" s="17" customFormat="1" ht="18" customHeight="1" x14ac:dyDescent="0.2">
      <c r="B44" s="92" t="s">
        <v>8</v>
      </c>
      <c r="C44" s="92">
        <f t="shared" ref="C44:AF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2">
        <f t="shared" si="16"/>
        <v>0</v>
      </c>
      <c r="AF44" s="92">
        <f t="shared" si="16"/>
        <v>0</v>
      </c>
      <c r="AG44" s="93">
        <f t="shared" si="5"/>
        <v>0</v>
      </c>
      <c r="AH44" s="2"/>
      <c r="AI44" s="2"/>
      <c r="AJ44" s="14"/>
      <c r="AK44" s="15"/>
      <c r="AL44" s="16"/>
    </row>
    <row r="45" spans="2:40" s="17" customFormat="1" ht="18" customHeight="1" x14ac:dyDescent="0.2">
      <c r="B45" s="92" t="s">
        <v>9</v>
      </c>
      <c r="C45" s="92">
        <f t="shared" ref="C45:AF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2">
        <f t="shared" si="17"/>
        <v>0</v>
      </c>
      <c r="AF45" s="92">
        <f t="shared" si="17"/>
        <v>0</v>
      </c>
      <c r="AG45" s="93">
        <f t="shared" si="5"/>
        <v>0</v>
      </c>
      <c r="AH45" s="2"/>
      <c r="AI45" s="2"/>
      <c r="AJ45" s="14"/>
      <c r="AK45" s="15"/>
      <c r="AL45" s="16"/>
    </row>
    <row r="46" spans="2:40" s="17" customFormat="1" ht="18" customHeight="1" x14ac:dyDescent="0.2">
      <c r="B46" s="92" t="s">
        <v>10</v>
      </c>
      <c r="C46" s="92">
        <f t="shared" ref="C46:AF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2">
        <f t="shared" si="18"/>
        <v>0</v>
      </c>
      <c r="AF46" s="92">
        <f t="shared" si="18"/>
        <v>0</v>
      </c>
      <c r="AG46" s="93">
        <f t="shared" si="5"/>
        <v>0</v>
      </c>
      <c r="AH46" s="2"/>
      <c r="AI46" s="2"/>
      <c r="AJ46" s="14"/>
      <c r="AK46" s="15"/>
      <c r="AL46" s="16"/>
    </row>
    <row r="47" spans="2:40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2"/>
      <c r="AH47" s="2"/>
      <c r="AI47" s="2"/>
      <c r="AJ47" s="14"/>
      <c r="AK47" s="15"/>
      <c r="AL47" s="16"/>
    </row>
    <row r="48" spans="2:40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2"/>
      <c r="AH48" s="2"/>
      <c r="AI48" s="2"/>
      <c r="AJ48" s="14"/>
      <c r="AK48" s="15"/>
      <c r="AL48" s="16"/>
    </row>
    <row r="49" spans="2:39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2"/>
      <c r="AH49" s="2"/>
      <c r="AI49" s="2"/>
      <c r="AJ49" s="14"/>
      <c r="AK49" s="15"/>
      <c r="AL49" s="16"/>
    </row>
    <row r="50" spans="2:39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2"/>
      <c r="AH50" s="2"/>
      <c r="AI50" s="2"/>
      <c r="AJ50" s="14"/>
      <c r="AK50" s="15"/>
      <c r="AL50" s="81"/>
      <c r="AM50" s="17"/>
    </row>
    <row r="51" spans="2:39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2"/>
      <c r="AH51" s="2"/>
      <c r="AI51" s="2"/>
      <c r="AJ51" s="14"/>
      <c r="AK51" s="15"/>
      <c r="AL51" s="81"/>
      <c r="AM51" s="17"/>
    </row>
    <row r="52" spans="2:39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2"/>
      <c r="AH52" s="2"/>
      <c r="AI52" s="2"/>
      <c r="AJ52" s="14"/>
      <c r="AK52" s="15"/>
      <c r="AL52" s="81"/>
      <c r="AM52" s="17"/>
    </row>
    <row r="53" spans="2:39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2"/>
      <c r="AH53" s="2"/>
      <c r="AI53" s="2"/>
      <c r="AJ53" s="14"/>
      <c r="AK53" s="15"/>
      <c r="AL53" s="81"/>
      <c r="AM53" s="17"/>
    </row>
    <row r="54" spans="2:39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2"/>
      <c r="AH54" s="2"/>
      <c r="AI54" s="2"/>
      <c r="AJ54" s="14"/>
      <c r="AK54" s="15"/>
      <c r="AL54" s="81"/>
      <c r="AM54" s="17"/>
    </row>
    <row r="55" spans="2:39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2"/>
      <c r="AH55" s="2"/>
      <c r="AI55" s="2"/>
      <c r="AJ55" s="14"/>
      <c r="AK55" s="15"/>
      <c r="AL55" s="81"/>
      <c r="AM55" s="17"/>
    </row>
    <row r="56" spans="2:39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2"/>
      <c r="AH56" s="2"/>
      <c r="AI56" s="2"/>
      <c r="AJ56" s="14"/>
      <c r="AK56" s="15"/>
      <c r="AL56" s="81"/>
      <c r="AM56" s="17"/>
    </row>
    <row r="57" spans="2:39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2"/>
      <c r="AH57" s="2"/>
      <c r="AI57" s="2"/>
      <c r="AJ57" s="14"/>
      <c r="AK57" s="15"/>
      <c r="AL57" s="81"/>
      <c r="AM57" s="17"/>
    </row>
    <row r="58" spans="2:39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2"/>
      <c r="AH58" s="2"/>
      <c r="AI58" s="2"/>
      <c r="AJ58" s="14"/>
      <c r="AK58" s="15"/>
      <c r="AL58" s="81"/>
      <c r="AM58" s="17"/>
    </row>
    <row r="59" spans="2:39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2"/>
      <c r="AH59" s="2"/>
      <c r="AI59" s="2"/>
      <c r="AJ59" s="14"/>
      <c r="AK59" s="15"/>
      <c r="AL59" s="81"/>
      <c r="AM59" s="17"/>
    </row>
    <row r="60" spans="2:39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2"/>
      <c r="AH60" s="2"/>
      <c r="AI60" s="2"/>
      <c r="AJ60" s="14"/>
      <c r="AK60" s="15"/>
      <c r="AL60" s="81"/>
      <c r="AM60" s="17"/>
    </row>
    <row r="61" spans="2:39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2"/>
      <c r="AH61" s="2"/>
      <c r="AI61" s="2"/>
      <c r="AJ61" s="14"/>
      <c r="AK61" s="15"/>
      <c r="AL61" s="81"/>
      <c r="AM61" s="17"/>
    </row>
    <row r="62" spans="2:39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2"/>
      <c r="AH62" s="2"/>
      <c r="AI62" s="2"/>
      <c r="AJ62" s="14"/>
      <c r="AK62" s="15"/>
      <c r="AL62" s="81"/>
      <c r="AM62" s="17"/>
    </row>
    <row r="63" spans="2:39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2"/>
      <c r="AH63" s="2"/>
      <c r="AI63" s="2"/>
      <c r="AJ63" s="14"/>
      <c r="AK63" s="15"/>
      <c r="AL63" s="81"/>
      <c r="AM63" s="17"/>
    </row>
    <row r="64" spans="2:39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2"/>
      <c r="AH64" s="2"/>
      <c r="AI64" s="2"/>
      <c r="AJ64" s="14"/>
      <c r="AK64" s="15"/>
      <c r="AL64" s="81"/>
      <c r="AM64" s="17"/>
    </row>
    <row r="65" spans="2:39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2"/>
      <c r="AH65" s="2"/>
      <c r="AI65" s="2"/>
      <c r="AJ65" s="14"/>
      <c r="AK65" s="15"/>
      <c r="AL65" s="81"/>
      <c r="AM65" s="17"/>
    </row>
    <row r="66" spans="2:39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2"/>
      <c r="AH66" s="2"/>
      <c r="AI66" s="2"/>
      <c r="AJ66" s="14"/>
      <c r="AK66" s="15"/>
      <c r="AL66" s="81"/>
      <c r="AM66" s="17"/>
    </row>
    <row r="67" spans="2:39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  <c r="AH67" s="2"/>
      <c r="AI67" s="2"/>
      <c r="AJ67" s="14"/>
      <c r="AK67" s="15"/>
      <c r="AL67" s="81"/>
      <c r="AM67" s="17"/>
    </row>
    <row r="68" spans="2:39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2"/>
      <c r="AI68" s="2"/>
      <c r="AJ68" s="14"/>
      <c r="AK68" s="15"/>
      <c r="AL68" s="81"/>
      <c r="AM68" s="17"/>
    </row>
    <row r="69" spans="2:39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"/>
      <c r="AH69" s="2"/>
      <c r="AI69" s="2"/>
      <c r="AJ69" s="14"/>
      <c r="AK69" s="15"/>
      <c r="AL69" s="81"/>
      <c r="AM69" s="17"/>
    </row>
    <row r="70" spans="2:39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2"/>
      <c r="AH70" s="2"/>
      <c r="AI70" s="2"/>
      <c r="AJ70" s="14"/>
      <c r="AK70" s="15"/>
      <c r="AL70" s="81"/>
      <c r="AM70" s="17"/>
    </row>
    <row r="71" spans="2:39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2"/>
      <c r="AH71" s="2"/>
      <c r="AI71" s="2"/>
      <c r="AJ71" s="14"/>
      <c r="AK71" s="15"/>
      <c r="AL71" s="81"/>
      <c r="AM71" s="17"/>
    </row>
    <row r="72" spans="2:39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2"/>
      <c r="AH72" s="2"/>
      <c r="AI72" s="2"/>
      <c r="AJ72" s="14"/>
      <c r="AK72" s="15"/>
      <c r="AL72" s="81"/>
      <c r="AM72" s="17"/>
    </row>
    <row r="73" spans="2:39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2"/>
      <c r="AH73" s="2"/>
      <c r="AI73" s="2"/>
      <c r="AJ73" s="14"/>
      <c r="AK73" s="15"/>
      <c r="AL73" s="81"/>
      <c r="AM73" s="17"/>
    </row>
    <row r="74" spans="2:39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2"/>
      <c r="AH74" s="2"/>
      <c r="AI74" s="2"/>
      <c r="AJ74" s="14"/>
      <c r="AK74" s="15"/>
      <c r="AL74" s="81"/>
      <c r="AM74" s="17"/>
    </row>
    <row r="75" spans="2:39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2"/>
      <c r="AH75" s="2"/>
      <c r="AI75" s="2"/>
      <c r="AJ75" s="14"/>
      <c r="AK75" s="15"/>
      <c r="AL75" s="81"/>
      <c r="AM75" s="17"/>
    </row>
    <row r="76" spans="2:39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2"/>
      <c r="AH76" s="2"/>
      <c r="AI76" s="2"/>
      <c r="AJ76" s="14"/>
      <c r="AK76" s="15"/>
      <c r="AL76" s="81"/>
      <c r="AM76" s="17"/>
    </row>
    <row r="77" spans="2:39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2"/>
      <c r="AH77" s="2"/>
      <c r="AI77" s="2"/>
      <c r="AJ77" s="14"/>
      <c r="AK77" s="15"/>
      <c r="AL77" s="81"/>
      <c r="AM77" s="17"/>
    </row>
    <row r="78" spans="2:39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2"/>
      <c r="AH78" s="2"/>
      <c r="AI78" s="2"/>
      <c r="AJ78" s="14"/>
      <c r="AK78" s="15"/>
      <c r="AL78" s="81"/>
      <c r="AM78" s="17"/>
    </row>
    <row r="79" spans="2:39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"/>
      <c r="AH79" s="2"/>
      <c r="AI79" s="2"/>
      <c r="AJ79" s="14"/>
      <c r="AK79" s="15"/>
      <c r="AL79" s="81"/>
      <c r="AM79" s="17"/>
    </row>
    <row r="80" spans="2:39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"/>
      <c r="AH80" s="2"/>
      <c r="AI80" s="2"/>
      <c r="AJ80" s="14"/>
      <c r="AK80" s="15"/>
      <c r="AL80" s="81"/>
      <c r="AM80" s="17"/>
    </row>
    <row r="81" spans="2:40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2"/>
      <c r="AH81" s="2"/>
      <c r="AI81" s="2"/>
      <c r="AJ81" s="14"/>
      <c r="AK81" s="15"/>
      <c r="AL81" s="81"/>
      <c r="AM81" s="17"/>
    </row>
    <row r="82" spans="2:40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"/>
      <c r="AH82" s="2"/>
      <c r="AI82" s="2"/>
      <c r="AJ82" s="14"/>
      <c r="AK82" s="15"/>
      <c r="AL82" s="81"/>
      <c r="AM82" s="17"/>
    </row>
    <row r="83" spans="2:40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  <c r="AH83" s="2"/>
      <c r="AI83" s="2"/>
      <c r="AJ83" s="14"/>
      <c r="AK83" s="15"/>
      <c r="AL83" s="81"/>
      <c r="AM83" s="17"/>
    </row>
    <row r="84" spans="2:40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"/>
      <c r="AH84" s="2"/>
      <c r="AI84" s="2"/>
      <c r="AJ84" s="14"/>
      <c r="AK84" s="15"/>
      <c r="AL84" s="81"/>
      <c r="AM84" s="17"/>
    </row>
    <row r="85" spans="2:40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"/>
      <c r="AH85" s="2"/>
      <c r="AI85" s="2"/>
      <c r="AJ85" s="14"/>
      <c r="AK85" s="15"/>
      <c r="AL85" s="81"/>
      <c r="AM85" s="17"/>
    </row>
    <row r="86" spans="2:40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"/>
      <c r="AH86" s="2"/>
      <c r="AI86" s="2"/>
      <c r="AJ86" s="14"/>
      <c r="AK86" s="15"/>
      <c r="AL86" s="81"/>
      <c r="AM86" s="17"/>
    </row>
    <row r="87" spans="2:40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"/>
      <c r="AH87" s="2"/>
      <c r="AI87" s="2"/>
      <c r="AJ87" s="14"/>
      <c r="AK87" s="15"/>
      <c r="AL87" s="81"/>
      <c r="AM87" s="17"/>
    </row>
    <row r="88" spans="2:40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  <c r="AH88" s="2"/>
      <c r="AI88" s="2"/>
      <c r="AJ88" s="14"/>
      <c r="AK88" s="15"/>
      <c r="AL88" s="81"/>
      <c r="AM88" s="17"/>
    </row>
    <row r="89" spans="2:40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"/>
      <c r="AH89" s="2"/>
      <c r="AI89" s="2"/>
      <c r="AJ89" s="14"/>
      <c r="AK89" s="15"/>
      <c r="AL89" s="81"/>
      <c r="AM89" s="17"/>
    </row>
    <row r="90" spans="2:40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2"/>
      <c r="AH90" s="2"/>
      <c r="AI90" s="2"/>
      <c r="AJ90" s="14"/>
      <c r="AK90" s="15"/>
      <c r="AL90" s="81"/>
      <c r="AM90" s="17"/>
    </row>
    <row r="91" spans="2:40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2"/>
      <c r="AH91" s="2"/>
      <c r="AI91" s="2"/>
      <c r="AJ91" s="14"/>
      <c r="AK91" s="15"/>
      <c r="AL91" s="81"/>
      <c r="AM91" s="17"/>
    </row>
    <row r="92" spans="2:40" x14ac:dyDescent="0.2">
      <c r="AN92" s="19"/>
    </row>
  </sheetData>
  <mergeCells count="5">
    <mergeCell ref="A1:AG1"/>
    <mergeCell ref="A3:A4"/>
    <mergeCell ref="B3:B4"/>
    <mergeCell ref="C3:AF3"/>
    <mergeCell ref="AG3:AG4"/>
  </mergeCells>
  <pageMargins left="0.75" right="0.75" top="1" bottom="1" header="0.5" footer="0.5"/>
  <pageSetup paperSize="122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4E5A-BFC5-43AA-AD19-5F9439747D5B}">
  <dimension ref="A1:AO92"/>
  <sheetViews>
    <sheetView tabSelected="1" zoomScale="93" zoomScaleNormal="93" workbookViewId="0">
      <pane xSplit="2" topLeftCell="H1" activePane="topRight" state="frozen"/>
      <selection pane="topRight" activeCell="M16" sqref="M16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7" width="15.77734375" style="16" customWidth="1"/>
    <col min="8" max="8" width="15.77734375" style="82" customWidth="1"/>
    <col min="9" max="11" width="15.77734375" style="16" customWidth="1"/>
    <col min="12" max="12" width="15.77734375" style="1" customWidth="1"/>
    <col min="13" max="14" width="15.77734375" style="16" customWidth="1"/>
    <col min="15" max="33" width="15.77734375" style="1" customWidth="1"/>
    <col min="34" max="34" width="15.77734375" style="2" customWidth="1"/>
    <col min="35" max="35" width="10.5546875" style="2" customWidth="1"/>
    <col min="36" max="36" width="14.21875" style="2" customWidth="1"/>
    <col min="37" max="37" width="12.88671875" style="14" customWidth="1"/>
    <col min="38" max="38" width="13.109375" style="15" bestFit="1" customWidth="1"/>
    <col min="39" max="39" width="27.21875" style="16" customWidth="1"/>
    <col min="40" max="40" width="14.44140625" style="17" bestFit="1" customWidth="1"/>
    <col min="41" max="41" width="11.77734375" style="18" bestFit="1" customWidth="1"/>
    <col min="42" max="44" width="8.88671875" style="19"/>
    <col min="45" max="45" width="13.44140625" style="19" bestFit="1" customWidth="1"/>
    <col min="46" max="256" width="8.88671875" style="19"/>
    <col min="257" max="257" width="5.109375" style="19" customWidth="1"/>
    <col min="258" max="258" width="49.33203125" style="19" customWidth="1"/>
    <col min="259" max="290" width="15.77734375" style="19" customWidth="1"/>
    <col min="291" max="292" width="10.5546875" style="19" customWidth="1"/>
    <col min="293" max="293" width="11" style="19" customWidth="1"/>
    <col min="294" max="294" width="13.109375" style="19" bestFit="1" customWidth="1"/>
    <col min="295" max="295" width="27.21875" style="19" customWidth="1"/>
    <col min="296" max="296" width="14.44140625" style="19" bestFit="1" customWidth="1"/>
    <col min="297" max="297" width="11.77734375" style="19" bestFit="1" customWidth="1"/>
    <col min="298" max="300" width="8.88671875" style="19"/>
    <col min="301" max="301" width="13.44140625" style="19" bestFit="1" customWidth="1"/>
    <col min="302" max="512" width="8.88671875" style="19"/>
    <col min="513" max="513" width="5.109375" style="19" customWidth="1"/>
    <col min="514" max="514" width="49.33203125" style="19" customWidth="1"/>
    <col min="515" max="546" width="15.77734375" style="19" customWidth="1"/>
    <col min="547" max="548" width="10.5546875" style="19" customWidth="1"/>
    <col min="549" max="549" width="11" style="19" customWidth="1"/>
    <col min="550" max="550" width="13.109375" style="19" bestFit="1" customWidth="1"/>
    <col min="551" max="551" width="27.21875" style="19" customWidth="1"/>
    <col min="552" max="552" width="14.44140625" style="19" bestFit="1" customWidth="1"/>
    <col min="553" max="553" width="11.77734375" style="19" bestFit="1" customWidth="1"/>
    <col min="554" max="556" width="8.88671875" style="19"/>
    <col min="557" max="557" width="13.44140625" style="19" bestFit="1" customWidth="1"/>
    <col min="558" max="768" width="8.88671875" style="19"/>
    <col min="769" max="769" width="5.109375" style="19" customWidth="1"/>
    <col min="770" max="770" width="49.33203125" style="19" customWidth="1"/>
    <col min="771" max="802" width="15.77734375" style="19" customWidth="1"/>
    <col min="803" max="804" width="10.5546875" style="19" customWidth="1"/>
    <col min="805" max="805" width="11" style="19" customWidth="1"/>
    <col min="806" max="806" width="13.109375" style="19" bestFit="1" customWidth="1"/>
    <col min="807" max="807" width="27.21875" style="19" customWidth="1"/>
    <col min="808" max="808" width="14.44140625" style="19" bestFit="1" customWidth="1"/>
    <col min="809" max="809" width="11.77734375" style="19" bestFit="1" customWidth="1"/>
    <col min="810" max="812" width="8.88671875" style="19"/>
    <col min="813" max="813" width="13.44140625" style="19" bestFit="1" customWidth="1"/>
    <col min="814" max="1024" width="8.88671875" style="19"/>
    <col min="1025" max="1025" width="5.109375" style="19" customWidth="1"/>
    <col min="1026" max="1026" width="49.33203125" style="19" customWidth="1"/>
    <col min="1027" max="1058" width="15.77734375" style="19" customWidth="1"/>
    <col min="1059" max="1060" width="10.5546875" style="19" customWidth="1"/>
    <col min="1061" max="1061" width="11" style="19" customWidth="1"/>
    <col min="1062" max="1062" width="13.109375" style="19" bestFit="1" customWidth="1"/>
    <col min="1063" max="1063" width="27.21875" style="19" customWidth="1"/>
    <col min="1064" max="1064" width="14.44140625" style="19" bestFit="1" customWidth="1"/>
    <col min="1065" max="1065" width="11.77734375" style="19" bestFit="1" customWidth="1"/>
    <col min="1066" max="1068" width="8.88671875" style="19"/>
    <col min="1069" max="1069" width="13.44140625" style="19" bestFit="1" customWidth="1"/>
    <col min="1070" max="1280" width="8.88671875" style="19"/>
    <col min="1281" max="1281" width="5.109375" style="19" customWidth="1"/>
    <col min="1282" max="1282" width="49.33203125" style="19" customWidth="1"/>
    <col min="1283" max="1314" width="15.77734375" style="19" customWidth="1"/>
    <col min="1315" max="1316" width="10.5546875" style="19" customWidth="1"/>
    <col min="1317" max="1317" width="11" style="19" customWidth="1"/>
    <col min="1318" max="1318" width="13.109375" style="19" bestFit="1" customWidth="1"/>
    <col min="1319" max="1319" width="27.21875" style="19" customWidth="1"/>
    <col min="1320" max="1320" width="14.44140625" style="19" bestFit="1" customWidth="1"/>
    <col min="1321" max="1321" width="11.77734375" style="19" bestFit="1" customWidth="1"/>
    <col min="1322" max="1324" width="8.88671875" style="19"/>
    <col min="1325" max="1325" width="13.44140625" style="19" bestFit="1" customWidth="1"/>
    <col min="1326" max="1536" width="8.88671875" style="19"/>
    <col min="1537" max="1537" width="5.109375" style="19" customWidth="1"/>
    <col min="1538" max="1538" width="49.33203125" style="19" customWidth="1"/>
    <col min="1539" max="1570" width="15.77734375" style="19" customWidth="1"/>
    <col min="1571" max="1572" width="10.5546875" style="19" customWidth="1"/>
    <col min="1573" max="1573" width="11" style="19" customWidth="1"/>
    <col min="1574" max="1574" width="13.109375" style="19" bestFit="1" customWidth="1"/>
    <col min="1575" max="1575" width="27.21875" style="19" customWidth="1"/>
    <col min="1576" max="1576" width="14.44140625" style="19" bestFit="1" customWidth="1"/>
    <col min="1577" max="1577" width="11.77734375" style="19" bestFit="1" customWidth="1"/>
    <col min="1578" max="1580" width="8.88671875" style="19"/>
    <col min="1581" max="1581" width="13.44140625" style="19" bestFit="1" customWidth="1"/>
    <col min="1582" max="1792" width="8.88671875" style="19"/>
    <col min="1793" max="1793" width="5.109375" style="19" customWidth="1"/>
    <col min="1794" max="1794" width="49.33203125" style="19" customWidth="1"/>
    <col min="1795" max="1826" width="15.77734375" style="19" customWidth="1"/>
    <col min="1827" max="1828" width="10.5546875" style="19" customWidth="1"/>
    <col min="1829" max="1829" width="11" style="19" customWidth="1"/>
    <col min="1830" max="1830" width="13.109375" style="19" bestFit="1" customWidth="1"/>
    <col min="1831" max="1831" width="27.21875" style="19" customWidth="1"/>
    <col min="1832" max="1832" width="14.44140625" style="19" bestFit="1" customWidth="1"/>
    <col min="1833" max="1833" width="11.77734375" style="19" bestFit="1" customWidth="1"/>
    <col min="1834" max="1836" width="8.88671875" style="19"/>
    <col min="1837" max="1837" width="13.44140625" style="19" bestFit="1" customWidth="1"/>
    <col min="1838" max="2048" width="8.88671875" style="19"/>
    <col min="2049" max="2049" width="5.109375" style="19" customWidth="1"/>
    <col min="2050" max="2050" width="49.33203125" style="19" customWidth="1"/>
    <col min="2051" max="2082" width="15.77734375" style="19" customWidth="1"/>
    <col min="2083" max="2084" width="10.5546875" style="19" customWidth="1"/>
    <col min="2085" max="2085" width="11" style="19" customWidth="1"/>
    <col min="2086" max="2086" width="13.109375" style="19" bestFit="1" customWidth="1"/>
    <col min="2087" max="2087" width="27.21875" style="19" customWidth="1"/>
    <col min="2088" max="2088" width="14.44140625" style="19" bestFit="1" customWidth="1"/>
    <col min="2089" max="2089" width="11.77734375" style="19" bestFit="1" customWidth="1"/>
    <col min="2090" max="2092" width="8.88671875" style="19"/>
    <col min="2093" max="2093" width="13.44140625" style="19" bestFit="1" customWidth="1"/>
    <col min="2094" max="2304" width="8.88671875" style="19"/>
    <col min="2305" max="2305" width="5.109375" style="19" customWidth="1"/>
    <col min="2306" max="2306" width="49.33203125" style="19" customWidth="1"/>
    <col min="2307" max="2338" width="15.77734375" style="19" customWidth="1"/>
    <col min="2339" max="2340" width="10.5546875" style="19" customWidth="1"/>
    <col min="2341" max="2341" width="11" style="19" customWidth="1"/>
    <col min="2342" max="2342" width="13.109375" style="19" bestFit="1" customWidth="1"/>
    <col min="2343" max="2343" width="27.21875" style="19" customWidth="1"/>
    <col min="2344" max="2344" width="14.44140625" style="19" bestFit="1" customWidth="1"/>
    <col min="2345" max="2345" width="11.77734375" style="19" bestFit="1" customWidth="1"/>
    <col min="2346" max="2348" width="8.88671875" style="19"/>
    <col min="2349" max="2349" width="13.44140625" style="19" bestFit="1" customWidth="1"/>
    <col min="2350" max="2560" width="8.88671875" style="19"/>
    <col min="2561" max="2561" width="5.109375" style="19" customWidth="1"/>
    <col min="2562" max="2562" width="49.33203125" style="19" customWidth="1"/>
    <col min="2563" max="2594" width="15.77734375" style="19" customWidth="1"/>
    <col min="2595" max="2596" width="10.5546875" style="19" customWidth="1"/>
    <col min="2597" max="2597" width="11" style="19" customWidth="1"/>
    <col min="2598" max="2598" width="13.109375" style="19" bestFit="1" customWidth="1"/>
    <col min="2599" max="2599" width="27.21875" style="19" customWidth="1"/>
    <col min="2600" max="2600" width="14.44140625" style="19" bestFit="1" customWidth="1"/>
    <col min="2601" max="2601" width="11.77734375" style="19" bestFit="1" customWidth="1"/>
    <col min="2602" max="2604" width="8.88671875" style="19"/>
    <col min="2605" max="2605" width="13.44140625" style="19" bestFit="1" customWidth="1"/>
    <col min="2606" max="2816" width="8.88671875" style="19"/>
    <col min="2817" max="2817" width="5.109375" style="19" customWidth="1"/>
    <col min="2818" max="2818" width="49.33203125" style="19" customWidth="1"/>
    <col min="2819" max="2850" width="15.77734375" style="19" customWidth="1"/>
    <col min="2851" max="2852" width="10.5546875" style="19" customWidth="1"/>
    <col min="2853" max="2853" width="11" style="19" customWidth="1"/>
    <col min="2854" max="2854" width="13.109375" style="19" bestFit="1" customWidth="1"/>
    <col min="2855" max="2855" width="27.21875" style="19" customWidth="1"/>
    <col min="2856" max="2856" width="14.44140625" style="19" bestFit="1" customWidth="1"/>
    <col min="2857" max="2857" width="11.77734375" style="19" bestFit="1" customWidth="1"/>
    <col min="2858" max="2860" width="8.88671875" style="19"/>
    <col min="2861" max="2861" width="13.44140625" style="19" bestFit="1" customWidth="1"/>
    <col min="2862" max="3072" width="8.88671875" style="19"/>
    <col min="3073" max="3073" width="5.109375" style="19" customWidth="1"/>
    <col min="3074" max="3074" width="49.33203125" style="19" customWidth="1"/>
    <col min="3075" max="3106" width="15.77734375" style="19" customWidth="1"/>
    <col min="3107" max="3108" width="10.5546875" style="19" customWidth="1"/>
    <col min="3109" max="3109" width="11" style="19" customWidth="1"/>
    <col min="3110" max="3110" width="13.109375" style="19" bestFit="1" customWidth="1"/>
    <col min="3111" max="3111" width="27.21875" style="19" customWidth="1"/>
    <col min="3112" max="3112" width="14.44140625" style="19" bestFit="1" customWidth="1"/>
    <col min="3113" max="3113" width="11.77734375" style="19" bestFit="1" customWidth="1"/>
    <col min="3114" max="3116" width="8.88671875" style="19"/>
    <col min="3117" max="3117" width="13.44140625" style="19" bestFit="1" customWidth="1"/>
    <col min="3118" max="3328" width="8.88671875" style="19"/>
    <col min="3329" max="3329" width="5.109375" style="19" customWidth="1"/>
    <col min="3330" max="3330" width="49.33203125" style="19" customWidth="1"/>
    <col min="3331" max="3362" width="15.77734375" style="19" customWidth="1"/>
    <col min="3363" max="3364" width="10.5546875" style="19" customWidth="1"/>
    <col min="3365" max="3365" width="11" style="19" customWidth="1"/>
    <col min="3366" max="3366" width="13.109375" style="19" bestFit="1" customWidth="1"/>
    <col min="3367" max="3367" width="27.21875" style="19" customWidth="1"/>
    <col min="3368" max="3368" width="14.44140625" style="19" bestFit="1" customWidth="1"/>
    <col min="3369" max="3369" width="11.77734375" style="19" bestFit="1" customWidth="1"/>
    <col min="3370" max="3372" width="8.88671875" style="19"/>
    <col min="3373" max="3373" width="13.44140625" style="19" bestFit="1" customWidth="1"/>
    <col min="3374" max="3584" width="8.88671875" style="19"/>
    <col min="3585" max="3585" width="5.109375" style="19" customWidth="1"/>
    <col min="3586" max="3586" width="49.33203125" style="19" customWidth="1"/>
    <col min="3587" max="3618" width="15.77734375" style="19" customWidth="1"/>
    <col min="3619" max="3620" width="10.5546875" style="19" customWidth="1"/>
    <col min="3621" max="3621" width="11" style="19" customWidth="1"/>
    <col min="3622" max="3622" width="13.109375" style="19" bestFit="1" customWidth="1"/>
    <col min="3623" max="3623" width="27.21875" style="19" customWidth="1"/>
    <col min="3624" max="3624" width="14.44140625" style="19" bestFit="1" customWidth="1"/>
    <col min="3625" max="3625" width="11.77734375" style="19" bestFit="1" customWidth="1"/>
    <col min="3626" max="3628" width="8.88671875" style="19"/>
    <col min="3629" max="3629" width="13.44140625" style="19" bestFit="1" customWidth="1"/>
    <col min="3630" max="3840" width="8.88671875" style="19"/>
    <col min="3841" max="3841" width="5.109375" style="19" customWidth="1"/>
    <col min="3842" max="3842" width="49.33203125" style="19" customWidth="1"/>
    <col min="3843" max="3874" width="15.77734375" style="19" customWidth="1"/>
    <col min="3875" max="3876" width="10.5546875" style="19" customWidth="1"/>
    <col min="3877" max="3877" width="11" style="19" customWidth="1"/>
    <col min="3878" max="3878" width="13.109375" style="19" bestFit="1" customWidth="1"/>
    <col min="3879" max="3879" width="27.21875" style="19" customWidth="1"/>
    <col min="3880" max="3880" width="14.44140625" style="19" bestFit="1" customWidth="1"/>
    <col min="3881" max="3881" width="11.77734375" style="19" bestFit="1" customWidth="1"/>
    <col min="3882" max="3884" width="8.88671875" style="19"/>
    <col min="3885" max="3885" width="13.44140625" style="19" bestFit="1" customWidth="1"/>
    <col min="3886" max="4096" width="8.88671875" style="19"/>
    <col min="4097" max="4097" width="5.109375" style="19" customWidth="1"/>
    <col min="4098" max="4098" width="49.33203125" style="19" customWidth="1"/>
    <col min="4099" max="4130" width="15.77734375" style="19" customWidth="1"/>
    <col min="4131" max="4132" width="10.5546875" style="19" customWidth="1"/>
    <col min="4133" max="4133" width="11" style="19" customWidth="1"/>
    <col min="4134" max="4134" width="13.109375" style="19" bestFit="1" customWidth="1"/>
    <col min="4135" max="4135" width="27.21875" style="19" customWidth="1"/>
    <col min="4136" max="4136" width="14.44140625" style="19" bestFit="1" customWidth="1"/>
    <col min="4137" max="4137" width="11.77734375" style="19" bestFit="1" customWidth="1"/>
    <col min="4138" max="4140" width="8.88671875" style="19"/>
    <col min="4141" max="4141" width="13.44140625" style="19" bestFit="1" customWidth="1"/>
    <col min="4142" max="4352" width="8.88671875" style="19"/>
    <col min="4353" max="4353" width="5.109375" style="19" customWidth="1"/>
    <col min="4354" max="4354" width="49.33203125" style="19" customWidth="1"/>
    <col min="4355" max="4386" width="15.77734375" style="19" customWidth="1"/>
    <col min="4387" max="4388" width="10.5546875" style="19" customWidth="1"/>
    <col min="4389" max="4389" width="11" style="19" customWidth="1"/>
    <col min="4390" max="4390" width="13.109375" style="19" bestFit="1" customWidth="1"/>
    <col min="4391" max="4391" width="27.21875" style="19" customWidth="1"/>
    <col min="4392" max="4392" width="14.44140625" style="19" bestFit="1" customWidth="1"/>
    <col min="4393" max="4393" width="11.77734375" style="19" bestFit="1" customWidth="1"/>
    <col min="4394" max="4396" width="8.88671875" style="19"/>
    <col min="4397" max="4397" width="13.44140625" style="19" bestFit="1" customWidth="1"/>
    <col min="4398" max="4608" width="8.88671875" style="19"/>
    <col min="4609" max="4609" width="5.109375" style="19" customWidth="1"/>
    <col min="4610" max="4610" width="49.33203125" style="19" customWidth="1"/>
    <col min="4611" max="4642" width="15.77734375" style="19" customWidth="1"/>
    <col min="4643" max="4644" width="10.5546875" style="19" customWidth="1"/>
    <col min="4645" max="4645" width="11" style="19" customWidth="1"/>
    <col min="4646" max="4646" width="13.109375" style="19" bestFit="1" customWidth="1"/>
    <col min="4647" max="4647" width="27.21875" style="19" customWidth="1"/>
    <col min="4648" max="4648" width="14.44140625" style="19" bestFit="1" customWidth="1"/>
    <col min="4649" max="4649" width="11.77734375" style="19" bestFit="1" customWidth="1"/>
    <col min="4650" max="4652" width="8.88671875" style="19"/>
    <col min="4653" max="4653" width="13.44140625" style="19" bestFit="1" customWidth="1"/>
    <col min="4654" max="4864" width="8.88671875" style="19"/>
    <col min="4865" max="4865" width="5.109375" style="19" customWidth="1"/>
    <col min="4866" max="4866" width="49.33203125" style="19" customWidth="1"/>
    <col min="4867" max="4898" width="15.77734375" style="19" customWidth="1"/>
    <col min="4899" max="4900" width="10.5546875" style="19" customWidth="1"/>
    <col min="4901" max="4901" width="11" style="19" customWidth="1"/>
    <col min="4902" max="4902" width="13.109375" style="19" bestFit="1" customWidth="1"/>
    <col min="4903" max="4903" width="27.21875" style="19" customWidth="1"/>
    <col min="4904" max="4904" width="14.44140625" style="19" bestFit="1" customWidth="1"/>
    <col min="4905" max="4905" width="11.77734375" style="19" bestFit="1" customWidth="1"/>
    <col min="4906" max="4908" width="8.88671875" style="19"/>
    <col min="4909" max="4909" width="13.44140625" style="19" bestFit="1" customWidth="1"/>
    <col min="4910" max="5120" width="8.88671875" style="19"/>
    <col min="5121" max="5121" width="5.109375" style="19" customWidth="1"/>
    <col min="5122" max="5122" width="49.33203125" style="19" customWidth="1"/>
    <col min="5123" max="5154" width="15.77734375" style="19" customWidth="1"/>
    <col min="5155" max="5156" width="10.5546875" style="19" customWidth="1"/>
    <col min="5157" max="5157" width="11" style="19" customWidth="1"/>
    <col min="5158" max="5158" width="13.109375" style="19" bestFit="1" customWidth="1"/>
    <col min="5159" max="5159" width="27.21875" style="19" customWidth="1"/>
    <col min="5160" max="5160" width="14.44140625" style="19" bestFit="1" customWidth="1"/>
    <col min="5161" max="5161" width="11.77734375" style="19" bestFit="1" customWidth="1"/>
    <col min="5162" max="5164" width="8.88671875" style="19"/>
    <col min="5165" max="5165" width="13.44140625" style="19" bestFit="1" customWidth="1"/>
    <col min="5166" max="5376" width="8.88671875" style="19"/>
    <col min="5377" max="5377" width="5.109375" style="19" customWidth="1"/>
    <col min="5378" max="5378" width="49.33203125" style="19" customWidth="1"/>
    <col min="5379" max="5410" width="15.77734375" style="19" customWidth="1"/>
    <col min="5411" max="5412" width="10.5546875" style="19" customWidth="1"/>
    <col min="5413" max="5413" width="11" style="19" customWidth="1"/>
    <col min="5414" max="5414" width="13.109375" style="19" bestFit="1" customWidth="1"/>
    <col min="5415" max="5415" width="27.21875" style="19" customWidth="1"/>
    <col min="5416" max="5416" width="14.44140625" style="19" bestFit="1" customWidth="1"/>
    <col min="5417" max="5417" width="11.77734375" style="19" bestFit="1" customWidth="1"/>
    <col min="5418" max="5420" width="8.88671875" style="19"/>
    <col min="5421" max="5421" width="13.44140625" style="19" bestFit="1" customWidth="1"/>
    <col min="5422" max="5632" width="8.88671875" style="19"/>
    <col min="5633" max="5633" width="5.109375" style="19" customWidth="1"/>
    <col min="5634" max="5634" width="49.33203125" style="19" customWidth="1"/>
    <col min="5635" max="5666" width="15.77734375" style="19" customWidth="1"/>
    <col min="5667" max="5668" width="10.5546875" style="19" customWidth="1"/>
    <col min="5669" max="5669" width="11" style="19" customWidth="1"/>
    <col min="5670" max="5670" width="13.109375" style="19" bestFit="1" customWidth="1"/>
    <col min="5671" max="5671" width="27.21875" style="19" customWidth="1"/>
    <col min="5672" max="5672" width="14.44140625" style="19" bestFit="1" customWidth="1"/>
    <col min="5673" max="5673" width="11.77734375" style="19" bestFit="1" customWidth="1"/>
    <col min="5674" max="5676" width="8.88671875" style="19"/>
    <col min="5677" max="5677" width="13.44140625" style="19" bestFit="1" customWidth="1"/>
    <col min="5678" max="5888" width="8.88671875" style="19"/>
    <col min="5889" max="5889" width="5.109375" style="19" customWidth="1"/>
    <col min="5890" max="5890" width="49.33203125" style="19" customWidth="1"/>
    <col min="5891" max="5922" width="15.77734375" style="19" customWidth="1"/>
    <col min="5923" max="5924" width="10.5546875" style="19" customWidth="1"/>
    <col min="5925" max="5925" width="11" style="19" customWidth="1"/>
    <col min="5926" max="5926" width="13.109375" style="19" bestFit="1" customWidth="1"/>
    <col min="5927" max="5927" width="27.21875" style="19" customWidth="1"/>
    <col min="5928" max="5928" width="14.44140625" style="19" bestFit="1" customWidth="1"/>
    <col min="5929" max="5929" width="11.77734375" style="19" bestFit="1" customWidth="1"/>
    <col min="5930" max="5932" width="8.88671875" style="19"/>
    <col min="5933" max="5933" width="13.44140625" style="19" bestFit="1" customWidth="1"/>
    <col min="5934" max="6144" width="8.88671875" style="19"/>
    <col min="6145" max="6145" width="5.109375" style="19" customWidth="1"/>
    <col min="6146" max="6146" width="49.33203125" style="19" customWidth="1"/>
    <col min="6147" max="6178" width="15.77734375" style="19" customWidth="1"/>
    <col min="6179" max="6180" width="10.5546875" style="19" customWidth="1"/>
    <col min="6181" max="6181" width="11" style="19" customWidth="1"/>
    <col min="6182" max="6182" width="13.109375" style="19" bestFit="1" customWidth="1"/>
    <col min="6183" max="6183" width="27.21875" style="19" customWidth="1"/>
    <col min="6184" max="6184" width="14.44140625" style="19" bestFit="1" customWidth="1"/>
    <col min="6185" max="6185" width="11.77734375" style="19" bestFit="1" customWidth="1"/>
    <col min="6186" max="6188" width="8.88671875" style="19"/>
    <col min="6189" max="6189" width="13.44140625" style="19" bestFit="1" customWidth="1"/>
    <col min="6190" max="6400" width="8.88671875" style="19"/>
    <col min="6401" max="6401" width="5.109375" style="19" customWidth="1"/>
    <col min="6402" max="6402" width="49.33203125" style="19" customWidth="1"/>
    <col min="6403" max="6434" width="15.77734375" style="19" customWidth="1"/>
    <col min="6435" max="6436" width="10.5546875" style="19" customWidth="1"/>
    <col min="6437" max="6437" width="11" style="19" customWidth="1"/>
    <col min="6438" max="6438" width="13.109375" style="19" bestFit="1" customWidth="1"/>
    <col min="6439" max="6439" width="27.21875" style="19" customWidth="1"/>
    <col min="6440" max="6440" width="14.44140625" style="19" bestFit="1" customWidth="1"/>
    <col min="6441" max="6441" width="11.77734375" style="19" bestFit="1" customWidth="1"/>
    <col min="6442" max="6444" width="8.88671875" style="19"/>
    <col min="6445" max="6445" width="13.44140625" style="19" bestFit="1" customWidth="1"/>
    <col min="6446" max="6656" width="8.88671875" style="19"/>
    <col min="6657" max="6657" width="5.109375" style="19" customWidth="1"/>
    <col min="6658" max="6658" width="49.33203125" style="19" customWidth="1"/>
    <col min="6659" max="6690" width="15.77734375" style="19" customWidth="1"/>
    <col min="6691" max="6692" width="10.5546875" style="19" customWidth="1"/>
    <col min="6693" max="6693" width="11" style="19" customWidth="1"/>
    <col min="6694" max="6694" width="13.109375" style="19" bestFit="1" customWidth="1"/>
    <col min="6695" max="6695" width="27.21875" style="19" customWidth="1"/>
    <col min="6696" max="6696" width="14.44140625" style="19" bestFit="1" customWidth="1"/>
    <col min="6697" max="6697" width="11.77734375" style="19" bestFit="1" customWidth="1"/>
    <col min="6698" max="6700" width="8.88671875" style="19"/>
    <col min="6701" max="6701" width="13.44140625" style="19" bestFit="1" customWidth="1"/>
    <col min="6702" max="6912" width="8.88671875" style="19"/>
    <col min="6913" max="6913" width="5.109375" style="19" customWidth="1"/>
    <col min="6914" max="6914" width="49.33203125" style="19" customWidth="1"/>
    <col min="6915" max="6946" width="15.77734375" style="19" customWidth="1"/>
    <col min="6947" max="6948" width="10.5546875" style="19" customWidth="1"/>
    <col min="6949" max="6949" width="11" style="19" customWidth="1"/>
    <col min="6950" max="6950" width="13.109375" style="19" bestFit="1" customWidth="1"/>
    <col min="6951" max="6951" width="27.21875" style="19" customWidth="1"/>
    <col min="6952" max="6952" width="14.44140625" style="19" bestFit="1" customWidth="1"/>
    <col min="6953" max="6953" width="11.77734375" style="19" bestFit="1" customWidth="1"/>
    <col min="6954" max="6956" width="8.88671875" style="19"/>
    <col min="6957" max="6957" width="13.44140625" style="19" bestFit="1" customWidth="1"/>
    <col min="6958" max="7168" width="8.88671875" style="19"/>
    <col min="7169" max="7169" width="5.109375" style="19" customWidth="1"/>
    <col min="7170" max="7170" width="49.33203125" style="19" customWidth="1"/>
    <col min="7171" max="7202" width="15.77734375" style="19" customWidth="1"/>
    <col min="7203" max="7204" width="10.5546875" style="19" customWidth="1"/>
    <col min="7205" max="7205" width="11" style="19" customWidth="1"/>
    <col min="7206" max="7206" width="13.109375" style="19" bestFit="1" customWidth="1"/>
    <col min="7207" max="7207" width="27.21875" style="19" customWidth="1"/>
    <col min="7208" max="7208" width="14.44140625" style="19" bestFit="1" customWidth="1"/>
    <col min="7209" max="7209" width="11.77734375" style="19" bestFit="1" customWidth="1"/>
    <col min="7210" max="7212" width="8.88671875" style="19"/>
    <col min="7213" max="7213" width="13.44140625" style="19" bestFit="1" customWidth="1"/>
    <col min="7214" max="7424" width="8.88671875" style="19"/>
    <col min="7425" max="7425" width="5.109375" style="19" customWidth="1"/>
    <col min="7426" max="7426" width="49.33203125" style="19" customWidth="1"/>
    <col min="7427" max="7458" width="15.77734375" style="19" customWidth="1"/>
    <col min="7459" max="7460" width="10.5546875" style="19" customWidth="1"/>
    <col min="7461" max="7461" width="11" style="19" customWidth="1"/>
    <col min="7462" max="7462" width="13.109375" style="19" bestFit="1" customWidth="1"/>
    <col min="7463" max="7463" width="27.21875" style="19" customWidth="1"/>
    <col min="7464" max="7464" width="14.44140625" style="19" bestFit="1" customWidth="1"/>
    <col min="7465" max="7465" width="11.77734375" style="19" bestFit="1" customWidth="1"/>
    <col min="7466" max="7468" width="8.88671875" style="19"/>
    <col min="7469" max="7469" width="13.44140625" style="19" bestFit="1" customWidth="1"/>
    <col min="7470" max="7680" width="8.88671875" style="19"/>
    <col min="7681" max="7681" width="5.109375" style="19" customWidth="1"/>
    <col min="7682" max="7682" width="49.33203125" style="19" customWidth="1"/>
    <col min="7683" max="7714" width="15.77734375" style="19" customWidth="1"/>
    <col min="7715" max="7716" width="10.5546875" style="19" customWidth="1"/>
    <col min="7717" max="7717" width="11" style="19" customWidth="1"/>
    <col min="7718" max="7718" width="13.109375" style="19" bestFit="1" customWidth="1"/>
    <col min="7719" max="7719" width="27.21875" style="19" customWidth="1"/>
    <col min="7720" max="7720" width="14.44140625" style="19" bestFit="1" customWidth="1"/>
    <col min="7721" max="7721" width="11.77734375" style="19" bestFit="1" customWidth="1"/>
    <col min="7722" max="7724" width="8.88671875" style="19"/>
    <col min="7725" max="7725" width="13.44140625" style="19" bestFit="1" customWidth="1"/>
    <col min="7726" max="7936" width="8.88671875" style="19"/>
    <col min="7937" max="7937" width="5.109375" style="19" customWidth="1"/>
    <col min="7938" max="7938" width="49.33203125" style="19" customWidth="1"/>
    <col min="7939" max="7970" width="15.77734375" style="19" customWidth="1"/>
    <col min="7971" max="7972" width="10.5546875" style="19" customWidth="1"/>
    <col min="7973" max="7973" width="11" style="19" customWidth="1"/>
    <col min="7974" max="7974" width="13.109375" style="19" bestFit="1" customWidth="1"/>
    <col min="7975" max="7975" width="27.21875" style="19" customWidth="1"/>
    <col min="7976" max="7976" width="14.44140625" style="19" bestFit="1" customWidth="1"/>
    <col min="7977" max="7977" width="11.77734375" style="19" bestFit="1" customWidth="1"/>
    <col min="7978" max="7980" width="8.88671875" style="19"/>
    <col min="7981" max="7981" width="13.44140625" style="19" bestFit="1" customWidth="1"/>
    <col min="7982" max="8192" width="8.88671875" style="19"/>
    <col min="8193" max="8193" width="5.109375" style="19" customWidth="1"/>
    <col min="8194" max="8194" width="49.33203125" style="19" customWidth="1"/>
    <col min="8195" max="8226" width="15.77734375" style="19" customWidth="1"/>
    <col min="8227" max="8228" width="10.5546875" style="19" customWidth="1"/>
    <col min="8229" max="8229" width="11" style="19" customWidth="1"/>
    <col min="8230" max="8230" width="13.109375" style="19" bestFit="1" customWidth="1"/>
    <col min="8231" max="8231" width="27.21875" style="19" customWidth="1"/>
    <col min="8232" max="8232" width="14.44140625" style="19" bestFit="1" customWidth="1"/>
    <col min="8233" max="8233" width="11.77734375" style="19" bestFit="1" customWidth="1"/>
    <col min="8234" max="8236" width="8.88671875" style="19"/>
    <col min="8237" max="8237" width="13.44140625" style="19" bestFit="1" customWidth="1"/>
    <col min="8238" max="8448" width="8.88671875" style="19"/>
    <col min="8449" max="8449" width="5.109375" style="19" customWidth="1"/>
    <col min="8450" max="8450" width="49.33203125" style="19" customWidth="1"/>
    <col min="8451" max="8482" width="15.77734375" style="19" customWidth="1"/>
    <col min="8483" max="8484" width="10.5546875" style="19" customWidth="1"/>
    <col min="8485" max="8485" width="11" style="19" customWidth="1"/>
    <col min="8486" max="8486" width="13.109375" style="19" bestFit="1" customWidth="1"/>
    <col min="8487" max="8487" width="27.21875" style="19" customWidth="1"/>
    <col min="8488" max="8488" width="14.44140625" style="19" bestFit="1" customWidth="1"/>
    <col min="8489" max="8489" width="11.77734375" style="19" bestFit="1" customWidth="1"/>
    <col min="8490" max="8492" width="8.88671875" style="19"/>
    <col min="8493" max="8493" width="13.44140625" style="19" bestFit="1" customWidth="1"/>
    <col min="8494" max="8704" width="8.88671875" style="19"/>
    <col min="8705" max="8705" width="5.109375" style="19" customWidth="1"/>
    <col min="8706" max="8706" width="49.33203125" style="19" customWidth="1"/>
    <col min="8707" max="8738" width="15.77734375" style="19" customWidth="1"/>
    <col min="8739" max="8740" width="10.5546875" style="19" customWidth="1"/>
    <col min="8741" max="8741" width="11" style="19" customWidth="1"/>
    <col min="8742" max="8742" width="13.109375" style="19" bestFit="1" customWidth="1"/>
    <col min="8743" max="8743" width="27.21875" style="19" customWidth="1"/>
    <col min="8744" max="8744" width="14.44140625" style="19" bestFit="1" customWidth="1"/>
    <col min="8745" max="8745" width="11.77734375" style="19" bestFit="1" customWidth="1"/>
    <col min="8746" max="8748" width="8.88671875" style="19"/>
    <col min="8749" max="8749" width="13.44140625" style="19" bestFit="1" customWidth="1"/>
    <col min="8750" max="8960" width="8.88671875" style="19"/>
    <col min="8961" max="8961" width="5.109375" style="19" customWidth="1"/>
    <col min="8962" max="8962" width="49.33203125" style="19" customWidth="1"/>
    <col min="8963" max="8994" width="15.77734375" style="19" customWidth="1"/>
    <col min="8995" max="8996" width="10.5546875" style="19" customWidth="1"/>
    <col min="8997" max="8997" width="11" style="19" customWidth="1"/>
    <col min="8998" max="8998" width="13.109375" style="19" bestFit="1" customWidth="1"/>
    <col min="8999" max="8999" width="27.21875" style="19" customWidth="1"/>
    <col min="9000" max="9000" width="14.44140625" style="19" bestFit="1" customWidth="1"/>
    <col min="9001" max="9001" width="11.77734375" style="19" bestFit="1" customWidth="1"/>
    <col min="9002" max="9004" width="8.88671875" style="19"/>
    <col min="9005" max="9005" width="13.44140625" style="19" bestFit="1" customWidth="1"/>
    <col min="9006" max="9216" width="8.88671875" style="19"/>
    <col min="9217" max="9217" width="5.109375" style="19" customWidth="1"/>
    <col min="9218" max="9218" width="49.33203125" style="19" customWidth="1"/>
    <col min="9219" max="9250" width="15.77734375" style="19" customWidth="1"/>
    <col min="9251" max="9252" width="10.5546875" style="19" customWidth="1"/>
    <col min="9253" max="9253" width="11" style="19" customWidth="1"/>
    <col min="9254" max="9254" width="13.109375" style="19" bestFit="1" customWidth="1"/>
    <col min="9255" max="9255" width="27.21875" style="19" customWidth="1"/>
    <col min="9256" max="9256" width="14.44140625" style="19" bestFit="1" customWidth="1"/>
    <col min="9257" max="9257" width="11.77734375" style="19" bestFit="1" customWidth="1"/>
    <col min="9258" max="9260" width="8.88671875" style="19"/>
    <col min="9261" max="9261" width="13.44140625" style="19" bestFit="1" customWidth="1"/>
    <col min="9262" max="9472" width="8.88671875" style="19"/>
    <col min="9473" max="9473" width="5.109375" style="19" customWidth="1"/>
    <col min="9474" max="9474" width="49.33203125" style="19" customWidth="1"/>
    <col min="9475" max="9506" width="15.77734375" style="19" customWidth="1"/>
    <col min="9507" max="9508" width="10.5546875" style="19" customWidth="1"/>
    <col min="9509" max="9509" width="11" style="19" customWidth="1"/>
    <col min="9510" max="9510" width="13.109375" style="19" bestFit="1" customWidth="1"/>
    <col min="9511" max="9511" width="27.21875" style="19" customWidth="1"/>
    <col min="9512" max="9512" width="14.44140625" style="19" bestFit="1" customWidth="1"/>
    <col min="9513" max="9513" width="11.77734375" style="19" bestFit="1" customWidth="1"/>
    <col min="9514" max="9516" width="8.88671875" style="19"/>
    <col min="9517" max="9517" width="13.44140625" style="19" bestFit="1" customWidth="1"/>
    <col min="9518" max="9728" width="8.88671875" style="19"/>
    <col min="9729" max="9729" width="5.109375" style="19" customWidth="1"/>
    <col min="9730" max="9730" width="49.33203125" style="19" customWidth="1"/>
    <col min="9731" max="9762" width="15.77734375" style="19" customWidth="1"/>
    <col min="9763" max="9764" width="10.5546875" style="19" customWidth="1"/>
    <col min="9765" max="9765" width="11" style="19" customWidth="1"/>
    <col min="9766" max="9766" width="13.109375" style="19" bestFit="1" customWidth="1"/>
    <col min="9767" max="9767" width="27.21875" style="19" customWidth="1"/>
    <col min="9768" max="9768" width="14.44140625" style="19" bestFit="1" customWidth="1"/>
    <col min="9769" max="9769" width="11.77734375" style="19" bestFit="1" customWidth="1"/>
    <col min="9770" max="9772" width="8.88671875" style="19"/>
    <col min="9773" max="9773" width="13.44140625" style="19" bestFit="1" customWidth="1"/>
    <col min="9774" max="9984" width="8.88671875" style="19"/>
    <col min="9985" max="9985" width="5.109375" style="19" customWidth="1"/>
    <col min="9986" max="9986" width="49.33203125" style="19" customWidth="1"/>
    <col min="9987" max="10018" width="15.77734375" style="19" customWidth="1"/>
    <col min="10019" max="10020" width="10.5546875" style="19" customWidth="1"/>
    <col min="10021" max="10021" width="11" style="19" customWidth="1"/>
    <col min="10022" max="10022" width="13.109375" style="19" bestFit="1" customWidth="1"/>
    <col min="10023" max="10023" width="27.21875" style="19" customWidth="1"/>
    <col min="10024" max="10024" width="14.44140625" style="19" bestFit="1" customWidth="1"/>
    <col min="10025" max="10025" width="11.77734375" style="19" bestFit="1" customWidth="1"/>
    <col min="10026" max="10028" width="8.88671875" style="19"/>
    <col min="10029" max="10029" width="13.44140625" style="19" bestFit="1" customWidth="1"/>
    <col min="10030" max="10240" width="8.88671875" style="19"/>
    <col min="10241" max="10241" width="5.109375" style="19" customWidth="1"/>
    <col min="10242" max="10242" width="49.33203125" style="19" customWidth="1"/>
    <col min="10243" max="10274" width="15.77734375" style="19" customWidth="1"/>
    <col min="10275" max="10276" width="10.5546875" style="19" customWidth="1"/>
    <col min="10277" max="10277" width="11" style="19" customWidth="1"/>
    <col min="10278" max="10278" width="13.109375" style="19" bestFit="1" customWidth="1"/>
    <col min="10279" max="10279" width="27.21875" style="19" customWidth="1"/>
    <col min="10280" max="10280" width="14.44140625" style="19" bestFit="1" customWidth="1"/>
    <col min="10281" max="10281" width="11.77734375" style="19" bestFit="1" customWidth="1"/>
    <col min="10282" max="10284" width="8.88671875" style="19"/>
    <col min="10285" max="10285" width="13.44140625" style="19" bestFit="1" customWidth="1"/>
    <col min="10286" max="10496" width="8.88671875" style="19"/>
    <col min="10497" max="10497" width="5.109375" style="19" customWidth="1"/>
    <col min="10498" max="10498" width="49.33203125" style="19" customWidth="1"/>
    <col min="10499" max="10530" width="15.77734375" style="19" customWidth="1"/>
    <col min="10531" max="10532" width="10.5546875" style="19" customWidth="1"/>
    <col min="10533" max="10533" width="11" style="19" customWidth="1"/>
    <col min="10534" max="10534" width="13.109375" style="19" bestFit="1" customWidth="1"/>
    <col min="10535" max="10535" width="27.21875" style="19" customWidth="1"/>
    <col min="10536" max="10536" width="14.44140625" style="19" bestFit="1" customWidth="1"/>
    <col min="10537" max="10537" width="11.77734375" style="19" bestFit="1" customWidth="1"/>
    <col min="10538" max="10540" width="8.88671875" style="19"/>
    <col min="10541" max="10541" width="13.44140625" style="19" bestFit="1" customWidth="1"/>
    <col min="10542" max="10752" width="8.88671875" style="19"/>
    <col min="10753" max="10753" width="5.109375" style="19" customWidth="1"/>
    <col min="10754" max="10754" width="49.33203125" style="19" customWidth="1"/>
    <col min="10755" max="10786" width="15.77734375" style="19" customWidth="1"/>
    <col min="10787" max="10788" width="10.5546875" style="19" customWidth="1"/>
    <col min="10789" max="10789" width="11" style="19" customWidth="1"/>
    <col min="10790" max="10790" width="13.109375" style="19" bestFit="1" customWidth="1"/>
    <col min="10791" max="10791" width="27.21875" style="19" customWidth="1"/>
    <col min="10792" max="10792" width="14.44140625" style="19" bestFit="1" customWidth="1"/>
    <col min="10793" max="10793" width="11.77734375" style="19" bestFit="1" customWidth="1"/>
    <col min="10794" max="10796" width="8.88671875" style="19"/>
    <col min="10797" max="10797" width="13.44140625" style="19" bestFit="1" customWidth="1"/>
    <col min="10798" max="11008" width="8.88671875" style="19"/>
    <col min="11009" max="11009" width="5.109375" style="19" customWidth="1"/>
    <col min="11010" max="11010" width="49.33203125" style="19" customWidth="1"/>
    <col min="11011" max="11042" width="15.77734375" style="19" customWidth="1"/>
    <col min="11043" max="11044" width="10.5546875" style="19" customWidth="1"/>
    <col min="11045" max="11045" width="11" style="19" customWidth="1"/>
    <col min="11046" max="11046" width="13.109375" style="19" bestFit="1" customWidth="1"/>
    <col min="11047" max="11047" width="27.21875" style="19" customWidth="1"/>
    <col min="11048" max="11048" width="14.44140625" style="19" bestFit="1" customWidth="1"/>
    <col min="11049" max="11049" width="11.77734375" style="19" bestFit="1" customWidth="1"/>
    <col min="11050" max="11052" width="8.88671875" style="19"/>
    <col min="11053" max="11053" width="13.44140625" style="19" bestFit="1" customWidth="1"/>
    <col min="11054" max="11264" width="8.88671875" style="19"/>
    <col min="11265" max="11265" width="5.109375" style="19" customWidth="1"/>
    <col min="11266" max="11266" width="49.33203125" style="19" customWidth="1"/>
    <col min="11267" max="11298" width="15.77734375" style="19" customWidth="1"/>
    <col min="11299" max="11300" width="10.5546875" style="19" customWidth="1"/>
    <col min="11301" max="11301" width="11" style="19" customWidth="1"/>
    <col min="11302" max="11302" width="13.109375" style="19" bestFit="1" customWidth="1"/>
    <col min="11303" max="11303" width="27.21875" style="19" customWidth="1"/>
    <col min="11304" max="11304" width="14.44140625" style="19" bestFit="1" customWidth="1"/>
    <col min="11305" max="11305" width="11.77734375" style="19" bestFit="1" customWidth="1"/>
    <col min="11306" max="11308" width="8.88671875" style="19"/>
    <col min="11309" max="11309" width="13.44140625" style="19" bestFit="1" customWidth="1"/>
    <col min="11310" max="11520" width="8.88671875" style="19"/>
    <col min="11521" max="11521" width="5.109375" style="19" customWidth="1"/>
    <col min="11522" max="11522" width="49.33203125" style="19" customWidth="1"/>
    <col min="11523" max="11554" width="15.77734375" style="19" customWidth="1"/>
    <col min="11555" max="11556" width="10.5546875" style="19" customWidth="1"/>
    <col min="11557" max="11557" width="11" style="19" customWidth="1"/>
    <col min="11558" max="11558" width="13.109375" style="19" bestFit="1" customWidth="1"/>
    <col min="11559" max="11559" width="27.21875" style="19" customWidth="1"/>
    <col min="11560" max="11560" width="14.44140625" style="19" bestFit="1" customWidth="1"/>
    <col min="11561" max="11561" width="11.77734375" style="19" bestFit="1" customWidth="1"/>
    <col min="11562" max="11564" width="8.88671875" style="19"/>
    <col min="11565" max="11565" width="13.44140625" style="19" bestFit="1" customWidth="1"/>
    <col min="11566" max="11776" width="8.88671875" style="19"/>
    <col min="11777" max="11777" width="5.109375" style="19" customWidth="1"/>
    <col min="11778" max="11778" width="49.33203125" style="19" customWidth="1"/>
    <col min="11779" max="11810" width="15.77734375" style="19" customWidth="1"/>
    <col min="11811" max="11812" width="10.5546875" style="19" customWidth="1"/>
    <col min="11813" max="11813" width="11" style="19" customWidth="1"/>
    <col min="11814" max="11814" width="13.109375" style="19" bestFit="1" customWidth="1"/>
    <col min="11815" max="11815" width="27.21875" style="19" customWidth="1"/>
    <col min="11816" max="11816" width="14.44140625" style="19" bestFit="1" customWidth="1"/>
    <col min="11817" max="11817" width="11.77734375" style="19" bestFit="1" customWidth="1"/>
    <col min="11818" max="11820" width="8.88671875" style="19"/>
    <col min="11821" max="11821" width="13.44140625" style="19" bestFit="1" customWidth="1"/>
    <col min="11822" max="12032" width="8.88671875" style="19"/>
    <col min="12033" max="12033" width="5.109375" style="19" customWidth="1"/>
    <col min="12034" max="12034" width="49.33203125" style="19" customWidth="1"/>
    <col min="12035" max="12066" width="15.77734375" style="19" customWidth="1"/>
    <col min="12067" max="12068" width="10.5546875" style="19" customWidth="1"/>
    <col min="12069" max="12069" width="11" style="19" customWidth="1"/>
    <col min="12070" max="12070" width="13.109375" style="19" bestFit="1" customWidth="1"/>
    <col min="12071" max="12071" width="27.21875" style="19" customWidth="1"/>
    <col min="12072" max="12072" width="14.44140625" style="19" bestFit="1" customWidth="1"/>
    <col min="12073" max="12073" width="11.77734375" style="19" bestFit="1" customWidth="1"/>
    <col min="12074" max="12076" width="8.88671875" style="19"/>
    <col min="12077" max="12077" width="13.44140625" style="19" bestFit="1" customWidth="1"/>
    <col min="12078" max="12288" width="8.88671875" style="19"/>
    <col min="12289" max="12289" width="5.109375" style="19" customWidth="1"/>
    <col min="12290" max="12290" width="49.33203125" style="19" customWidth="1"/>
    <col min="12291" max="12322" width="15.77734375" style="19" customWidth="1"/>
    <col min="12323" max="12324" width="10.5546875" style="19" customWidth="1"/>
    <col min="12325" max="12325" width="11" style="19" customWidth="1"/>
    <col min="12326" max="12326" width="13.109375" style="19" bestFit="1" customWidth="1"/>
    <col min="12327" max="12327" width="27.21875" style="19" customWidth="1"/>
    <col min="12328" max="12328" width="14.44140625" style="19" bestFit="1" customWidth="1"/>
    <col min="12329" max="12329" width="11.77734375" style="19" bestFit="1" customWidth="1"/>
    <col min="12330" max="12332" width="8.88671875" style="19"/>
    <col min="12333" max="12333" width="13.44140625" style="19" bestFit="1" customWidth="1"/>
    <col min="12334" max="12544" width="8.88671875" style="19"/>
    <col min="12545" max="12545" width="5.109375" style="19" customWidth="1"/>
    <col min="12546" max="12546" width="49.33203125" style="19" customWidth="1"/>
    <col min="12547" max="12578" width="15.77734375" style="19" customWidth="1"/>
    <col min="12579" max="12580" width="10.5546875" style="19" customWidth="1"/>
    <col min="12581" max="12581" width="11" style="19" customWidth="1"/>
    <col min="12582" max="12582" width="13.109375" style="19" bestFit="1" customWidth="1"/>
    <col min="12583" max="12583" width="27.21875" style="19" customWidth="1"/>
    <col min="12584" max="12584" width="14.44140625" style="19" bestFit="1" customWidth="1"/>
    <col min="12585" max="12585" width="11.77734375" style="19" bestFit="1" customWidth="1"/>
    <col min="12586" max="12588" width="8.88671875" style="19"/>
    <col min="12589" max="12589" width="13.44140625" style="19" bestFit="1" customWidth="1"/>
    <col min="12590" max="12800" width="8.88671875" style="19"/>
    <col min="12801" max="12801" width="5.109375" style="19" customWidth="1"/>
    <col min="12802" max="12802" width="49.33203125" style="19" customWidth="1"/>
    <col min="12803" max="12834" width="15.77734375" style="19" customWidth="1"/>
    <col min="12835" max="12836" width="10.5546875" style="19" customWidth="1"/>
    <col min="12837" max="12837" width="11" style="19" customWidth="1"/>
    <col min="12838" max="12838" width="13.109375" style="19" bestFit="1" customWidth="1"/>
    <col min="12839" max="12839" width="27.21875" style="19" customWidth="1"/>
    <col min="12840" max="12840" width="14.44140625" style="19" bestFit="1" customWidth="1"/>
    <col min="12841" max="12841" width="11.77734375" style="19" bestFit="1" customWidth="1"/>
    <col min="12842" max="12844" width="8.88671875" style="19"/>
    <col min="12845" max="12845" width="13.44140625" style="19" bestFit="1" customWidth="1"/>
    <col min="12846" max="13056" width="8.88671875" style="19"/>
    <col min="13057" max="13057" width="5.109375" style="19" customWidth="1"/>
    <col min="13058" max="13058" width="49.33203125" style="19" customWidth="1"/>
    <col min="13059" max="13090" width="15.77734375" style="19" customWidth="1"/>
    <col min="13091" max="13092" width="10.5546875" style="19" customWidth="1"/>
    <col min="13093" max="13093" width="11" style="19" customWidth="1"/>
    <col min="13094" max="13094" width="13.109375" style="19" bestFit="1" customWidth="1"/>
    <col min="13095" max="13095" width="27.21875" style="19" customWidth="1"/>
    <col min="13096" max="13096" width="14.44140625" style="19" bestFit="1" customWidth="1"/>
    <col min="13097" max="13097" width="11.77734375" style="19" bestFit="1" customWidth="1"/>
    <col min="13098" max="13100" width="8.88671875" style="19"/>
    <col min="13101" max="13101" width="13.44140625" style="19" bestFit="1" customWidth="1"/>
    <col min="13102" max="13312" width="8.88671875" style="19"/>
    <col min="13313" max="13313" width="5.109375" style="19" customWidth="1"/>
    <col min="13314" max="13314" width="49.33203125" style="19" customWidth="1"/>
    <col min="13315" max="13346" width="15.77734375" style="19" customWidth="1"/>
    <col min="13347" max="13348" width="10.5546875" style="19" customWidth="1"/>
    <col min="13349" max="13349" width="11" style="19" customWidth="1"/>
    <col min="13350" max="13350" width="13.109375" style="19" bestFit="1" customWidth="1"/>
    <col min="13351" max="13351" width="27.21875" style="19" customWidth="1"/>
    <col min="13352" max="13352" width="14.44140625" style="19" bestFit="1" customWidth="1"/>
    <col min="13353" max="13353" width="11.77734375" style="19" bestFit="1" customWidth="1"/>
    <col min="13354" max="13356" width="8.88671875" style="19"/>
    <col min="13357" max="13357" width="13.44140625" style="19" bestFit="1" customWidth="1"/>
    <col min="13358" max="13568" width="8.88671875" style="19"/>
    <col min="13569" max="13569" width="5.109375" style="19" customWidth="1"/>
    <col min="13570" max="13570" width="49.33203125" style="19" customWidth="1"/>
    <col min="13571" max="13602" width="15.77734375" style="19" customWidth="1"/>
    <col min="13603" max="13604" width="10.5546875" style="19" customWidth="1"/>
    <col min="13605" max="13605" width="11" style="19" customWidth="1"/>
    <col min="13606" max="13606" width="13.109375" style="19" bestFit="1" customWidth="1"/>
    <col min="13607" max="13607" width="27.21875" style="19" customWidth="1"/>
    <col min="13608" max="13608" width="14.44140625" style="19" bestFit="1" customWidth="1"/>
    <col min="13609" max="13609" width="11.77734375" style="19" bestFit="1" customWidth="1"/>
    <col min="13610" max="13612" width="8.88671875" style="19"/>
    <col min="13613" max="13613" width="13.44140625" style="19" bestFit="1" customWidth="1"/>
    <col min="13614" max="13824" width="8.88671875" style="19"/>
    <col min="13825" max="13825" width="5.109375" style="19" customWidth="1"/>
    <col min="13826" max="13826" width="49.33203125" style="19" customWidth="1"/>
    <col min="13827" max="13858" width="15.77734375" style="19" customWidth="1"/>
    <col min="13859" max="13860" width="10.5546875" style="19" customWidth="1"/>
    <col min="13861" max="13861" width="11" style="19" customWidth="1"/>
    <col min="13862" max="13862" width="13.109375" style="19" bestFit="1" customWidth="1"/>
    <col min="13863" max="13863" width="27.21875" style="19" customWidth="1"/>
    <col min="13864" max="13864" width="14.44140625" style="19" bestFit="1" customWidth="1"/>
    <col min="13865" max="13865" width="11.77734375" style="19" bestFit="1" customWidth="1"/>
    <col min="13866" max="13868" width="8.88671875" style="19"/>
    <col min="13869" max="13869" width="13.44140625" style="19" bestFit="1" customWidth="1"/>
    <col min="13870" max="14080" width="8.88671875" style="19"/>
    <col min="14081" max="14081" width="5.109375" style="19" customWidth="1"/>
    <col min="14082" max="14082" width="49.33203125" style="19" customWidth="1"/>
    <col min="14083" max="14114" width="15.77734375" style="19" customWidth="1"/>
    <col min="14115" max="14116" width="10.5546875" style="19" customWidth="1"/>
    <col min="14117" max="14117" width="11" style="19" customWidth="1"/>
    <col min="14118" max="14118" width="13.109375" style="19" bestFit="1" customWidth="1"/>
    <col min="14119" max="14119" width="27.21875" style="19" customWidth="1"/>
    <col min="14120" max="14120" width="14.44140625" style="19" bestFit="1" customWidth="1"/>
    <col min="14121" max="14121" width="11.77734375" style="19" bestFit="1" customWidth="1"/>
    <col min="14122" max="14124" width="8.88671875" style="19"/>
    <col min="14125" max="14125" width="13.44140625" style="19" bestFit="1" customWidth="1"/>
    <col min="14126" max="14336" width="8.88671875" style="19"/>
    <col min="14337" max="14337" width="5.109375" style="19" customWidth="1"/>
    <col min="14338" max="14338" width="49.33203125" style="19" customWidth="1"/>
    <col min="14339" max="14370" width="15.77734375" style="19" customWidth="1"/>
    <col min="14371" max="14372" width="10.5546875" style="19" customWidth="1"/>
    <col min="14373" max="14373" width="11" style="19" customWidth="1"/>
    <col min="14374" max="14374" width="13.109375" style="19" bestFit="1" customWidth="1"/>
    <col min="14375" max="14375" width="27.21875" style="19" customWidth="1"/>
    <col min="14376" max="14376" width="14.44140625" style="19" bestFit="1" customWidth="1"/>
    <col min="14377" max="14377" width="11.77734375" style="19" bestFit="1" customWidth="1"/>
    <col min="14378" max="14380" width="8.88671875" style="19"/>
    <col min="14381" max="14381" width="13.44140625" style="19" bestFit="1" customWidth="1"/>
    <col min="14382" max="14592" width="8.88671875" style="19"/>
    <col min="14593" max="14593" width="5.109375" style="19" customWidth="1"/>
    <col min="14594" max="14594" width="49.33203125" style="19" customWidth="1"/>
    <col min="14595" max="14626" width="15.77734375" style="19" customWidth="1"/>
    <col min="14627" max="14628" width="10.5546875" style="19" customWidth="1"/>
    <col min="14629" max="14629" width="11" style="19" customWidth="1"/>
    <col min="14630" max="14630" width="13.109375" style="19" bestFit="1" customWidth="1"/>
    <col min="14631" max="14631" width="27.21875" style="19" customWidth="1"/>
    <col min="14632" max="14632" width="14.44140625" style="19" bestFit="1" customWidth="1"/>
    <col min="14633" max="14633" width="11.77734375" style="19" bestFit="1" customWidth="1"/>
    <col min="14634" max="14636" width="8.88671875" style="19"/>
    <col min="14637" max="14637" width="13.44140625" style="19" bestFit="1" customWidth="1"/>
    <col min="14638" max="14848" width="8.88671875" style="19"/>
    <col min="14849" max="14849" width="5.109375" style="19" customWidth="1"/>
    <col min="14850" max="14850" width="49.33203125" style="19" customWidth="1"/>
    <col min="14851" max="14882" width="15.77734375" style="19" customWidth="1"/>
    <col min="14883" max="14884" width="10.5546875" style="19" customWidth="1"/>
    <col min="14885" max="14885" width="11" style="19" customWidth="1"/>
    <col min="14886" max="14886" width="13.109375" style="19" bestFit="1" customWidth="1"/>
    <col min="14887" max="14887" width="27.21875" style="19" customWidth="1"/>
    <col min="14888" max="14888" width="14.44140625" style="19" bestFit="1" customWidth="1"/>
    <col min="14889" max="14889" width="11.77734375" style="19" bestFit="1" customWidth="1"/>
    <col min="14890" max="14892" width="8.88671875" style="19"/>
    <col min="14893" max="14893" width="13.44140625" style="19" bestFit="1" customWidth="1"/>
    <col min="14894" max="15104" width="8.88671875" style="19"/>
    <col min="15105" max="15105" width="5.109375" style="19" customWidth="1"/>
    <col min="15106" max="15106" width="49.33203125" style="19" customWidth="1"/>
    <col min="15107" max="15138" width="15.77734375" style="19" customWidth="1"/>
    <col min="15139" max="15140" width="10.5546875" style="19" customWidth="1"/>
    <col min="15141" max="15141" width="11" style="19" customWidth="1"/>
    <col min="15142" max="15142" width="13.109375" style="19" bestFit="1" customWidth="1"/>
    <col min="15143" max="15143" width="27.21875" style="19" customWidth="1"/>
    <col min="15144" max="15144" width="14.44140625" style="19" bestFit="1" customWidth="1"/>
    <col min="15145" max="15145" width="11.77734375" style="19" bestFit="1" customWidth="1"/>
    <col min="15146" max="15148" width="8.88671875" style="19"/>
    <col min="15149" max="15149" width="13.44140625" style="19" bestFit="1" customWidth="1"/>
    <col min="15150" max="15360" width="8.88671875" style="19"/>
    <col min="15361" max="15361" width="5.109375" style="19" customWidth="1"/>
    <col min="15362" max="15362" width="49.33203125" style="19" customWidth="1"/>
    <col min="15363" max="15394" width="15.77734375" style="19" customWidth="1"/>
    <col min="15395" max="15396" width="10.5546875" style="19" customWidth="1"/>
    <col min="15397" max="15397" width="11" style="19" customWidth="1"/>
    <col min="15398" max="15398" width="13.109375" style="19" bestFit="1" customWidth="1"/>
    <col min="15399" max="15399" width="27.21875" style="19" customWidth="1"/>
    <col min="15400" max="15400" width="14.44140625" style="19" bestFit="1" customWidth="1"/>
    <col min="15401" max="15401" width="11.77734375" style="19" bestFit="1" customWidth="1"/>
    <col min="15402" max="15404" width="8.88671875" style="19"/>
    <col min="15405" max="15405" width="13.44140625" style="19" bestFit="1" customWidth="1"/>
    <col min="15406" max="15616" width="8.88671875" style="19"/>
    <col min="15617" max="15617" width="5.109375" style="19" customWidth="1"/>
    <col min="15618" max="15618" width="49.33203125" style="19" customWidth="1"/>
    <col min="15619" max="15650" width="15.77734375" style="19" customWidth="1"/>
    <col min="15651" max="15652" width="10.5546875" style="19" customWidth="1"/>
    <col min="15653" max="15653" width="11" style="19" customWidth="1"/>
    <col min="15654" max="15654" width="13.109375" style="19" bestFit="1" customWidth="1"/>
    <col min="15655" max="15655" width="27.21875" style="19" customWidth="1"/>
    <col min="15656" max="15656" width="14.44140625" style="19" bestFit="1" customWidth="1"/>
    <col min="15657" max="15657" width="11.77734375" style="19" bestFit="1" customWidth="1"/>
    <col min="15658" max="15660" width="8.88671875" style="19"/>
    <col min="15661" max="15661" width="13.44140625" style="19" bestFit="1" customWidth="1"/>
    <col min="15662" max="15872" width="8.88671875" style="19"/>
    <col min="15873" max="15873" width="5.109375" style="19" customWidth="1"/>
    <col min="15874" max="15874" width="49.33203125" style="19" customWidth="1"/>
    <col min="15875" max="15906" width="15.77734375" style="19" customWidth="1"/>
    <col min="15907" max="15908" width="10.5546875" style="19" customWidth="1"/>
    <col min="15909" max="15909" width="11" style="19" customWidth="1"/>
    <col min="15910" max="15910" width="13.109375" style="19" bestFit="1" customWidth="1"/>
    <col min="15911" max="15911" width="27.21875" style="19" customWidth="1"/>
    <col min="15912" max="15912" width="14.44140625" style="19" bestFit="1" customWidth="1"/>
    <col min="15913" max="15913" width="11.77734375" style="19" bestFit="1" customWidth="1"/>
    <col min="15914" max="15916" width="8.88671875" style="19"/>
    <col min="15917" max="15917" width="13.44140625" style="19" bestFit="1" customWidth="1"/>
    <col min="15918" max="16128" width="8.88671875" style="19"/>
    <col min="16129" max="16129" width="5.109375" style="19" customWidth="1"/>
    <col min="16130" max="16130" width="49.33203125" style="19" customWidth="1"/>
    <col min="16131" max="16162" width="15.77734375" style="19" customWidth="1"/>
    <col min="16163" max="16164" width="10.5546875" style="19" customWidth="1"/>
    <col min="16165" max="16165" width="11" style="19" customWidth="1"/>
    <col min="16166" max="16166" width="13.109375" style="19" bestFit="1" customWidth="1"/>
    <col min="16167" max="16167" width="27.21875" style="19" customWidth="1"/>
    <col min="16168" max="16168" width="14.44140625" style="19" bestFit="1" customWidth="1"/>
    <col min="16169" max="16169" width="11.77734375" style="19" bestFit="1" customWidth="1"/>
    <col min="16170" max="16172" width="8.88671875" style="19"/>
    <col min="16173" max="16173" width="13.44140625" style="19" bestFit="1" customWidth="1"/>
    <col min="16174" max="16384" width="8.88671875" style="19"/>
  </cols>
  <sheetData>
    <row r="1" spans="1:41" ht="15.75" customHeight="1" x14ac:dyDescent="0.2">
      <c r="A1" s="115" t="s">
        <v>63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 spans="1:41" ht="15.75" x14ac:dyDescent="0.25">
      <c r="B2" s="9"/>
      <c r="C2" s="9"/>
      <c r="D2" s="9"/>
      <c r="E2" s="11"/>
      <c r="F2" s="11"/>
      <c r="G2" s="9"/>
      <c r="H2" s="10"/>
      <c r="I2" s="9"/>
      <c r="J2" s="9"/>
      <c r="K2" s="9"/>
      <c r="L2" s="12"/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41" s="25" customFormat="1" ht="18" customHeight="1" x14ac:dyDescent="0.2">
      <c r="A3" s="116" t="s">
        <v>16</v>
      </c>
      <c r="B3" s="118" t="s">
        <v>17</v>
      </c>
      <c r="C3" s="120" t="s">
        <v>52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1"/>
      <c r="AH3" s="122" t="s">
        <v>18</v>
      </c>
      <c r="AI3" s="20"/>
      <c r="AJ3" s="20"/>
      <c r="AK3" s="21"/>
      <c r="AL3" s="22"/>
      <c r="AM3" s="23" t="s">
        <v>0</v>
      </c>
      <c r="AN3" s="24"/>
      <c r="AO3" s="24"/>
    </row>
    <row r="4" spans="1:41" s="25" customFormat="1" ht="18" customHeight="1" x14ac:dyDescent="0.2">
      <c r="A4" s="117"/>
      <c r="B4" s="119"/>
      <c r="C4" s="26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6">
        <v>8</v>
      </c>
      <c r="K4" s="26">
        <v>9</v>
      </c>
      <c r="L4" s="26">
        <v>10</v>
      </c>
      <c r="M4" s="26">
        <v>11</v>
      </c>
      <c r="N4" s="26">
        <v>12</v>
      </c>
      <c r="O4" s="26">
        <v>13</v>
      </c>
      <c r="P4" s="26">
        <v>14</v>
      </c>
      <c r="Q4" s="26">
        <v>15</v>
      </c>
      <c r="R4" s="26">
        <v>16</v>
      </c>
      <c r="S4" s="26">
        <v>17</v>
      </c>
      <c r="T4" s="26">
        <v>18</v>
      </c>
      <c r="U4" s="26">
        <v>19</v>
      </c>
      <c r="V4" s="26">
        <v>20</v>
      </c>
      <c r="W4" s="26">
        <v>21</v>
      </c>
      <c r="X4" s="26">
        <v>22</v>
      </c>
      <c r="Y4" s="26">
        <v>23</v>
      </c>
      <c r="Z4" s="26">
        <v>24</v>
      </c>
      <c r="AA4" s="26">
        <v>25</v>
      </c>
      <c r="AB4" s="26">
        <v>26</v>
      </c>
      <c r="AC4" s="26">
        <v>27</v>
      </c>
      <c r="AD4" s="26">
        <v>28</v>
      </c>
      <c r="AE4" s="26">
        <v>29</v>
      </c>
      <c r="AF4" s="26">
        <v>30</v>
      </c>
      <c r="AG4" s="26">
        <v>31</v>
      </c>
      <c r="AH4" s="122"/>
      <c r="AI4" s="27"/>
      <c r="AJ4" s="27"/>
      <c r="AK4" s="14"/>
      <c r="AL4" s="28"/>
      <c r="AM4" s="23" t="s">
        <v>19</v>
      </c>
      <c r="AN4" s="29"/>
      <c r="AO4" s="30"/>
    </row>
    <row r="5" spans="1:41" s="25" customFormat="1" ht="18" customHeight="1" x14ac:dyDescent="0.2">
      <c r="A5" s="31">
        <v>1</v>
      </c>
      <c r="B5" s="32" t="s">
        <v>2</v>
      </c>
      <c r="C5" s="32">
        <v>4364000</v>
      </c>
      <c r="D5" s="32">
        <v>4312000</v>
      </c>
      <c r="E5" s="32">
        <v>18776000</v>
      </c>
      <c r="F5" s="34">
        <v>27736000</v>
      </c>
      <c r="G5" s="33"/>
      <c r="H5" s="34">
        <v>5684000</v>
      </c>
      <c r="I5" s="32">
        <v>5728000</v>
      </c>
      <c r="J5" s="32">
        <v>5336000</v>
      </c>
      <c r="K5" s="32">
        <v>5048000</v>
      </c>
      <c r="L5" s="32">
        <v>20276000</v>
      </c>
      <c r="M5" s="32">
        <v>27928000</v>
      </c>
      <c r="N5" s="33"/>
      <c r="O5" s="32"/>
      <c r="P5" s="32"/>
      <c r="Q5" s="32"/>
      <c r="R5" s="32"/>
      <c r="S5" s="32"/>
      <c r="T5" s="32"/>
      <c r="U5" s="33"/>
      <c r="V5" s="32"/>
      <c r="W5" s="32"/>
      <c r="X5" s="32"/>
      <c r="Y5" s="32"/>
      <c r="Z5" s="32"/>
      <c r="AA5" s="32"/>
      <c r="AB5" s="33"/>
      <c r="AC5" s="32"/>
      <c r="AD5" s="32"/>
      <c r="AE5" s="32"/>
      <c r="AF5" s="32"/>
      <c r="AG5" s="33"/>
      <c r="AH5" s="35">
        <f>SUM(C5:AG5)</f>
        <v>125188000</v>
      </c>
      <c r="AI5" s="107">
        <f>AH5/4000</f>
        <v>31297</v>
      </c>
      <c r="AJ5" s="109">
        <v>350732000</v>
      </c>
      <c r="AK5" s="111">
        <f>AH5+AJ5</f>
        <v>475920000</v>
      </c>
      <c r="AL5" s="38"/>
      <c r="AM5" s="3" t="s">
        <v>2</v>
      </c>
      <c r="AN5" s="39">
        <f t="shared" ref="AN5:AN23" si="0">AH5</f>
        <v>125188000</v>
      </c>
      <c r="AO5" s="30"/>
    </row>
    <row r="6" spans="1:41" s="25" customFormat="1" ht="18" customHeight="1" x14ac:dyDescent="0.2">
      <c r="A6" s="40">
        <v>2</v>
      </c>
      <c r="B6" s="41" t="s">
        <v>3</v>
      </c>
      <c r="C6" s="41">
        <v>582000</v>
      </c>
      <c r="D6" s="41">
        <v>759000</v>
      </c>
      <c r="E6" s="41">
        <v>3435000</v>
      </c>
      <c r="F6" s="41">
        <v>5718000</v>
      </c>
      <c r="G6" s="42"/>
      <c r="H6" s="41">
        <v>753000</v>
      </c>
      <c r="I6" s="41">
        <v>720000</v>
      </c>
      <c r="J6" s="41">
        <v>744000</v>
      </c>
      <c r="K6" s="41">
        <v>804000</v>
      </c>
      <c r="L6" s="41">
        <v>4101000</v>
      </c>
      <c r="M6" s="41">
        <v>6306000</v>
      </c>
      <c r="N6" s="42"/>
      <c r="O6" s="41"/>
      <c r="P6" s="41"/>
      <c r="Q6" s="41"/>
      <c r="R6" s="41"/>
      <c r="S6" s="41"/>
      <c r="T6" s="41"/>
      <c r="U6" s="42"/>
      <c r="V6" s="41"/>
      <c r="W6" s="41"/>
      <c r="X6" s="41"/>
      <c r="Y6" s="41"/>
      <c r="Z6" s="41"/>
      <c r="AA6" s="41"/>
      <c r="AB6" s="42"/>
      <c r="AC6" s="41"/>
      <c r="AD6" s="41"/>
      <c r="AE6" s="41"/>
      <c r="AF6" s="41"/>
      <c r="AG6" s="42"/>
      <c r="AH6" s="84">
        <f t="shared" ref="AH6:AH22" si="1">SUM(C6:AG6)</f>
        <v>23922000</v>
      </c>
      <c r="AI6" s="107">
        <f>AH6/3000</f>
        <v>7974</v>
      </c>
      <c r="AJ6" s="109">
        <v>40065000</v>
      </c>
      <c r="AK6" s="111">
        <f t="shared" ref="AK6:AK22" si="2">AH6+AJ6</f>
        <v>63987000</v>
      </c>
      <c r="AL6" s="38"/>
      <c r="AM6" s="3" t="s">
        <v>3</v>
      </c>
      <c r="AN6" s="39">
        <f t="shared" si="0"/>
        <v>23922000</v>
      </c>
      <c r="AO6" s="30"/>
    </row>
    <row r="7" spans="1:41" s="25" customFormat="1" ht="18" customHeight="1" x14ac:dyDescent="0.2">
      <c r="A7" s="40">
        <v>3</v>
      </c>
      <c r="B7" s="41" t="s">
        <v>4</v>
      </c>
      <c r="C7" s="41"/>
      <c r="D7" s="41"/>
      <c r="E7" s="41"/>
      <c r="F7" s="41"/>
      <c r="G7" s="42"/>
      <c r="H7" s="41"/>
      <c r="I7" s="41"/>
      <c r="J7" s="41"/>
      <c r="K7" s="41"/>
      <c r="L7" s="41"/>
      <c r="M7" s="41"/>
      <c r="N7" s="42"/>
      <c r="O7" s="41"/>
      <c r="P7" s="41"/>
      <c r="Q7" s="41"/>
      <c r="R7" s="41"/>
      <c r="S7" s="41"/>
      <c r="T7" s="41"/>
      <c r="U7" s="42"/>
      <c r="V7" s="41"/>
      <c r="W7" s="41"/>
      <c r="X7" s="41"/>
      <c r="Y7" s="41"/>
      <c r="Z7" s="41"/>
      <c r="AA7" s="41"/>
      <c r="AB7" s="42"/>
      <c r="AC7" s="41"/>
      <c r="AD7" s="41"/>
      <c r="AE7" s="41"/>
      <c r="AF7" s="41"/>
      <c r="AG7" s="42"/>
      <c r="AH7" s="84">
        <f t="shared" si="1"/>
        <v>0</v>
      </c>
      <c r="AI7" s="107">
        <f>AH7/3000</f>
        <v>0</v>
      </c>
      <c r="AJ7" s="109"/>
      <c r="AK7" s="111">
        <f t="shared" si="2"/>
        <v>0</v>
      </c>
      <c r="AL7" s="38"/>
      <c r="AM7" s="3" t="s">
        <v>4</v>
      </c>
      <c r="AN7" s="39">
        <f t="shared" si="0"/>
        <v>0</v>
      </c>
      <c r="AO7" s="30"/>
    </row>
    <row r="8" spans="1:41" s="25" customFormat="1" ht="18" customHeight="1" x14ac:dyDescent="0.2">
      <c r="A8" s="40">
        <v>4</v>
      </c>
      <c r="B8" s="41" t="s">
        <v>5</v>
      </c>
      <c r="C8" s="41"/>
      <c r="D8" s="41"/>
      <c r="E8" s="41"/>
      <c r="F8" s="41"/>
      <c r="G8" s="42"/>
      <c r="H8" s="41"/>
      <c r="I8" s="41"/>
      <c r="J8" s="41"/>
      <c r="K8" s="41"/>
      <c r="L8" s="41"/>
      <c r="M8" s="41"/>
      <c r="N8" s="42"/>
      <c r="O8" s="41"/>
      <c r="P8" s="41"/>
      <c r="Q8" s="41"/>
      <c r="R8" s="41"/>
      <c r="S8" s="41"/>
      <c r="T8" s="41"/>
      <c r="U8" s="42"/>
      <c r="V8" s="41"/>
      <c r="W8" s="41"/>
      <c r="X8" s="41"/>
      <c r="Y8" s="41"/>
      <c r="Z8" s="41"/>
      <c r="AA8" s="41"/>
      <c r="AB8" s="42"/>
      <c r="AC8" s="41"/>
      <c r="AD8" s="41"/>
      <c r="AE8" s="41"/>
      <c r="AF8" s="41"/>
      <c r="AG8" s="42"/>
      <c r="AH8" s="84">
        <f t="shared" si="1"/>
        <v>0</v>
      </c>
      <c r="AI8" s="107">
        <f>AH8/2250</f>
        <v>0</v>
      </c>
      <c r="AJ8" s="109"/>
      <c r="AK8" s="111">
        <f t="shared" si="2"/>
        <v>0</v>
      </c>
      <c r="AL8" s="38"/>
      <c r="AM8" s="3" t="s">
        <v>5</v>
      </c>
      <c r="AN8" s="39">
        <f t="shared" si="0"/>
        <v>0</v>
      </c>
      <c r="AO8" s="30"/>
    </row>
    <row r="9" spans="1:41" s="25" customFormat="1" ht="18" customHeight="1" x14ac:dyDescent="0.2">
      <c r="A9" s="40">
        <v>5</v>
      </c>
      <c r="B9" s="43" t="s">
        <v>20</v>
      </c>
      <c r="C9" s="41">
        <v>42500</v>
      </c>
      <c r="D9" s="41">
        <v>60000</v>
      </c>
      <c r="E9" s="41">
        <v>477500</v>
      </c>
      <c r="F9" s="41">
        <v>1010000</v>
      </c>
      <c r="G9" s="42"/>
      <c r="H9" s="41">
        <v>62500</v>
      </c>
      <c r="I9" s="41">
        <v>80000</v>
      </c>
      <c r="J9" s="41">
        <v>92500</v>
      </c>
      <c r="K9" s="41">
        <v>40000</v>
      </c>
      <c r="L9" s="41">
        <v>395000</v>
      </c>
      <c r="M9" s="41">
        <v>1090000</v>
      </c>
      <c r="N9" s="42"/>
      <c r="O9" s="41"/>
      <c r="P9" s="41"/>
      <c r="Q9" s="41"/>
      <c r="R9" s="41"/>
      <c r="S9" s="41"/>
      <c r="T9" s="41"/>
      <c r="U9" s="42"/>
      <c r="V9" s="41"/>
      <c r="W9" s="41"/>
      <c r="X9" s="41"/>
      <c r="Y9" s="41"/>
      <c r="Z9" s="41"/>
      <c r="AA9" s="41"/>
      <c r="AB9" s="42"/>
      <c r="AC9" s="41"/>
      <c r="AD9" s="41"/>
      <c r="AE9" s="41"/>
      <c r="AF9" s="41"/>
      <c r="AG9" s="42"/>
      <c r="AH9" s="84">
        <f t="shared" si="1"/>
        <v>3350000</v>
      </c>
      <c r="AI9" s="107">
        <f>AH9/2500</f>
        <v>1340</v>
      </c>
      <c r="AJ9" s="109">
        <v>27385000</v>
      </c>
      <c r="AK9" s="111">
        <f t="shared" si="2"/>
        <v>30735000</v>
      </c>
      <c r="AL9" s="38"/>
      <c r="AM9" s="3"/>
      <c r="AN9" s="39"/>
      <c r="AO9" s="30"/>
    </row>
    <row r="10" spans="1:41" s="25" customFormat="1" ht="18" customHeight="1" x14ac:dyDescent="0.2">
      <c r="A10" s="40">
        <v>6</v>
      </c>
      <c r="B10" s="44" t="s">
        <v>21</v>
      </c>
      <c r="C10" s="44">
        <v>234000</v>
      </c>
      <c r="D10" s="44">
        <v>360000</v>
      </c>
      <c r="E10" s="44"/>
      <c r="F10" s="44"/>
      <c r="G10" s="42"/>
      <c r="H10" s="44">
        <v>504000</v>
      </c>
      <c r="I10" s="44">
        <v>186000</v>
      </c>
      <c r="J10" s="44">
        <v>210000</v>
      </c>
      <c r="K10" s="44">
        <v>198000</v>
      </c>
      <c r="L10" s="44"/>
      <c r="M10" s="44"/>
      <c r="N10" s="42"/>
      <c r="O10" s="44"/>
      <c r="P10" s="44"/>
      <c r="Q10" s="44"/>
      <c r="R10" s="44"/>
      <c r="S10" s="44"/>
      <c r="T10" s="44"/>
      <c r="U10" s="42"/>
      <c r="V10" s="44"/>
      <c r="W10" s="44"/>
      <c r="X10" s="44"/>
      <c r="Y10" s="44"/>
      <c r="Z10" s="44"/>
      <c r="AA10" s="44"/>
      <c r="AB10" s="42"/>
      <c r="AC10" s="44"/>
      <c r="AD10" s="44"/>
      <c r="AE10" s="44"/>
      <c r="AF10" s="44"/>
      <c r="AG10" s="42"/>
      <c r="AH10" s="84">
        <f t="shared" si="1"/>
        <v>1692000</v>
      </c>
      <c r="AI10" s="107">
        <f>AH10/6000</f>
        <v>282</v>
      </c>
      <c r="AJ10" s="109">
        <v>24174000</v>
      </c>
      <c r="AK10" s="111">
        <f t="shared" si="2"/>
        <v>25866000</v>
      </c>
      <c r="AL10" s="38"/>
      <c r="AM10" s="3" t="s">
        <v>10</v>
      </c>
      <c r="AN10" s="39">
        <f t="shared" si="0"/>
        <v>1692000</v>
      </c>
      <c r="AO10" s="30"/>
    </row>
    <row r="11" spans="1:41" s="50" customFormat="1" ht="18" customHeight="1" x14ac:dyDescent="0.2">
      <c r="A11" s="40">
        <v>7</v>
      </c>
      <c r="B11" s="44" t="s">
        <v>22</v>
      </c>
      <c r="C11" s="44">
        <v>102000</v>
      </c>
      <c r="D11" s="44">
        <v>120000</v>
      </c>
      <c r="E11" s="44"/>
      <c r="F11" s="46"/>
      <c r="G11" s="42"/>
      <c r="H11" s="46">
        <v>258000</v>
      </c>
      <c r="I11" s="44">
        <v>54000</v>
      </c>
      <c r="J11" s="44">
        <v>102000</v>
      </c>
      <c r="K11" s="44">
        <v>60000</v>
      </c>
      <c r="L11" s="44"/>
      <c r="M11" s="44"/>
      <c r="N11" s="42"/>
      <c r="O11" s="44"/>
      <c r="P11" s="44"/>
      <c r="Q11" s="44"/>
      <c r="R11" s="44"/>
      <c r="S11" s="44"/>
      <c r="T11" s="44"/>
      <c r="U11" s="42"/>
      <c r="V11" s="44"/>
      <c r="W11" s="44"/>
      <c r="X11" s="44"/>
      <c r="Y11" s="44"/>
      <c r="Z11" s="44"/>
      <c r="AA11" s="44"/>
      <c r="AB11" s="42"/>
      <c r="AC11" s="44"/>
      <c r="AD11" s="44"/>
      <c r="AE11" s="44"/>
      <c r="AF11" s="44"/>
      <c r="AG11" s="42"/>
      <c r="AH11" s="84">
        <f t="shared" si="1"/>
        <v>696000</v>
      </c>
      <c r="AI11" s="107">
        <f>AH11/6000</f>
        <v>116</v>
      </c>
      <c r="AJ11" s="109">
        <v>2526000</v>
      </c>
      <c r="AK11" s="111">
        <f t="shared" si="2"/>
        <v>3222000</v>
      </c>
      <c r="AL11" s="47"/>
      <c r="AM11" s="48" t="s">
        <v>23</v>
      </c>
      <c r="AN11" s="39">
        <f t="shared" si="0"/>
        <v>696000</v>
      </c>
      <c r="AO11" s="49"/>
    </row>
    <row r="12" spans="1:41" s="50" customFormat="1" ht="18" customHeight="1" x14ac:dyDescent="0.2">
      <c r="A12" s="40">
        <v>8</v>
      </c>
      <c r="B12" s="44" t="s">
        <v>24</v>
      </c>
      <c r="C12" s="44"/>
      <c r="D12" s="44"/>
      <c r="E12" s="44"/>
      <c r="F12" s="44"/>
      <c r="G12" s="42"/>
      <c r="H12" s="44"/>
      <c r="I12" s="44"/>
      <c r="J12" s="44"/>
      <c r="K12" s="44"/>
      <c r="L12" s="44"/>
      <c r="M12" s="44"/>
      <c r="N12" s="42"/>
      <c r="O12" s="44"/>
      <c r="P12" s="44"/>
      <c r="Q12" s="44"/>
      <c r="R12" s="44"/>
      <c r="S12" s="44"/>
      <c r="T12" s="44"/>
      <c r="U12" s="42"/>
      <c r="V12" s="44"/>
      <c r="W12" s="44"/>
      <c r="X12" s="44"/>
      <c r="Y12" s="44"/>
      <c r="Z12" s="44"/>
      <c r="AA12" s="44"/>
      <c r="AB12" s="42"/>
      <c r="AC12" s="44"/>
      <c r="AD12" s="44"/>
      <c r="AE12" s="44"/>
      <c r="AF12" s="44"/>
      <c r="AG12" s="42"/>
      <c r="AH12" s="84">
        <f t="shared" si="1"/>
        <v>0</v>
      </c>
      <c r="AI12" s="107">
        <f>AH12/4500</f>
        <v>0</v>
      </c>
      <c r="AJ12" s="109"/>
      <c r="AK12" s="111">
        <f t="shared" si="2"/>
        <v>0</v>
      </c>
      <c r="AL12" s="47"/>
      <c r="AM12" s="48" t="s">
        <v>25</v>
      </c>
      <c r="AN12" s="39">
        <f t="shared" si="0"/>
        <v>0</v>
      </c>
      <c r="AO12" s="49"/>
    </row>
    <row r="13" spans="1:41" s="50" customFormat="1" ht="18" customHeight="1" x14ac:dyDescent="0.2">
      <c r="A13" s="40">
        <v>9</v>
      </c>
      <c r="B13" s="44" t="s">
        <v>26</v>
      </c>
      <c r="C13" s="44"/>
      <c r="D13" s="44"/>
      <c r="E13" s="44"/>
      <c r="F13" s="44"/>
      <c r="G13" s="42"/>
      <c r="H13" s="44"/>
      <c r="I13" s="44"/>
      <c r="J13" s="44"/>
      <c r="K13" s="44"/>
      <c r="L13" s="44"/>
      <c r="M13" s="44"/>
      <c r="N13" s="42"/>
      <c r="O13" s="44"/>
      <c r="P13" s="44"/>
      <c r="Q13" s="44"/>
      <c r="R13" s="44"/>
      <c r="S13" s="44"/>
      <c r="T13" s="44"/>
      <c r="U13" s="42"/>
      <c r="V13" s="44"/>
      <c r="W13" s="44"/>
      <c r="X13" s="44"/>
      <c r="Y13" s="44"/>
      <c r="Z13" s="44"/>
      <c r="AA13" s="44"/>
      <c r="AB13" s="42"/>
      <c r="AC13" s="44"/>
      <c r="AD13" s="44"/>
      <c r="AE13" s="44"/>
      <c r="AF13" s="44"/>
      <c r="AG13" s="42"/>
      <c r="AH13" s="84">
        <f t="shared" si="1"/>
        <v>0</v>
      </c>
      <c r="AI13" s="107">
        <f>AH13/4500</f>
        <v>0</v>
      </c>
      <c r="AJ13" s="109"/>
      <c r="AK13" s="111">
        <f t="shared" si="2"/>
        <v>0</v>
      </c>
      <c r="AL13" s="47"/>
      <c r="AM13" s="48" t="s">
        <v>27</v>
      </c>
      <c r="AN13" s="39">
        <f t="shared" si="0"/>
        <v>0</v>
      </c>
      <c r="AO13" s="49"/>
    </row>
    <row r="14" spans="1:41" s="50" customFormat="1" ht="18" customHeight="1" x14ac:dyDescent="0.2">
      <c r="A14" s="40">
        <v>10</v>
      </c>
      <c r="B14" s="52" t="s">
        <v>28</v>
      </c>
      <c r="C14" s="52"/>
      <c r="D14" s="52"/>
      <c r="E14" s="52">
        <v>7560000</v>
      </c>
      <c r="F14" s="52">
        <v>11947500</v>
      </c>
      <c r="G14" s="42"/>
      <c r="H14" s="52"/>
      <c r="I14" s="52"/>
      <c r="J14" s="52"/>
      <c r="K14" s="52"/>
      <c r="L14" s="52">
        <v>7410000</v>
      </c>
      <c r="M14" s="52">
        <v>10665000</v>
      </c>
      <c r="N14" s="42"/>
      <c r="O14" s="52"/>
      <c r="P14" s="52"/>
      <c r="Q14" s="52"/>
      <c r="R14" s="52"/>
      <c r="S14" s="52"/>
      <c r="T14" s="52"/>
      <c r="U14" s="42"/>
      <c r="V14" s="52"/>
      <c r="W14" s="52"/>
      <c r="X14" s="52"/>
      <c r="Y14" s="52"/>
      <c r="Z14" s="52"/>
      <c r="AA14" s="52"/>
      <c r="AB14" s="42"/>
      <c r="AC14" s="52"/>
      <c r="AD14" s="52"/>
      <c r="AE14" s="52"/>
      <c r="AF14" s="52"/>
      <c r="AG14" s="42"/>
      <c r="AH14" s="84">
        <f t="shared" si="1"/>
        <v>37582500</v>
      </c>
      <c r="AI14" s="107">
        <f>AH14/7500</f>
        <v>5011</v>
      </c>
      <c r="AJ14" s="109">
        <v>140940000</v>
      </c>
      <c r="AK14" s="111">
        <f t="shared" si="2"/>
        <v>178522500</v>
      </c>
      <c r="AL14" s="47"/>
      <c r="AM14" s="48" t="s">
        <v>29</v>
      </c>
      <c r="AN14" s="39">
        <f t="shared" si="0"/>
        <v>37582500</v>
      </c>
      <c r="AO14" s="49"/>
    </row>
    <row r="15" spans="1:41" s="11" customFormat="1" ht="18" customHeight="1" x14ac:dyDescent="0.2">
      <c r="A15" s="40">
        <v>11</v>
      </c>
      <c r="B15" s="52" t="s">
        <v>30</v>
      </c>
      <c r="C15" s="52"/>
      <c r="D15" s="52"/>
      <c r="E15" s="52">
        <v>4365000</v>
      </c>
      <c r="F15" s="52">
        <v>8452500</v>
      </c>
      <c r="G15" s="42"/>
      <c r="H15" s="52"/>
      <c r="I15" s="52"/>
      <c r="J15" s="52"/>
      <c r="K15" s="52"/>
      <c r="L15" s="52">
        <v>4462500</v>
      </c>
      <c r="M15" s="52">
        <v>7477500</v>
      </c>
      <c r="N15" s="42"/>
      <c r="O15" s="52"/>
      <c r="P15" s="52"/>
      <c r="Q15" s="52"/>
      <c r="R15" s="52"/>
      <c r="S15" s="52"/>
      <c r="T15" s="52"/>
      <c r="U15" s="42"/>
      <c r="V15" s="52"/>
      <c r="W15" s="52"/>
      <c r="X15" s="52"/>
      <c r="Y15" s="52"/>
      <c r="Z15" s="52"/>
      <c r="AA15" s="52"/>
      <c r="AB15" s="42"/>
      <c r="AC15" s="52"/>
      <c r="AD15" s="52"/>
      <c r="AE15" s="52"/>
      <c r="AF15" s="52"/>
      <c r="AG15" s="42"/>
      <c r="AH15" s="84">
        <f t="shared" si="1"/>
        <v>24757500</v>
      </c>
      <c r="AI15" s="107">
        <f>AH15/7500</f>
        <v>3301</v>
      </c>
      <c r="AJ15" s="109">
        <v>26670000</v>
      </c>
      <c r="AK15" s="111">
        <f t="shared" si="2"/>
        <v>51427500</v>
      </c>
      <c r="AL15" s="38"/>
      <c r="AM15" s="54" t="s">
        <v>21</v>
      </c>
      <c r="AN15" s="39">
        <f t="shared" si="0"/>
        <v>24757500</v>
      </c>
      <c r="AO15" s="29"/>
    </row>
    <row r="16" spans="1:41" s="11" customFormat="1" ht="18" customHeight="1" x14ac:dyDescent="0.2">
      <c r="A16" s="40">
        <v>12</v>
      </c>
      <c r="B16" s="55" t="s">
        <v>31</v>
      </c>
      <c r="C16" s="52"/>
      <c r="D16" s="52"/>
      <c r="E16" s="52"/>
      <c r="F16" s="52"/>
      <c r="G16" s="42"/>
      <c r="H16" s="52"/>
      <c r="I16" s="52"/>
      <c r="J16" s="52"/>
      <c r="K16" s="52"/>
      <c r="L16" s="52"/>
      <c r="M16" s="52"/>
      <c r="N16" s="42"/>
      <c r="O16" s="52"/>
      <c r="P16" s="52"/>
      <c r="Q16" s="52"/>
      <c r="R16" s="52"/>
      <c r="S16" s="52"/>
      <c r="T16" s="52"/>
      <c r="U16" s="42"/>
      <c r="V16" s="52"/>
      <c r="W16" s="52"/>
      <c r="X16" s="52"/>
      <c r="Y16" s="52"/>
      <c r="Z16" s="52"/>
      <c r="AA16" s="52"/>
      <c r="AB16" s="42"/>
      <c r="AC16" s="52"/>
      <c r="AD16" s="52"/>
      <c r="AE16" s="52"/>
      <c r="AF16" s="52"/>
      <c r="AG16" s="42"/>
      <c r="AH16" s="84">
        <f t="shared" si="1"/>
        <v>0</v>
      </c>
      <c r="AI16" s="107">
        <f>AH16/5625</f>
        <v>0</v>
      </c>
      <c r="AJ16" s="109"/>
      <c r="AK16" s="111">
        <f t="shared" si="2"/>
        <v>0</v>
      </c>
      <c r="AL16" s="38"/>
      <c r="AM16" s="54" t="s">
        <v>22</v>
      </c>
      <c r="AN16" s="39">
        <f t="shared" si="0"/>
        <v>0</v>
      </c>
      <c r="AO16" s="29"/>
    </row>
    <row r="17" spans="1:41" s="11" customFormat="1" ht="18" customHeight="1" x14ac:dyDescent="0.2">
      <c r="A17" s="40">
        <v>13</v>
      </c>
      <c r="B17" s="52" t="s">
        <v>32</v>
      </c>
      <c r="C17" s="52"/>
      <c r="D17" s="52"/>
      <c r="E17" s="52"/>
      <c r="F17" s="52"/>
      <c r="G17" s="42"/>
      <c r="H17" s="52"/>
      <c r="I17" s="52"/>
      <c r="J17" s="52"/>
      <c r="K17" s="52"/>
      <c r="L17" s="52"/>
      <c r="M17" s="52"/>
      <c r="N17" s="42"/>
      <c r="O17" s="52"/>
      <c r="P17" s="52"/>
      <c r="Q17" s="52"/>
      <c r="R17" s="52"/>
      <c r="S17" s="52"/>
      <c r="T17" s="52"/>
      <c r="U17" s="42"/>
      <c r="V17" s="52"/>
      <c r="W17" s="52"/>
      <c r="X17" s="52"/>
      <c r="Y17" s="52"/>
      <c r="Z17" s="52"/>
      <c r="AA17" s="52"/>
      <c r="AB17" s="42"/>
      <c r="AC17" s="52"/>
      <c r="AD17" s="52"/>
      <c r="AE17" s="52"/>
      <c r="AF17" s="52"/>
      <c r="AG17" s="42"/>
      <c r="AH17" s="84">
        <f t="shared" si="1"/>
        <v>0</v>
      </c>
      <c r="AI17" s="107">
        <f>AH17/5625</f>
        <v>0</v>
      </c>
      <c r="AJ17" s="109"/>
      <c r="AK17" s="111">
        <f t="shared" si="2"/>
        <v>0</v>
      </c>
      <c r="AL17" s="38"/>
      <c r="AM17" s="54" t="s">
        <v>24</v>
      </c>
      <c r="AN17" s="39">
        <f t="shared" si="0"/>
        <v>0</v>
      </c>
      <c r="AO17" s="29"/>
    </row>
    <row r="18" spans="1:41" s="11" customFormat="1" ht="18" customHeight="1" x14ac:dyDescent="0.2">
      <c r="A18" s="40">
        <v>14</v>
      </c>
      <c r="B18" s="41" t="s">
        <v>6</v>
      </c>
      <c r="C18" s="41"/>
      <c r="D18" s="41"/>
      <c r="E18" s="41"/>
      <c r="F18" s="41"/>
      <c r="G18" s="42"/>
      <c r="H18" s="41"/>
      <c r="I18" s="41"/>
      <c r="J18" s="41"/>
      <c r="K18" s="41"/>
      <c r="L18" s="41"/>
      <c r="M18" s="41"/>
      <c r="N18" s="42"/>
      <c r="O18" s="41"/>
      <c r="P18" s="41"/>
      <c r="Q18" s="41"/>
      <c r="R18" s="41"/>
      <c r="S18" s="41"/>
      <c r="T18" s="41"/>
      <c r="U18" s="42"/>
      <c r="V18" s="41"/>
      <c r="W18" s="41"/>
      <c r="X18" s="41"/>
      <c r="Y18" s="41"/>
      <c r="Z18" s="41"/>
      <c r="AA18" s="41"/>
      <c r="AB18" s="42"/>
      <c r="AC18" s="41"/>
      <c r="AD18" s="41"/>
      <c r="AE18" s="41"/>
      <c r="AF18" s="41"/>
      <c r="AG18" s="42"/>
      <c r="AH18" s="84">
        <f t="shared" si="1"/>
        <v>0</v>
      </c>
      <c r="AI18" s="107">
        <f>AH18/15000</f>
        <v>0</v>
      </c>
      <c r="AJ18" s="110">
        <v>1560000</v>
      </c>
      <c r="AK18" s="111">
        <f t="shared" si="2"/>
        <v>1560000</v>
      </c>
      <c r="AL18" s="38"/>
      <c r="AM18" s="54" t="s">
        <v>26</v>
      </c>
      <c r="AN18" s="39">
        <f t="shared" si="0"/>
        <v>0</v>
      </c>
      <c r="AO18" s="29"/>
    </row>
    <row r="19" spans="1:41" s="11" customFormat="1" ht="18" customHeight="1" x14ac:dyDescent="0.2">
      <c r="A19" s="40">
        <v>15</v>
      </c>
      <c r="B19" s="41" t="s">
        <v>7</v>
      </c>
      <c r="C19" s="41"/>
      <c r="D19" s="41"/>
      <c r="E19" s="41"/>
      <c r="F19" s="41"/>
      <c r="G19" s="42"/>
      <c r="H19" s="41"/>
      <c r="I19" s="41"/>
      <c r="J19" s="41"/>
      <c r="K19" s="41"/>
      <c r="L19" s="41"/>
      <c r="M19" s="41"/>
      <c r="N19" s="42"/>
      <c r="O19" s="41"/>
      <c r="P19" s="41"/>
      <c r="Q19" s="41"/>
      <c r="R19" s="41"/>
      <c r="S19" s="41"/>
      <c r="T19" s="41"/>
      <c r="U19" s="42"/>
      <c r="V19" s="41"/>
      <c r="W19" s="41"/>
      <c r="X19" s="41"/>
      <c r="Y19" s="41"/>
      <c r="Z19" s="41"/>
      <c r="AA19" s="41"/>
      <c r="AB19" s="42"/>
      <c r="AC19" s="41"/>
      <c r="AD19" s="41"/>
      <c r="AE19" s="41"/>
      <c r="AF19" s="41"/>
      <c r="AG19" s="42"/>
      <c r="AH19" s="84">
        <f>SUM(C19:AG19)</f>
        <v>0</v>
      </c>
      <c r="AI19" s="107">
        <f>AH19/12500</f>
        <v>0</v>
      </c>
      <c r="AJ19" s="110">
        <v>812500</v>
      </c>
      <c r="AK19" s="111">
        <f t="shared" si="2"/>
        <v>812500</v>
      </c>
      <c r="AL19" s="38"/>
      <c r="AM19" s="58" t="s">
        <v>28</v>
      </c>
      <c r="AN19" s="39">
        <f t="shared" si="0"/>
        <v>0</v>
      </c>
      <c r="AO19" s="29"/>
    </row>
    <row r="20" spans="1:41" s="11" customFormat="1" ht="18" customHeight="1" x14ac:dyDescent="0.2">
      <c r="A20" s="40">
        <v>16</v>
      </c>
      <c r="B20" s="41" t="s">
        <v>8</v>
      </c>
      <c r="C20" s="41"/>
      <c r="D20" s="41"/>
      <c r="E20" s="41"/>
      <c r="F20" s="41"/>
      <c r="G20" s="42"/>
      <c r="H20" s="41"/>
      <c r="I20" s="41"/>
      <c r="J20" s="41"/>
      <c r="K20" s="41"/>
      <c r="L20" s="41"/>
      <c r="M20" s="41"/>
      <c r="N20" s="42"/>
      <c r="O20" s="41"/>
      <c r="P20" s="41"/>
      <c r="Q20" s="41"/>
      <c r="R20" s="41"/>
      <c r="S20" s="41"/>
      <c r="T20" s="41"/>
      <c r="U20" s="42"/>
      <c r="V20" s="41"/>
      <c r="W20" s="41"/>
      <c r="X20" s="41"/>
      <c r="Y20" s="41"/>
      <c r="Z20" s="41"/>
      <c r="AA20" s="41"/>
      <c r="AB20" s="42"/>
      <c r="AC20" s="41"/>
      <c r="AD20" s="41"/>
      <c r="AE20" s="41"/>
      <c r="AF20" s="41"/>
      <c r="AG20" s="42"/>
      <c r="AH20" s="84">
        <f t="shared" si="1"/>
        <v>0</v>
      </c>
      <c r="AI20" s="107">
        <f>AH20/6000</f>
        <v>0</v>
      </c>
      <c r="AJ20" s="110">
        <v>28122000</v>
      </c>
      <c r="AK20" s="111">
        <f t="shared" si="2"/>
        <v>28122000</v>
      </c>
      <c r="AL20" s="38"/>
      <c r="AM20" s="58" t="s">
        <v>30</v>
      </c>
      <c r="AN20" s="39">
        <f t="shared" si="0"/>
        <v>0</v>
      </c>
      <c r="AO20" s="29"/>
    </row>
    <row r="21" spans="1:41" s="11" customFormat="1" ht="18" customHeight="1" x14ac:dyDescent="0.2">
      <c r="A21" s="40">
        <v>17</v>
      </c>
      <c r="B21" s="41" t="s">
        <v>9</v>
      </c>
      <c r="C21" s="41"/>
      <c r="D21" s="41"/>
      <c r="E21" s="41"/>
      <c r="F21" s="41"/>
      <c r="G21" s="42"/>
      <c r="H21" s="41"/>
      <c r="I21" s="41"/>
      <c r="J21" s="41"/>
      <c r="K21" s="41"/>
      <c r="L21" s="41"/>
      <c r="M21" s="41"/>
      <c r="N21" s="42"/>
      <c r="O21" s="41"/>
      <c r="P21" s="41"/>
      <c r="Q21" s="41"/>
      <c r="R21" s="41"/>
      <c r="S21" s="41"/>
      <c r="T21" s="41"/>
      <c r="U21" s="42"/>
      <c r="V21" s="41"/>
      <c r="W21" s="41"/>
      <c r="X21" s="41"/>
      <c r="Y21" s="41"/>
      <c r="Z21" s="41"/>
      <c r="AA21" s="41"/>
      <c r="AB21" s="42"/>
      <c r="AC21" s="41"/>
      <c r="AD21" s="41"/>
      <c r="AE21" s="41"/>
      <c r="AF21" s="41"/>
      <c r="AG21" s="42"/>
      <c r="AH21" s="84">
        <f t="shared" si="1"/>
        <v>0</v>
      </c>
      <c r="AI21" s="107">
        <f>AH21/3000</f>
        <v>0</v>
      </c>
      <c r="AJ21" s="110">
        <v>34719000</v>
      </c>
      <c r="AK21" s="111">
        <f t="shared" si="2"/>
        <v>34719000</v>
      </c>
      <c r="AL21" s="38"/>
      <c r="AM21" s="58" t="s">
        <v>31</v>
      </c>
      <c r="AN21" s="39">
        <f t="shared" si="0"/>
        <v>0</v>
      </c>
      <c r="AO21" s="29"/>
    </row>
    <row r="22" spans="1:41" s="11" customFormat="1" ht="18" customHeight="1" thickBot="1" x14ac:dyDescent="0.25">
      <c r="A22" s="40">
        <v>18</v>
      </c>
      <c r="B22" s="59" t="s">
        <v>10</v>
      </c>
      <c r="C22" s="59"/>
      <c r="D22" s="59"/>
      <c r="E22" s="59"/>
      <c r="F22" s="61"/>
      <c r="G22" s="60"/>
      <c r="H22" s="61"/>
      <c r="I22" s="59"/>
      <c r="J22" s="59"/>
      <c r="K22" s="59"/>
      <c r="L22" s="59"/>
      <c r="M22" s="59"/>
      <c r="N22" s="60"/>
      <c r="O22" s="59"/>
      <c r="P22" s="59"/>
      <c r="Q22" s="59"/>
      <c r="R22" s="59"/>
      <c r="S22" s="59"/>
      <c r="T22" s="59"/>
      <c r="U22" s="60"/>
      <c r="V22" s="59"/>
      <c r="W22" s="59"/>
      <c r="X22" s="59"/>
      <c r="Y22" s="59"/>
      <c r="Z22" s="59"/>
      <c r="AA22" s="59"/>
      <c r="AB22" s="60"/>
      <c r="AC22" s="59"/>
      <c r="AD22" s="59"/>
      <c r="AE22" s="59"/>
      <c r="AF22" s="59"/>
      <c r="AG22" s="60"/>
      <c r="AH22" s="83">
        <f t="shared" si="1"/>
        <v>0</v>
      </c>
      <c r="AI22" s="107">
        <f>AH22/1000</f>
        <v>0</v>
      </c>
      <c r="AJ22" s="110">
        <v>2765000</v>
      </c>
      <c r="AK22" s="111">
        <f t="shared" si="2"/>
        <v>2765000</v>
      </c>
      <c r="AL22" s="38"/>
      <c r="AM22" s="58" t="s">
        <v>32</v>
      </c>
      <c r="AN22" s="39">
        <f t="shared" si="0"/>
        <v>0</v>
      </c>
      <c r="AO22" s="29"/>
    </row>
    <row r="23" spans="1:41" s="67" customFormat="1" ht="18" customHeight="1" x14ac:dyDescent="0.25">
      <c r="A23" s="63"/>
      <c r="B23" s="64" t="s">
        <v>11</v>
      </c>
      <c r="C23" s="65">
        <f t="shared" ref="C23:AJ23" si="3">SUM(C5:C22)</f>
        <v>5324500</v>
      </c>
      <c r="D23" s="65">
        <f t="shared" si="3"/>
        <v>5611000</v>
      </c>
      <c r="E23" s="65">
        <f t="shared" si="3"/>
        <v>34613500</v>
      </c>
      <c r="F23" s="65">
        <f t="shared" si="3"/>
        <v>54864000</v>
      </c>
      <c r="G23" s="65">
        <f t="shared" si="3"/>
        <v>0</v>
      </c>
      <c r="H23" s="65">
        <f t="shared" si="3"/>
        <v>7261500</v>
      </c>
      <c r="I23" s="65">
        <f t="shared" si="3"/>
        <v>6768000</v>
      </c>
      <c r="J23" s="65">
        <f t="shared" si="3"/>
        <v>6484500</v>
      </c>
      <c r="K23" s="65">
        <f t="shared" si="3"/>
        <v>6150000</v>
      </c>
      <c r="L23" s="65">
        <f t="shared" si="3"/>
        <v>36644500</v>
      </c>
      <c r="M23" s="65">
        <f t="shared" si="3"/>
        <v>53466500</v>
      </c>
      <c r="N23" s="65">
        <f t="shared" si="3"/>
        <v>0</v>
      </c>
      <c r="O23" s="65">
        <f t="shared" si="3"/>
        <v>0</v>
      </c>
      <c r="P23" s="65">
        <f t="shared" si="3"/>
        <v>0</v>
      </c>
      <c r="Q23" s="65">
        <f t="shared" si="3"/>
        <v>0</v>
      </c>
      <c r="R23" s="65">
        <f t="shared" si="3"/>
        <v>0</v>
      </c>
      <c r="S23" s="65">
        <f t="shared" si="3"/>
        <v>0</v>
      </c>
      <c r="T23" s="65">
        <f t="shared" si="3"/>
        <v>0</v>
      </c>
      <c r="U23" s="65">
        <f t="shared" si="3"/>
        <v>0</v>
      </c>
      <c r="V23" s="65">
        <f t="shared" si="3"/>
        <v>0</v>
      </c>
      <c r="W23" s="65">
        <f t="shared" si="3"/>
        <v>0</v>
      </c>
      <c r="X23" s="65">
        <f t="shared" si="3"/>
        <v>0</v>
      </c>
      <c r="Y23" s="65">
        <f t="shared" si="3"/>
        <v>0</v>
      </c>
      <c r="Z23" s="65">
        <f t="shared" si="3"/>
        <v>0</v>
      </c>
      <c r="AA23" s="65">
        <f t="shared" si="3"/>
        <v>0</v>
      </c>
      <c r="AB23" s="65">
        <f t="shared" si="3"/>
        <v>0</v>
      </c>
      <c r="AC23" s="65">
        <f t="shared" si="3"/>
        <v>0</v>
      </c>
      <c r="AD23" s="65">
        <f t="shared" si="3"/>
        <v>0</v>
      </c>
      <c r="AE23" s="65">
        <f t="shared" si="3"/>
        <v>0</v>
      </c>
      <c r="AF23" s="65">
        <f t="shared" si="3"/>
        <v>0</v>
      </c>
      <c r="AG23" s="65">
        <f t="shared" si="3"/>
        <v>0</v>
      </c>
      <c r="AH23" s="65">
        <f t="shared" si="3"/>
        <v>217188000</v>
      </c>
      <c r="AI23" s="65"/>
      <c r="AJ23" s="65">
        <f t="shared" si="3"/>
        <v>680470500</v>
      </c>
      <c r="AK23" s="108"/>
      <c r="AL23" s="38"/>
      <c r="AM23" s="66" t="s">
        <v>11</v>
      </c>
      <c r="AN23" s="39">
        <f t="shared" si="0"/>
        <v>217188000</v>
      </c>
    </row>
    <row r="24" spans="1:41" s="68" customFormat="1" ht="12" customHeight="1" x14ac:dyDescent="0.2">
      <c r="B24" s="69"/>
      <c r="C24" s="4"/>
      <c r="D24" s="4"/>
      <c r="E24" s="4"/>
      <c r="F24" s="4"/>
      <c r="G24" s="4"/>
      <c r="H24" s="4"/>
      <c r="I24" s="4"/>
      <c r="J24" s="69"/>
      <c r="K24" s="4"/>
      <c r="L24" s="69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6"/>
      <c r="AI24" s="6"/>
      <c r="AJ24" s="6"/>
      <c r="AK24" s="7"/>
      <c r="AL24" s="28"/>
      <c r="AM24" s="69"/>
      <c r="AN24" s="29"/>
      <c r="AO24" s="39"/>
    </row>
    <row r="25" spans="1:41" s="68" customFormat="1" ht="12" customHeight="1" x14ac:dyDescent="0.2">
      <c r="B25" s="69"/>
      <c r="C25" s="4"/>
      <c r="D25" s="4"/>
      <c r="E25" s="4"/>
      <c r="F25" s="4"/>
      <c r="G25" s="4"/>
      <c r="H25" s="4"/>
      <c r="I25" s="4"/>
      <c r="J25" s="69"/>
      <c r="K25" s="4"/>
      <c r="L25" s="69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6"/>
      <c r="AI25" s="6"/>
      <c r="AJ25" s="6"/>
      <c r="AK25" s="7"/>
      <c r="AL25" s="28"/>
      <c r="AM25" s="69"/>
      <c r="AN25" s="29"/>
      <c r="AO25" s="39"/>
    </row>
    <row r="26" spans="1:41" s="68" customFormat="1" ht="12" customHeight="1" x14ac:dyDescent="0.2">
      <c r="B26" s="69"/>
      <c r="C26" s="4"/>
      <c r="D26" s="4"/>
      <c r="E26" s="4"/>
      <c r="F26" s="4"/>
      <c r="G26" s="4"/>
      <c r="H26" s="4"/>
      <c r="I26" s="4"/>
      <c r="J26" s="69"/>
      <c r="K26" s="4"/>
      <c r="L26" s="69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6"/>
      <c r="AI26" s="6"/>
      <c r="AJ26" s="6"/>
      <c r="AK26" s="37"/>
      <c r="AL26" s="28"/>
      <c r="AM26" s="69"/>
      <c r="AN26" s="29"/>
      <c r="AO26" s="30"/>
    </row>
    <row r="27" spans="1:41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4"/>
      <c r="J27" s="69"/>
      <c r="K27" s="4"/>
      <c r="L27" s="69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6"/>
      <c r="AI27" s="6"/>
      <c r="AJ27" s="6"/>
      <c r="AK27" s="14"/>
      <c r="AL27" s="28"/>
      <c r="AM27" s="70" t="s">
        <v>13</v>
      </c>
      <c r="AN27" s="29"/>
      <c r="AO27" s="30"/>
    </row>
    <row r="28" spans="1:41" s="25" customFormat="1" ht="18" customHeight="1" x14ac:dyDescent="0.25">
      <c r="B28" s="85" t="s">
        <v>14</v>
      </c>
      <c r="C28" s="86">
        <v>1</v>
      </c>
      <c r="D28" s="86">
        <v>2</v>
      </c>
      <c r="E28" s="86">
        <v>3</v>
      </c>
      <c r="F28" s="86">
        <v>4</v>
      </c>
      <c r="G28" s="86">
        <v>5</v>
      </c>
      <c r="H28" s="86">
        <v>6</v>
      </c>
      <c r="I28" s="86">
        <v>7</v>
      </c>
      <c r="J28" s="86">
        <v>8</v>
      </c>
      <c r="K28" s="86">
        <v>9</v>
      </c>
      <c r="L28" s="86">
        <v>10</v>
      </c>
      <c r="M28" s="86">
        <v>11</v>
      </c>
      <c r="N28" s="86">
        <v>12</v>
      </c>
      <c r="O28" s="86">
        <v>13</v>
      </c>
      <c r="P28" s="86">
        <v>14</v>
      </c>
      <c r="Q28" s="86">
        <v>15</v>
      </c>
      <c r="R28" s="86">
        <v>16</v>
      </c>
      <c r="S28" s="86">
        <v>17</v>
      </c>
      <c r="T28" s="86">
        <v>18</v>
      </c>
      <c r="U28" s="86">
        <v>19</v>
      </c>
      <c r="V28" s="86">
        <v>20</v>
      </c>
      <c r="W28" s="86">
        <v>21</v>
      </c>
      <c r="X28" s="86">
        <v>22</v>
      </c>
      <c r="Y28" s="86">
        <v>23</v>
      </c>
      <c r="Z28" s="86">
        <v>24</v>
      </c>
      <c r="AA28" s="86">
        <v>25</v>
      </c>
      <c r="AB28" s="86">
        <v>26</v>
      </c>
      <c r="AC28" s="86">
        <v>27</v>
      </c>
      <c r="AD28" s="86">
        <v>28</v>
      </c>
      <c r="AE28" s="86">
        <v>29</v>
      </c>
      <c r="AF28" s="86">
        <v>30</v>
      </c>
      <c r="AG28" s="86">
        <v>31</v>
      </c>
      <c r="AH28" s="87" t="s">
        <v>1</v>
      </c>
      <c r="AI28" s="20"/>
      <c r="AJ28" s="20"/>
      <c r="AK28" s="21"/>
      <c r="AL28" s="28"/>
      <c r="AM28" s="71" t="s">
        <v>14</v>
      </c>
      <c r="AN28" s="72"/>
      <c r="AO28" s="30"/>
    </row>
    <row r="29" spans="1:41" s="25" customFormat="1" ht="18" customHeight="1" x14ac:dyDescent="0.2">
      <c r="B29" s="92" t="s">
        <v>2</v>
      </c>
      <c r="C29" s="92">
        <f t="shared" ref="C29:AG29" si="4">C5/4000</f>
        <v>1091</v>
      </c>
      <c r="D29" s="92">
        <f t="shared" si="4"/>
        <v>1078</v>
      </c>
      <c r="E29" s="92">
        <f t="shared" si="4"/>
        <v>4694</v>
      </c>
      <c r="F29" s="92">
        <f t="shared" si="4"/>
        <v>6934</v>
      </c>
      <c r="G29" s="92">
        <f t="shared" si="4"/>
        <v>0</v>
      </c>
      <c r="H29" s="92">
        <f t="shared" si="4"/>
        <v>1421</v>
      </c>
      <c r="I29" s="92">
        <f t="shared" si="4"/>
        <v>1432</v>
      </c>
      <c r="J29" s="92">
        <f t="shared" si="4"/>
        <v>1334</v>
      </c>
      <c r="K29" s="92">
        <f t="shared" si="4"/>
        <v>1262</v>
      </c>
      <c r="L29" s="92">
        <f t="shared" si="4"/>
        <v>5069</v>
      </c>
      <c r="M29" s="92">
        <f t="shared" si="4"/>
        <v>6982</v>
      </c>
      <c r="N29" s="92">
        <f t="shared" si="4"/>
        <v>0</v>
      </c>
      <c r="O29" s="92">
        <f t="shared" si="4"/>
        <v>0</v>
      </c>
      <c r="P29" s="92">
        <f t="shared" si="4"/>
        <v>0</v>
      </c>
      <c r="Q29" s="92">
        <f t="shared" si="4"/>
        <v>0</v>
      </c>
      <c r="R29" s="92">
        <f t="shared" si="4"/>
        <v>0</v>
      </c>
      <c r="S29" s="92">
        <f t="shared" si="4"/>
        <v>0</v>
      </c>
      <c r="T29" s="92">
        <f t="shared" si="4"/>
        <v>0</v>
      </c>
      <c r="U29" s="92">
        <f t="shared" si="4"/>
        <v>0</v>
      </c>
      <c r="V29" s="92">
        <f t="shared" si="4"/>
        <v>0</v>
      </c>
      <c r="W29" s="92">
        <f t="shared" si="4"/>
        <v>0</v>
      </c>
      <c r="X29" s="92">
        <f t="shared" si="4"/>
        <v>0</v>
      </c>
      <c r="Y29" s="92">
        <f t="shared" si="4"/>
        <v>0</v>
      </c>
      <c r="Z29" s="92">
        <f t="shared" si="4"/>
        <v>0</v>
      </c>
      <c r="AA29" s="92">
        <f t="shared" si="4"/>
        <v>0</v>
      </c>
      <c r="AB29" s="92">
        <f t="shared" si="4"/>
        <v>0</v>
      </c>
      <c r="AC29" s="92">
        <f t="shared" si="4"/>
        <v>0</v>
      </c>
      <c r="AD29" s="92">
        <f t="shared" si="4"/>
        <v>0</v>
      </c>
      <c r="AE29" s="92">
        <f t="shared" si="4"/>
        <v>0</v>
      </c>
      <c r="AF29" s="92">
        <f t="shared" si="4"/>
        <v>0</v>
      </c>
      <c r="AG29" s="92">
        <f t="shared" si="4"/>
        <v>0</v>
      </c>
      <c r="AH29" s="93">
        <f>SUM(C29:AG29)</f>
        <v>31297</v>
      </c>
      <c r="AI29" s="27"/>
      <c r="AJ29" s="27"/>
      <c r="AK29" s="73"/>
      <c r="AL29" s="28"/>
      <c r="AM29" s="74" t="s">
        <v>2</v>
      </c>
      <c r="AN29" s="75">
        <f>AH29</f>
        <v>31297</v>
      </c>
      <c r="AO29" s="30"/>
    </row>
    <row r="30" spans="1:41" s="25" customFormat="1" ht="18" customHeight="1" x14ac:dyDescent="0.2">
      <c r="B30" s="92" t="s">
        <v>3</v>
      </c>
      <c r="C30" s="92">
        <f t="shared" ref="C30:AG31" si="5">C6/3000</f>
        <v>194</v>
      </c>
      <c r="D30" s="92">
        <f t="shared" si="5"/>
        <v>253</v>
      </c>
      <c r="E30" s="92">
        <f t="shared" si="5"/>
        <v>1145</v>
      </c>
      <c r="F30" s="92">
        <f t="shared" si="5"/>
        <v>1906</v>
      </c>
      <c r="G30" s="92">
        <f t="shared" si="5"/>
        <v>0</v>
      </c>
      <c r="H30" s="92">
        <f t="shared" si="5"/>
        <v>251</v>
      </c>
      <c r="I30" s="92">
        <f t="shared" si="5"/>
        <v>240</v>
      </c>
      <c r="J30" s="92">
        <f t="shared" si="5"/>
        <v>248</v>
      </c>
      <c r="K30" s="92">
        <f t="shared" si="5"/>
        <v>268</v>
      </c>
      <c r="L30" s="92">
        <f t="shared" si="5"/>
        <v>1367</v>
      </c>
      <c r="M30" s="92">
        <f t="shared" si="5"/>
        <v>2102</v>
      </c>
      <c r="N30" s="92">
        <f t="shared" si="5"/>
        <v>0</v>
      </c>
      <c r="O30" s="92">
        <f t="shared" si="5"/>
        <v>0</v>
      </c>
      <c r="P30" s="92">
        <f t="shared" si="5"/>
        <v>0</v>
      </c>
      <c r="Q30" s="92">
        <f t="shared" si="5"/>
        <v>0</v>
      </c>
      <c r="R30" s="92">
        <f t="shared" si="5"/>
        <v>0</v>
      </c>
      <c r="S30" s="92">
        <f t="shared" si="5"/>
        <v>0</v>
      </c>
      <c r="T30" s="92">
        <f t="shared" si="5"/>
        <v>0</v>
      </c>
      <c r="U30" s="92">
        <f t="shared" si="5"/>
        <v>0</v>
      </c>
      <c r="V30" s="92">
        <f t="shared" si="5"/>
        <v>0</v>
      </c>
      <c r="W30" s="92">
        <f t="shared" si="5"/>
        <v>0</v>
      </c>
      <c r="X30" s="92">
        <f t="shared" si="5"/>
        <v>0</v>
      </c>
      <c r="Y30" s="92">
        <f t="shared" si="5"/>
        <v>0</v>
      </c>
      <c r="Z30" s="92">
        <f t="shared" si="5"/>
        <v>0</v>
      </c>
      <c r="AA30" s="92">
        <f t="shared" si="5"/>
        <v>0</v>
      </c>
      <c r="AB30" s="92">
        <f t="shared" si="5"/>
        <v>0</v>
      </c>
      <c r="AC30" s="92">
        <f t="shared" si="5"/>
        <v>0</v>
      </c>
      <c r="AD30" s="92">
        <f t="shared" si="5"/>
        <v>0</v>
      </c>
      <c r="AE30" s="92">
        <f t="shared" si="5"/>
        <v>0</v>
      </c>
      <c r="AF30" s="92">
        <f t="shared" si="5"/>
        <v>0</v>
      </c>
      <c r="AG30" s="92">
        <f t="shared" si="5"/>
        <v>0</v>
      </c>
      <c r="AH30" s="93">
        <f t="shared" ref="AH30:AH46" si="6">SUM(C30:AG30)</f>
        <v>7974</v>
      </c>
      <c r="AI30" s="27"/>
      <c r="AJ30" s="27"/>
      <c r="AK30" s="73"/>
      <c r="AL30" s="28"/>
      <c r="AM30" s="74" t="s">
        <v>3</v>
      </c>
      <c r="AN30" s="75">
        <f t="shared" ref="AN30:AN40" si="7">AH30</f>
        <v>7974</v>
      </c>
      <c r="AO30" s="76"/>
    </row>
    <row r="31" spans="1:41" s="25" customFormat="1" ht="18" customHeight="1" x14ac:dyDescent="0.2">
      <c r="B31" s="92" t="s">
        <v>4</v>
      </c>
      <c r="C31" s="92">
        <f t="shared" si="5"/>
        <v>0</v>
      </c>
      <c r="D31" s="92">
        <f t="shared" si="5"/>
        <v>0</v>
      </c>
      <c r="E31" s="92">
        <f t="shared" si="5"/>
        <v>0</v>
      </c>
      <c r="F31" s="92">
        <f t="shared" si="5"/>
        <v>0</v>
      </c>
      <c r="G31" s="92">
        <f t="shared" si="5"/>
        <v>0</v>
      </c>
      <c r="H31" s="92">
        <f t="shared" si="5"/>
        <v>0</v>
      </c>
      <c r="I31" s="92">
        <f t="shared" si="5"/>
        <v>0</v>
      </c>
      <c r="J31" s="92">
        <f t="shared" si="5"/>
        <v>0</v>
      </c>
      <c r="K31" s="92">
        <f t="shared" si="5"/>
        <v>0</v>
      </c>
      <c r="L31" s="92">
        <f t="shared" si="5"/>
        <v>0</v>
      </c>
      <c r="M31" s="92">
        <f t="shared" si="5"/>
        <v>0</v>
      </c>
      <c r="N31" s="92">
        <f t="shared" si="5"/>
        <v>0</v>
      </c>
      <c r="O31" s="92">
        <f t="shared" si="5"/>
        <v>0</v>
      </c>
      <c r="P31" s="92">
        <f t="shared" si="5"/>
        <v>0</v>
      </c>
      <c r="Q31" s="92">
        <f t="shared" si="5"/>
        <v>0</v>
      </c>
      <c r="R31" s="92">
        <f t="shared" si="5"/>
        <v>0</v>
      </c>
      <c r="S31" s="92">
        <f t="shared" si="5"/>
        <v>0</v>
      </c>
      <c r="T31" s="92">
        <f t="shared" si="5"/>
        <v>0</v>
      </c>
      <c r="U31" s="92">
        <f t="shared" si="5"/>
        <v>0</v>
      </c>
      <c r="V31" s="92">
        <f t="shared" si="5"/>
        <v>0</v>
      </c>
      <c r="W31" s="92">
        <f t="shared" si="5"/>
        <v>0</v>
      </c>
      <c r="X31" s="92">
        <f t="shared" si="5"/>
        <v>0</v>
      </c>
      <c r="Y31" s="92">
        <f t="shared" si="5"/>
        <v>0</v>
      </c>
      <c r="Z31" s="92">
        <f t="shared" si="5"/>
        <v>0</v>
      </c>
      <c r="AA31" s="92">
        <f t="shared" si="5"/>
        <v>0</v>
      </c>
      <c r="AB31" s="92">
        <f t="shared" si="5"/>
        <v>0</v>
      </c>
      <c r="AC31" s="92">
        <f t="shared" si="5"/>
        <v>0</v>
      </c>
      <c r="AD31" s="92">
        <f t="shared" si="5"/>
        <v>0</v>
      </c>
      <c r="AE31" s="92">
        <f t="shared" si="5"/>
        <v>0</v>
      </c>
      <c r="AF31" s="92">
        <f t="shared" si="5"/>
        <v>0</v>
      </c>
      <c r="AG31" s="92">
        <f t="shared" si="5"/>
        <v>0</v>
      </c>
      <c r="AH31" s="93">
        <f t="shared" si="6"/>
        <v>0</v>
      </c>
      <c r="AI31" s="27"/>
      <c r="AJ31" s="27"/>
      <c r="AK31" s="73"/>
      <c r="AL31" s="28"/>
      <c r="AM31" s="3" t="s">
        <v>4</v>
      </c>
      <c r="AN31" s="75">
        <f t="shared" si="7"/>
        <v>0</v>
      </c>
      <c r="AO31" s="30"/>
    </row>
    <row r="32" spans="1:41" s="25" customFormat="1" ht="18" customHeight="1" x14ac:dyDescent="0.2">
      <c r="B32" s="92" t="s">
        <v>5</v>
      </c>
      <c r="C32" s="92">
        <f t="shared" ref="C32:AG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2">
        <f t="shared" si="8"/>
        <v>0</v>
      </c>
      <c r="P32" s="92">
        <f t="shared" si="8"/>
        <v>0</v>
      </c>
      <c r="Q32" s="92">
        <f t="shared" si="8"/>
        <v>0</v>
      </c>
      <c r="R32" s="92">
        <f t="shared" si="8"/>
        <v>0</v>
      </c>
      <c r="S32" s="92">
        <f t="shared" si="8"/>
        <v>0</v>
      </c>
      <c r="T32" s="92">
        <f t="shared" si="8"/>
        <v>0</v>
      </c>
      <c r="U32" s="92">
        <f t="shared" si="8"/>
        <v>0</v>
      </c>
      <c r="V32" s="92">
        <f t="shared" si="8"/>
        <v>0</v>
      </c>
      <c r="W32" s="92">
        <f t="shared" si="8"/>
        <v>0</v>
      </c>
      <c r="X32" s="92">
        <f t="shared" si="8"/>
        <v>0</v>
      </c>
      <c r="Y32" s="92">
        <f t="shared" si="8"/>
        <v>0</v>
      </c>
      <c r="Z32" s="92">
        <f t="shared" si="8"/>
        <v>0</v>
      </c>
      <c r="AA32" s="92">
        <f t="shared" si="8"/>
        <v>0</v>
      </c>
      <c r="AB32" s="92">
        <f t="shared" si="8"/>
        <v>0</v>
      </c>
      <c r="AC32" s="92">
        <f t="shared" si="8"/>
        <v>0</v>
      </c>
      <c r="AD32" s="92">
        <f t="shared" si="8"/>
        <v>0</v>
      </c>
      <c r="AE32" s="92">
        <f t="shared" si="8"/>
        <v>0</v>
      </c>
      <c r="AF32" s="92">
        <f t="shared" si="8"/>
        <v>0</v>
      </c>
      <c r="AG32" s="92">
        <f t="shared" si="8"/>
        <v>0</v>
      </c>
      <c r="AH32" s="93">
        <f t="shared" si="6"/>
        <v>0</v>
      </c>
      <c r="AI32" s="27"/>
      <c r="AJ32" s="27"/>
      <c r="AK32" s="73"/>
      <c r="AL32" s="28"/>
      <c r="AM32" s="3" t="s">
        <v>5</v>
      </c>
      <c r="AN32" s="75">
        <f t="shared" si="7"/>
        <v>0</v>
      </c>
      <c r="AO32" s="30"/>
    </row>
    <row r="33" spans="2:41" s="25" customFormat="1" ht="18" customHeight="1" x14ac:dyDescent="0.2">
      <c r="B33" s="92" t="s">
        <v>33</v>
      </c>
      <c r="C33" s="92">
        <f>C9/2500</f>
        <v>17</v>
      </c>
      <c r="D33" s="92">
        <f t="shared" ref="D33:AG33" si="9">D9/2500</f>
        <v>24</v>
      </c>
      <c r="E33" s="92">
        <f t="shared" si="9"/>
        <v>191</v>
      </c>
      <c r="F33" s="92">
        <f t="shared" si="9"/>
        <v>404</v>
      </c>
      <c r="G33" s="92">
        <f t="shared" si="9"/>
        <v>0</v>
      </c>
      <c r="H33" s="92">
        <f t="shared" si="9"/>
        <v>25</v>
      </c>
      <c r="I33" s="92">
        <f t="shared" si="9"/>
        <v>32</v>
      </c>
      <c r="J33" s="92">
        <f t="shared" si="9"/>
        <v>37</v>
      </c>
      <c r="K33" s="92">
        <f t="shared" si="9"/>
        <v>16</v>
      </c>
      <c r="L33" s="92">
        <f t="shared" si="9"/>
        <v>158</v>
      </c>
      <c r="M33" s="92">
        <f t="shared" si="9"/>
        <v>436</v>
      </c>
      <c r="N33" s="92">
        <f t="shared" si="9"/>
        <v>0</v>
      </c>
      <c r="O33" s="92">
        <f t="shared" si="9"/>
        <v>0</v>
      </c>
      <c r="P33" s="92">
        <f t="shared" si="9"/>
        <v>0</v>
      </c>
      <c r="Q33" s="92">
        <f t="shared" si="9"/>
        <v>0</v>
      </c>
      <c r="R33" s="92">
        <f t="shared" si="9"/>
        <v>0</v>
      </c>
      <c r="S33" s="92">
        <f t="shared" si="9"/>
        <v>0</v>
      </c>
      <c r="T33" s="92">
        <f t="shared" si="9"/>
        <v>0</v>
      </c>
      <c r="U33" s="92">
        <f t="shared" si="9"/>
        <v>0</v>
      </c>
      <c r="V33" s="92">
        <f t="shared" si="9"/>
        <v>0</v>
      </c>
      <c r="W33" s="92">
        <f t="shared" si="9"/>
        <v>0</v>
      </c>
      <c r="X33" s="92">
        <f t="shared" si="9"/>
        <v>0</v>
      </c>
      <c r="Y33" s="92">
        <f t="shared" si="9"/>
        <v>0</v>
      </c>
      <c r="Z33" s="92">
        <f t="shared" si="9"/>
        <v>0</v>
      </c>
      <c r="AA33" s="92">
        <f t="shared" si="9"/>
        <v>0</v>
      </c>
      <c r="AB33" s="92">
        <f t="shared" si="9"/>
        <v>0</v>
      </c>
      <c r="AC33" s="92">
        <f t="shared" si="9"/>
        <v>0</v>
      </c>
      <c r="AD33" s="92">
        <f t="shared" si="9"/>
        <v>0</v>
      </c>
      <c r="AE33" s="92">
        <f t="shared" si="9"/>
        <v>0</v>
      </c>
      <c r="AF33" s="92">
        <f t="shared" si="9"/>
        <v>0</v>
      </c>
      <c r="AG33" s="92">
        <f t="shared" si="9"/>
        <v>0</v>
      </c>
      <c r="AH33" s="93">
        <f t="shared" si="6"/>
        <v>1340</v>
      </c>
      <c r="AI33" s="27"/>
      <c r="AJ33" s="27"/>
      <c r="AK33" s="73"/>
      <c r="AL33" s="28"/>
      <c r="AM33" s="3"/>
      <c r="AN33" s="75"/>
      <c r="AO33" s="30"/>
    </row>
    <row r="34" spans="2:41" s="25" customFormat="1" ht="18" customHeight="1" x14ac:dyDescent="0.2">
      <c r="B34" s="100" t="s">
        <v>21</v>
      </c>
      <c r="C34" s="100">
        <f t="shared" ref="C34:AG35" si="10">C10/6000</f>
        <v>39</v>
      </c>
      <c r="D34" s="100">
        <f t="shared" si="10"/>
        <v>60</v>
      </c>
      <c r="E34" s="100">
        <f t="shared" si="10"/>
        <v>0</v>
      </c>
      <c r="F34" s="100">
        <f t="shared" si="10"/>
        <v>0</v>
      </c>
      <c r="G34" s="100">
        <f t="shared" si="10"/>
        <v>0</v>
      </c>
      <c r="H34" s="100">
        <f t="shared" si="10"/>
        <v>84</v>
      </c>
      <c r="I34" s="100">
        <f t="shared" si="10"/>
        <v>31</v>
      </c>
      <c r="J34" s="100">
        <f t="shared" si="10"/>
        <v>35</v>
      </c>
      <c r="K34" s="100">
        <f t="shared" si="10"/>
        <v>33</v>
      </c>
      <c r="L34" s="100">
        <f t="shared" si="10"/>
        <v>0</v>
      </c>
      <c r="M34" s="100">
        <f t="shared" si="10"/>
        <v>0</v>
      </c>
      <c r="N34" s="100">
        <f t="shared" si="10"/>
        <v>0</v>
      </c>
      <c r="O34" s="100">
        <f t="shared" si="10"/>
        <v>0</v>
      </c>
      <c r="P34" s="100">
        <f t="shared" si="10"/>
        <v>0</v>
      </c>
      <c r="Q34" s="100">
        <f t="shared" si="10"/>
        <v>0</v>
      </c>
      <c r="R34" s="100">
        <f t="shared" si="10"/>
        <v>0</v>
      </c>
      <c r="S34" s="100">
        <f t="shared" si="10"/>
        <v>0</v>
      </c>
      <c r="T34" s="100">
        <f t="shared" si="10"/>
        <v>0</v>
      </c>
      <c r="U34" s="100">
        <f t="shared" si="10"/>
        <v>0</v>
      </c>
      <c r="V34" s="100">
        <f t="shared" si="10"/>
        <v>0</v>
      </c>
      <c r="W34" s="100">
        <f t="shared" si="10"/>
        <v>0</v>
      </c>
      <c r="X34" s="100">
        <f t="shared" si="10"/>
        <v>0</v>
      </c>
      <c r="Y34" s="100">
        <f t="shared" si="10"/>
        <v>0</v>
      </c>
      <c r="Z34" s="100">
        <f t="shared" si="10"/>
        <v>0</v>
      </c>
      <c r="AA34" s="100">
        <f t="shared" si="10"/>
        <v>0</v>
      </c>
      <c r="AB34" s="100">
        <f t="shared" si="10"/>
        <v>0</v>
      </c>
      <c r="AC34" s="100">
        <f t="shared" si="10"/>
        <v>0</v>
      </c>
      <c r="AD34" s="100">
        <f t="shared" si="10"/>
        <v>0</v>
      </c>
      <c r="AE34" s="100">
        <f t="shared" si="10"/>
        <v>0</v>
      </c>
      <c r="AF34" s="100">
        <f t="shared" si="10"/>
        <v>0</v>
      </c>
      <c r="AG34" s="100">
        <f t="shared" si="10"/>
        <v>0</v>
      </c>
      <c r="AH34" s="93">
        <f t="shared" si="6"/>
        <v>282</v>
      </c>
      <c r="AI34" s="27"/>
      <c r="AJ34" s="27"/>
      <c r="AK34" s="73"/>
      <c r="AL34" s="28"/>
      <c r="AM34" s="3" t="s">
        <v>10</v>
      </c>
      <c r="AN34" s="75">
        <f t="shared" si="7"/>
        <v>282</v>
      </c>
      <c r="AO34" s="30"/>
    </row>
    <row r="35" spans="2:41" s="25" customFormat="1" ht="18" customHeight="1" thickBot="1" x14ac:dyDescent="0.25">
      <c r="B35" s="100" t="s">
        <v>22</v>
      </c>
      <c r="C35" s="100">
        <f t="shared" si="10"/>
        <v>17</v>
      </c>
      <c r="D35" s="100">
        <f t="shared" si="10"/>
        <v>20</v>
      </c>
      <c r="E35" s="100">
        <f t="shared" si="10"/>
        <v>0</v>
      </c>
      <c r="F35" s="100">
        <f t="shared" si="10"/>
        <v>0</v>
      </c>
      <c r="G35" s="100">
        <f t="shared" si="10"/>
        <v>0</v>
      </c>
      <c r="H35" s="100">
        <f t="shared" si="10"/>
        <v>43</v>
      </c>
      <c r="I35" s="100">
        <f t="shared" si="10"/>
        <v>9</v>
      </c>
      <c r="J35" s="100">
        <f t="shared" si="10"/>
        <v>17</v>
      </c>
      <c r="K35" s="100">
        <f t="shared" si="10"/>
        <v>10</v>
      </c>
      <c r="L35" s="100">
        <f t="shared" si="10"/>
        <v>0</v>
      </c>
      <c r="M35" s="100">
        <f t="shared" si="10"/>
        <v>0</v>
      </c>
      <c r="N35" s="100">
        <f t="shared" si="10"/>
        <v>0</v>
      </c>
      <c r="O35" s="100">
        <f t="shared" si="10"/>
        <v>0</v>
      </c>
      <c r="P35" s="100">
        <f t="shared" si="10"/>
        <v>0</v>
      </c>
      <c r="Q35" s="100">
        <f t="shared" si="10"/>
        <v>0</v>
      </c>
      <c r="R35" s="100">
        <f t="shared" si="10"/>
        <v>0</v>
      </c>
      <c r="S35" s="100">
        <f t="shared" si="10"/>
        <v>0</v>
      </c>
      <c r="T35" s="100">
        <f t="shared" si="10"/>
        <v>0</v>
      </c>
      <c r="U35" s="100">
        <f t="shared" si="10"/>
        <v>0</v>
      </c>
      <c r="V35" s="100">
        <f t="shared" si="10"/>
        <v>0</v>
      </c>
      <c r="W35" s="100">
        <f t="shared" si="10"/>
        <v>0</v>
      </c>
      <c r="X35" s="100">
        <f t="shared" si="10"/>
        <v>0</v>
      </c>
      <c r="Y35" s="100">
        <f t="shared" si="10"/>
        <v>0</v>
      </c>
      <c r="Z35" s="100">
        <f t="shared" si="10"/>
        <v>0</v>
      </c>
      <c r="AA35" s="100">
        <f t="shared" si="10"/>
        <v>0</v>
      </c>
      <c r="AB35" s="100">
        <f t="shared" si="10"/>
        <v>0</v>
      </c>
      <c r="AC35" s="100">
        <f t="shared" si="10"/>
        <v>0</v>
      </c>
      <c r="AD35" s="100">
        <f t="shared" si="10"/>
        <v>0</v>
      </c>
      <c r="AE35" s="100">
        <f t="shared" si="10"/>
        <v>0</v>
      </c>
      <c r="AF35" s="100">
        <f t="shared" si="10"/>
        <v>0</v>
      </c>
      <c r="AG35" s="100">
        <f t="shared" si="10"/>
        <v>0</v>
      </c>
      <c r="AH35" s="93">
        <f t="shared" si="6"/>
        <v>116</v>
      </c>
      <c r="AI35" s="27"/>
      <c r="AJ35" s="27"/>
      <c r="AK35" s="73"/>
      <c r="AL35" s="28"/>
      <c r="AM35" s="77" t="s">
        <v>15</v>
      </c>
      <c r="AN35" s="75">
        <f t="shared" si="7"/>
        <v>116</v>
      </c>
      <c r="AO35" s="30"/>
    </row>
    <row r="36" spans="2:41" s="29" customFormat="1" ht="18" customHeight="1" x14ac:dyDescent="0.2">
      <c r="B36" s="100" t="s">
        <v>24</v>
      </c>
      <c r="C36" s="100">
        <f t="shared" ref="C36:AG37" si="11">C12/4500</f>
        <v>0</v>
      </c>
      <c r="D36" s="100">
        <f t="shared" si="11"/>
        <v>0</v>
      </c>
      <c r="E36" s="100">
        <f t="shared" si="11"/>
        <v>0</v>
      </c>
      <c r="F36" s="100">
        <f t="shared" si="11"/>
        <v>0</v>
      </c>
      <c r="G36" s="100">
        <f t="shared" si="11"/>
        <v>0</v>
      </c>
      <c r="H36" s="100">
        <f t="shared" si="11"/>
        <v>0</v>
      </c>
      <c r="I36" s="100">
        <f t="shared" si="11"/>
        <v>0</v>
      </c>
      <c r="J36" s="100">
        <f t="shared" si="11"/>
        <v>0</v>
      </c>
      <c r="K36" s="100">
        <f t="shared" si="11"/>
        <v>0</v>
      </c>
      <c r="L36" s="100">
        <f t="shared" si="11"/>
        <v>0</v>
      </c>
      <c r="M36" s="100">
        <f t="shared" si="11"/>
        <v>0</v>
      </c>
      <c r="N36" s="100">
        <f t="shared" si="11"/>
        <v>0</v>
      </c>
      <c r="O36" s="100">
        <f t="shared" si="11"/>
        <v>0</v>
      </c>
      <c r="P36" s="100">
        <f t="shared" si="11"/>
        <v>0</v>
      </c>
      <c r="Q36" s="100">
        <f t="shared" si="11"/>
        <v>0</v>
      </c>
      <c r="R36" s="100">
        <f t="shared" si="11"/>
        <v>0</v>
      </c>
      <c r="S36" s="100">
        <f t="shared" si="11"/>
        <v>0</v>
      </c>
      <c r="T36" s="100">
        <f t="shared" si="11"/>
        <v>0</v>
      </c>
      <c r="U36" s="100">
        <f t="shared" si="11"/>
        <v>0</v>
      </c>
      <c r="V36" s="100">
        <f t="shared" si="11"/>
        <v>0</v>
      </c>
      <c r="W36" s="100">
        <f t="shared" si="11"/>
        <v>0</v>
      </c>
      <c r="X36" s="100">
        <f t="shared" si="11"/>
        <v>0</v>
      </c>
      <c r="Y36" s="100">
        <f t="shared" si="11"/>
        <v>0</v>
      </c>
      <c r="Z36" s="100">
        <f t="shared" si="11"/>
        <v>0</v>
      </c>
      <c r="AA36" s="100">
        <f t="shared" si="11"/>
        <v>0</v>
      </c>
      <c r="AB36" s="100">
        <f t="shared" si="11"/>
        <v>0</v>
      </c>
      <c r="AC36" s="100">
        <f t="shared" si="11"/>
        <v>0</v>
      </c>
      <c r="AD36" s="100">
        <f t="shared" si="11"/>
        <v>0</v>
      </c>
      <c r="AE36" s="100">
        <f t="shared" si="11"/>
        <v>0</v>
      </c>
      <c r="AF36" s="100">
        <f t="shared" si="11"/>
        <v>0</v>
      </c>
      <c r="AG36" s="100">
        <f t="shared" si="11"/>
        <v>0</v>
      </c>
      <c r="AH36" s="93">
        <f t="shared" si="6"/>
        <v>0</v>
      </c>
      <c r="AI36" s="27"/>
      <c r="AJ36" s="27"/>
      <c r="AK36" s="73"/>
      <c r="AL36" s="28"/>
      <c r="AM36" s="78" t="s">
        <v>34</v>
      </c>
      <c r="AN36" s="75">
        <f t="shared" si="7"/>
        <v>0</v>
      </c>
    </row>
    <row r="37" spans="2:41" s="29" customFormat="1" ht="18" customHeight="1" x14ac:dyDescent="0.2">
      <c r="B37" s="100" t="s">
        <v>26</v>
      </c>
      <c r="C37" s="100">
        <f t="shared" si="11"/>
        <v>0</v>
      </c>
      <c r="D37" s="100">
        <f t="shared" si="11"/>
        <v>0</v>
      </c>
      <c r="E37" s="100">
        <f t="shared" si="11"/>
        <v>0</v>
      </c>
      <c r="F37" s="100">
        <f t="shared" si="11"/>
        <v>0</v>
      </c>
      <c r="G37" s="100">
        <f t="shared" si="11"/>
        <v>0</v>
      </c>
      <c r="H37" s="100">
        <f t="shared" si="11"/>
        <v>0</v>
      </c>
      <c r="I37" s="100">
        <f t="shared" si="11"/>
        <v>0</v>
      </c>
      <c r="J37" s="100">
        <f t="shared" si="11"/>
        <v>0</v>
      </c>
      <c r="K37" s="100">
        <f t="shared" si="11"/>
        <v>0</v>
      </c>
      <c r="L37" s="100">
        <f t="shared" si="11"/>
        <v>0</v>
      </c>
      <c r="M37" s="100">
        <f t="shared" si="11"/>
        <v>0</v>
      </c>
      <c r="N37" s="100">
        <f t="shared" si="11"/>
        <v>0</v>
      </c>
      <c r="O37" s="100">
        <f t="shared" si="11"/>
        <v>0</v>
      </c>
      <c r="P37" s="100">
        <f t="shared" si="11"/>
        <v>0</v>
      </c>
      <c r="Q37" s="100">
        <f t="shared" si="11"/>
        <v>0</v>
      </c>
      <c r="R37" s="100">
        <f t="shared" si="11"/>
        <v>0</v>
      </c>
      <c r="S37" s="100">
        <f t="shared" si="11"/>
        <v>0</v>
      </c>
      <c r="T37" s="100">
        <f t="shared" si="11"/>
        <v>0</v>
      </c>
      <c r="U37" s="100">
        <f t="shared" si="11"/>
        <v>0</v>
      </c>
      <c r="V37" s="100">
        <f t="shared" si="11"/>
        <v>0</v>
      </c>
      <c r="W37" s="100">
        <f t="shared" si="11"/>
        <v>0</v>
      </c>
      <c r="X37" s="100">
        <f t="shared" si="11"/>
        <v>0</v>
      </c>
      <c r="Y37" s="100">
        <f t="shared" si="11"/>
        <v>0</v>
      </c>
      <c r="Z37" s="100">
        <f t="shared" si="11"/>
        <v>0</v>
      </c>
      <c r="AA37" s="100">
        <f t="shared" si="11"/>
        <v>0</v>
      </c>
      <c r="AB37" s="100">
        <f t="shared" si="11"/>
        <v>0</v>
      </c>
      <c r="AC37" s="100">
        <f t="shared" si="11"/>
        <v>0</v>
      </c>
      <c r="AD37" s="100">
        <f t="shared" si="11"/>
        <v>0</v>
      </c>
      <c r="AE37" s="100">
        <f t="shared" si="11"/>
        <v>0</v>
      </c>
      <c r="AF37" s="100">
        <f t="shared" si="11"/>
        <v>0</v>
      </c>
      <c r="AG37" s="100">
        <f t="shared" si="11"/>
        <v>0</v>
      </c>
      <c r="AH37" s="93">
        <f t="shared" si="6"/>
        <v>0</v>
      </c>
      <c r="AI37" s="27"/>
      <c r="AJ37" s="27"/>
      <c r="AK37" s="73"/>
      <c r="AL37" s="28"/>
      <c r="AM37" s="79" t="s">
        <v>35</v>
      </c>
      <c r="AN37" s="75">
        <f t="shared" si="7"/>
        <v>0</v>
      </c>
    </row>
    <row r="38" spans="2:41" s="29" customFormat="1" ht="18" customHeight="1" x14ac:dyDescent="0.2">
      <c r="B38" s="104" t="s">
        <v>28</v>
      </c>
      <c r="C38" s="104">
        <f t="shared" ref="C38:AG39" si="12">C14/7500</f>
        <v>0</v>
      </c>
      <c r="D38" s="104">
        <f t="shared" si="12"/>
        <v>0</v>
      </c>
      <c r="E38" s="104">
        <f t="shared" si="12"/>
        <v>1008</v>
      </c>
      <c r="F38" s="104">
        <f t="shared" si="12"/>
        <v>1593</v>
      </c>
      <c r="G38" s="104">
        <f t="shared" si="12"/>
        <v>0</v>
      </c>
      <c r="H38" s="104">
        <f t="shared" si="12"/>
        <v>0</v>
      </c>
      <c r="I38" s="104">
        <f t="shared" si="12"/>
        <v>0</v>
      </c>
      <c r="J38" s="104">
        <f t="shared" si="12"/>
        <v>0</v>
      </c>
      <c r="K38" s="104">
        <f t="shared" si="12"/>
        <v>0</v>
      </c>
      <c r="L38" s="104">
        <f t="shared" si="12"/>
        <v>988</v>
      </c>
      <c r="M38" s="104">
        <f t="shared" si="12"/>
        <v>1422</v>
      </c>
      <c r="N38" s="104">
        <f t="shared" si="12"/>
        <v>0</v>
      </c>
      <c r="O38" s="104">
        <f t="shared" si="12"/>
        <v>0</v>
      </c>
      <c r="P38" s="104">
        <f t="shared" si="12"/>
        <v>0</v>
      </c>
      <c r="Q38" s="104">
        <f t="shared" si="12"/>
        <v>0</v>
      </c>
      <c r="R38" s="104">
        <f t="shared" si="12"/>
        <v>0</v>
      </c>
      <c r="S38" s="104">
        <f t="shared" si="12"/>
        <v>0</v>
      </c>
      <c r="T38" s="104">
        <f t="shared" si="12"/>
        <v>0</v>
      </c>
      <c r="U38" s="104">
        <f t="shared" si="12"/>
        <v>0</v>
      </c>
      <c r="V38" s="104">
        <f t="shared" si="12"/>
        <v>0</v>
      </c>
      <c r="W38" s="104">
        <f t="shared" si="12"/>
        <v>0</v>
      </c>
      <c r="X38" s="104">
        <f t="shared" si="12"/>
        <v>0</v>
      </c>
      <c r="Y38" s="104">
        <f t="shared" si="12"/>
        <v>0</v>
      </c>
      <c r="Z38" s="104">
        <f t="shared" si="12"/>
        <v>0</v>
      </c>
      <c r="AA38" s="104">
        <f t="shared" si="12"/>
        <v>0</v>
      </c>
      <c r="AB38" s="104">
        <f t="shared" si="12"/>
        <v>0</v>
      </c>
      <c r="AC38" s="104">
        <f t="shared" si="12"/>
        <v>0</v>
      </c>
      <c r="AD38" s="104">
        <f t="shared" si="12"/>
        <v>0</v>
      </c>
      <c r="AE38" s="104">
        <f t="shared" si="12"/>
        <v>0</v>
      </c>
      <c r="AF38" s="104">
        <f t="shared" si="12"/>
        <v>0</v>
      </c>
      <c r="AG38" s="104">
        <f t="shared" si="12"/>
        <v>0</v>
      </c>
      <c r="AH38" s="93">
        <f t="shared" si="6"/>
        <v>5011</v>
      </c>
      <c r="AI38" s="27"/>
      <c r="AJ38" s="27"/>
      <c r="AK38" s="73"/>
      <c r="AL38" s="28"/>
      <c r="AM38" s="79" t="s">
        <v>36</v>
      </c>
      <c r="AN38" s="75">
        <f t="shared" si="7"/>
        <v>5011</v>
      </c>
    </row>
    <row r="39" spans="2:41" s="29" customFormat="1" ht="18" customHeight="1" x14ac:dyDescent="0.2">
      <c r="B39" s="104" t="s">
        <v>30</v>
      </c>
      <c r="C39" s="104">
        <f t="shared" si="12"/>
        <v>0</v>
      </c>
      <c r="D39" s="104">
        <f t="shared" si="12"/>
        <v>0</v>
      </c>
      <c r="E39" s="104">
        <f t="shared" si="12"/>
        <v>582</v>
      </c>
      <c r="F39" s="104">
        <f t="shared" si="12"/>
        <v>1127</v>
      </c>
      <c r="G39" s="104">
        <f t="shared" si="12"/>
        <v>0</v>
      </c>
      <c r="H39" s="104">
        <f t="shared" si="12"/>
        <v>0</v>
      </c>
      <c r="I39" s="104">
        <f t="shared" si="12"/>
        <v>0</v>
      </c>
      <c r="J39" s="104">
        <f t="shared" si="12"/>
        <v>0</v>
      </c>
      <c r="K39" s="104">
        <f t="shared" si="12"/>
        <v>0</v>
      </c>
      <c r="L39" s="104">
        <f t="shared" si="12"/>
        <v>595</v>
      </c>
      <c r="M39" s="104">
        <f t="shared" si="12"/>
        <v>997</v>
      </c>
      <c r="N39" s="104">
        <f t="shared" si="12"/>
        <v>0</v>
      </c>
      <c r="O39" s="104">
        <f t="shared" si="12"/>
        <v>0</v>
      </c>
      <c r="P39" s="104">
        <f t="shared" si="12"/>
        <v>0</v>
      </c>
      <c r="Q39" s="104">
        <f t="shared" si="12"/>
        <v>0</v>
      </c>
      <c r="R39" s="104">
        <f t="shared" si="12"/>
        <v>0</v>
      </c>
      <c r="S39" s="104">
        <f t="shared" si="12"/>
        <v>0</v>
      </c>
      <c r="T39" s="104">
        <f t="shared" si="12"/>
        <v>0</v>
      </c>
      <c r="U39" s="104">
        <f t="shared" si="12"/>
        <v>0</v>
      </c>
      <c r="V39" s="104">
        <f t="shared" si="12"/>
        <v>0</v>
      </c>
      <c r="W39" s="104">
        <f t="shared" si="12"/>
        <v>0</v>
      </c>
      <c r="X39" s="104">
        <f t="shared" si="12"/>
        <v>0</v>
      </c>
      <c r="Y39" s="104">
        <f t="shared" si="12"/>
        <v>0</v>
      </c>
      <c r="Z39" s="104">
        <f t="shared" si="12"/>
        <v>0</v>
      </c>
      <c r="AA39" s="104">
        <f t="shared" si="12"/>
        <v>0</v>
      </c>
      <c r="AB39" s="104">
        <f t="shared" si="12"/>
        <v>0</v>
      </c>
      <c r="AC39" s="104">
        <f t="shared" si="12"/>
        <v>0</v>
      </c>
      <c r="AD39" s="104">
        <f t="shared" si="12"/>
        <v>0</v>
      </c>
      <c r="AE39" s="104">
        <f t="shared" si="12"/>
        <v>0</v>
      </c>
      <c r="AF39" s="104">
        <f t="shared" si="12"/>
        <v>0</v>
      </c>
      <c r="AG39" s="104">
        <f t="shared" si="12"/>
        <v>0</v>
      </c>
      <c r="AH39" s="93">
        <f t="shared" si="6"/>
        <v>3301</v>
      </c>
      <c r="AI39" s="27"/>
      <c r="AJ39" s="27"/>
      <c r="AK39" s="73"/>
      <c r="AL39" s="28"/>
      <c r="AM39" s="79" t="s">
        <v>37</v>
      </c>
      <c r="AN39" s="75">
        <f t="shared" si="7"/>
        <v>3301</v>
      </c>
    </row>
    <row r="40" spans="2:41" s="29" customFormat="1" ht="18" customHeight="1" thickBot="1" x14ac:dyDescent="0.25">
      <c r="B40" s="104" t="s">
        <v>31</v>
      </c>
      <c r="C40" s="104">
        <f t="shared" ref="C40:AG41" si="13">C16/5625</f>
        <v>0</v>
      </c>
      <c r="D40" s="104">
        <f t="shared" si="13"/>
        <v>0</v>
      </c>
      <c r="E40" s="104">
        <f t="shared" si="13"/>
        <v>0</v>
      </c>
      <c r="F40" s="104">
        <f t="shared" si="13"/>
        <v>0</v>
      </c>
      <c r="G40" s="104">
        <f t="shared" si="13"/>
        <v>0</v>
      </c>
      <c r="H40" s="104">
        <f t="shared" si="13"/>
        <v>0</v>
      </c>
      <c r="I40" s="104">
        <f t="shared" si="13"/>
        <v>0</v>
      </c>
      <c r="J40" s="104">
        <f t="shared" si="13"/>
        <v>0</v>
      </c>
      <c r="K40" s="104">
        <f t="shared" si="13"/>
        <v>0</v>
      </c>
      <c r="L40" s="104">
        <f t="shared" si="13"/>
        <v>0</v>
      </c>
      <c r="M40" s="104">
        <f t="shared" si="13"/>
        <v>0</v>
      </c>
      <c r="N40" s="104">
        <f t="shared" si="13"/>
        <v>0</v>
      </c>
      <c r="O40" s="104">
        <f t="shared" si="13"/>
        <v>0</v>
      </c>
      <c r="P40" s="104">
        <f t="shared" si="13"/>
        <v>0</v>
      </c>
      <c r="Q40" s="104">
        <f t="shared" si="13"/>
        <v>0</v>
      </c>
      <c r="R40" s="104">
        <f t="shared" si="13"/>
        <v>0</v>
      </c>
      <c r="S40" s="104">
        <f t="shared" si="13"/>
        <v>0</v>
      </c>
      <c r="T40" s="104">
        <f t="shared" si="13"/>
        <v>0</v>
      </c>
      <c r="U40" s="104">
        <f t="shared" si="13"/>
        <v>0</v>
      </c>
      <c r="V40" s="104">
        <f t="shared" si="13"/>
        <v>0</v>
      </c>
      <c r="W40" s="104">
        <f t="shared" si="13"/>
        <v>0</v>
      </c>
      <c r="X40" s="104">
        <f t="shared" si="13"/>
        <v>0</v>
      </c>
      <c r="Y40" s="104">
        <f t="shared" si="13"/>
        <v>0</v>
      </c>
      <c r="Z40" s="104">
        <f t="shared" si="13"/>
        <v>0</v>
      </c>
      <c r="AA40" s="104">
        <f t="shared" si="13"/>
        <v>0</v>
      </c>
      <c r="AB40" s="104">
        <f t="shared" si="13"/>
        <v>0</v>
      </c>
      <c r="AC40" s="104">
        <f t="shared" si="13"/>
        <v>0</v>
      </c>
      <c r="AD40" s="104">
        <f t="shared" si="13"/>
        <v>0</v>
      </c>
      <c r="AE40" s="104">
        <f t="shared" si="13"/>
        <v>0</v>
      </c>
      <c r="AF40" s="104">
        <f t="shared" si="13"/>
        <v>0</v>
      </c>
      <c r="AG40" s="104">
        <f t="shared" si="13"/>
        <v>0</v>
      </c>
      <c r="AH40" s="93">
        <f t="shared" si="6"/>
        <v>0</v>
      </c>
      <c r="AI40" s="27"/>
      <c r="AJ40" s="27"/>
      <c r="AK40" s="73"/>
      <c r="AL40" s="28"/>
      <c r="AM40" s="77" t="s">
        <v>15</v>
      </c>
      <c r="AN40" s="75">
        <f t="shared" si="7"/>
        <v>0</v>
      </c>
    </row>
    <row r="41" spans="2:41" s="25" customFormat="1" ht="18" customHeight="1" x14ac:dyDescent="0.2">
      <c r="B41" s="104" t="s">
        <v>32</v>
      </c>
      <c r="C41" s="104">
        <f t="shared" si="13"/>
        <v>0</v>
      </c>
      <c r="D41" s="104">
        <f t="shared" si="13"/>
        <v>0</v>
      </c>
      <c r="E41" s="104">
        <f t="shared" si="13"/>
        <v>0</v>
      </c>
      <c r="F41" s="104">
        <f t="shared" si="13"/>
        <v>0</v>
      </c>
      <c r="G41" s="104">
        <f t="shared" si="13"/>
        <v>0</v>
      </c>
      <c r="H41" s="104">
        <f t="shared" si="13"/>
        <v>0</v>
      </c>
      <c r="I41" s="104">
        <f t="shared" si="13"/>
        <v>0</v>
      </c>
      <c r="J41" s="104">
        <f t="shared" si="13"/>
        <v>0</v>
      </c>
      <c r="K41" s="104">
        <f t="shared" si="13"/>
        <v>0</v>
      </c>
      <c r="L41" s="104">
        <f t="shared" si="13"/>
        <v>0</v>
      </c>
      <c r="M41" s="104">
        <f t="shared" si="13"/>
        <v>0</v>
      </c>
      <c r="N41" s="104">
        <f t="shared" si="13"/>
        <v>0</v>
      </c>
      <c r="O41" s="104">
        <f t="shared" si="13"/>
        <v>0</v>
      </c>
      <c r="P41" s="104">
        <f t="shared" si="13"/>
        <v>0</v>
      </c>
      <c r="Q41" s="104">
        <f t="shared" si="13"/>
        <v>0</v>
      </c>
      <c r="R41" s="104">
        <f t="shared" si="13"/>
        <v>0</v>
      </c>
      <c r="S41" s="104">
        <f t="shared" si="13"/>
        <v>0</v>
      </c>
      <c r="T41" s="104">
        <f t="shared" si="13"/>
        <v>0</v>
      </c>
      <c r="U41" s="104">
        <f t="shared" si="13"/>
        <v>0</v>
      </c>
      <c r="V41" s="104">
        <f t="shared" si="13"/>
        <v>0</v>
      </c>
      <c r="W41" s="104">
        <f t="shared" si="13"/>
        <v>0</v>
      </c>
      <c r="X41" s="104">
        <f t="shared" si="13"/>
        <v>0</v>
      </c>
      <c r="Y41" s="104">
        <f t="shared" si="13"/>
        <v>0</v>
      </c>
      <c r="Z41" s="104">
        <f t="shared" si="13"/>
        <v>0</v>
      </c>
      <c r="AA41" s="104">
        <f t="shared" si="13"/>
        <v>0</v>
      </c>
      <c r="AB41" s="104">
        <f t="shared" si="13"/>
        <v>0</v>
      </c>
      <c r="AC41" s="104">
        <f t="shared" si="13"/>
        <v>0</v>
      </c>
      <c r="AD41" s="104">
        <f t="shared" si="13"/>
        <v>0</v>
      </c>
      <c r="AE41" s="104">
        <f t="shared" si="13"/>
        <v>0</v>
      </c>
      <c r="AF41" s="104">
        <f t="shared" si="13"/>
        <v>0</v>
      </c>
      <c r="AG41" s="104">
        <f t="shared" si="13"/>
        <v>0</v>
      </c>
      <c r="AH41" s="93">
        <f t="shared" si="6"/>
        <v>0</v>
      </c>
      <c r="AI41" s="6"/>
      <c r="AJ41" s="6"/>
      <c r="AK41" s="14"/>
      <c r="AL41" s="28"/>
      <c r="AM41" s="70"/>
      <c r="AN41" s="80"/>
      <c r="AO41" s="30"/>
    </row>
    <row r="42" spans="2:41" s="25" customFormat="1" ht="18" customHeight="1" x14ac:dyDescent="0.2">
      <c r="B42" s="92" t="s">
        <v>6</v>
      </c>
      <c r="C42" s="92">
        <f t="shared" ref="C42:AG42" si="14">C18/15000</f>
        <v>0</v>
      </c>
      <c r="D42" s="92">
        <f t="shared" si="14"/>
        <v>0</v>
      </c>
      <c r="E42" s="92">
        <f t="shared" si="14"/>
        <v>0</v>
      </c>
      <c r="F42" s="92">
        <f t="shared" si="14"/>
        <v>0</v>
      </c>
      <c r="G42" s="92">
        <f t="shared" si="14"/>
        <v>0</v>
      </c>
      <c r="H42" s="92">
        <f t="shared" si="14"/>
        <v>0</v>
      </c>
      <c r="I42" s="92">
        <f t="shared" si="14"/>
        <v>0</v>
      </c>
      <c r="J42" s="92">
        <f t="shared" si="14"/>
        <v>0</v>
      </c>
      <c r="K42" s="92">
        <f t="shared" si="14"/>
        <v>0</v>
      </c>
      <c r="L42" s="92">
        <f t="shared" si="14"/>
        <v>0</v>
      </c>
      <c r="M42" s="92">
        <f t="shared" si="14"/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2">
        <f t="shared" si="14"/>
        <v>0</v>
      </c>
      <c r="R42" s="92">
        <f t="shared" si="14"/>
        <v>0</v>
      </c>
      <c r="S42" s="92">
        <f t="shared" si="14"/>
        <v>0</v>
      </c>
      <c r="T42" s="92">
        <f t="shared" si="14"/>
        <v>0</v>
      </c>
      <c r="U42" s="92">
        <f t="shared" si="14"/>
        <v>0</v>
      </c>
      <c r="V42" s="92">
        <f t="shared" si="14"/>
        <v>0</v>
      </c>
      <c r="W42" s="92">
        <f t="shared" si="14"/>
        <v>0</v>
      </c>
      <c r="X42" s="92">
        <f t="shared" si="14"/>
        <v>0</v>
      </c>
      <c r="Y42" s="92">
        <f t="shared" si="14"/>
        <v>0</v>
      </c>
      <c r="Z42" s="92">
        <f t="shared" si="14"/>
        <v>0</v>
      </c>
      <c r="AA42" s="92">
        <f t="shared" si="14"/>
        <v>0</v>
      </c>
      <c r="AB42" s="92">
        <f t="shared" si="14"/>
        <v>0</v>
      </c>
      <c r="AC42" s="92">
        <f t="shared" si="14"/>
        <v>0</v>
      </c>
      <c r="AD42" s="92">
        <f t="shared" si="14"/>
        <v>0</v>
      </c>
      <c r="AE42" s="92">
        <f t="shared" si="14"/>
        <v>0</v>
      </c>
      <c r="AF42" s="92">
        <f t="shared" si="14"/>
        <v>0</v>
      </c>
      <c r="AG42" s="92">
        <f t="shared" si="14"/>
        <v>0</v>
      </c>
      <c r="AH42" s="93">
        <f t="shared" si="6"/>
        <v>0</v>
      </c>
      <c r="AI42" s="6"/>
      <c r="AJ42" s="6"/>
      <c r="AK42" s="14"/>
      <c r="AL42" s="28"/>
      <c r="AM42" s="70"/>
      <c r="AN42" s="29"/>
      <c r="AO42" s="30"/>
    </row>
    <row r="43" spans="2:41" s="17" customFormat="1" ht="18" customHeight="1" x14ac:dyDescent="0.2">
      <c r="B43" s="92" t="s">
        <v>7</v>
      </c>
      <c r="C43" s="92">
        <f t="shared" ref="C43:AG43" si="15">C19/12500</f>
        <v>0</v>
      </c>
      <c r="D43" s="92">
        <f t="shared" si="15"/>
        <v>0</v>
      </c>
      <c r="E43" s="92">
        <f t="shared" si="15"/>
        <v>0</v>
      </c>
      <c r="F43" s="92">
        <f t="shared" si="15"/>
        <v>0</v>
      </c>
      <c r="G43" s="92">
        <f t="shared" si="15"/>
        <v>0</v>
      </c>
      <c r="H43" s="92">
        <f t="shared" si="15"/>
        <v>0</v>
      </c>
      <c r="I43" s="92">
        <f t="shared" si="15"/>
        <v>0</v>
      </c>
      <c r="J43" s="92">
        <f t="shared" si="15"/>
        <v>0</v>
      </c>
      <c r="K43" s="92">
        <f t="shared" si="15"/>
        <v>0</v>
      </c>
      <c r="L43" s="92">
        <f t="shared" si="15"/>
        <v>0</v>
      </c>
      <c r="M43" s="92">
        <f t="shared" si="15"/>
        <v>0</v>
      </c>
      <c r="N43" s="92">
        <f t="shared" si="15"/>
        <v>0</v>
      </c>
      <c r="O43" s="92">
        <f t="shared" si="15"/>
        <v>0</v>
      </c>
      <c r="P43" s="92">
        <f t="shared" si="15"/>
        <v>0</v>
      </c>
      <c r="Q43" s="92">
        <f t="shared" si="15"/>
        <v>0</v>
      </c>
      <c r="R43" s="92">
        <f t="shared" si="15"/>
        <v>0</v>
      </c>
      <c r="S43" s="92">
        <f t="shared" si="15"/>
        <v>0</v>
      </c>
      <c r="T43" s="92">
        <f t="shared" si="15"/>
        <v>0</v>
      </c>
      <c r="U43" s="92">
        <f t="shared" si="15"/>
        <v>0</v>
      </c>
      <c r="V43" s="92">
        <f t="shared" si="15"/>
        <v>0</v>
      </c>
      <c r="W43" s="92">
        <f t="shared" si="15"/>
        <v>0</v>
      </c>
      <c r="X43" s="92">
        <f t="shared" si="15"/>
        <v>0</v>
      </c>
      <c r="Y43" s="92">
        <f t="shared" si="15"/>
        <v>0</v>
      </c>
      <c r="Z43" s="92">
        <f t="shared" si="15"/>
        <v>0</v>
      </c>
      <c r="AA43" s="92">
        <f t="shared" si="15"/>
        <v>0</v>
      </c>
      <c r="AB43" s="92">
        <f t="shared" si="15"/>
        <v>0</v>
      </c>
      <c r="AC43" s="92">
        <f t="shared" si="15"/>
        <v>0</v>
      </c>
      <c r="AD43" s="92">
        <f t="shared" si="15"/>
        <v>0</v>
      </c>
      <c r="AE43" s="92">
        <f t="shared" si="15"/>
        <v>0</v>
      </c>
      <c r="AF43" s="92">
        <f t="shared" si="15"/>
        <v>0</v>
      </c>
      <c r="AG43" s="92">
        <f t="shared" si="15"/>
        <v>0</v>
      </c>
      <c r="AH43" s="93">
        <f t="shared" si="6"/>
        <v>0</v>
      </c>
      <c r="AI43" s="2"/>
      <c r="AJ43" s="2"/>
      <c r="AK43" s="14"/>
      <c r="AL43" s="15"/>
      <c r="AM43" s="16"/>
    </row>
    <row r="44" spans="2:41" s="17" customFormat="1" ht="18" customHeight="1" x14ac:dyDescent="0.2">
      <c r="B44" s="92" t="s">
        <v>8</v>
      </c>
      <c r="C44" s="92">
        <f t="shared" ref="C44:AG44" si="16">C20/6000</f>
        <v>0</v>
      </c>
      <c r="D44" s="92">
        <f t="shared" si="16"/>
        <v>0</v>
      </c>
      <c r="E44" s="92">
        <f t="shared" si="16"/>
        <v>0</v>
      </c>
      <c r="F44" s="92">
        <f t="shared" si="16"/>
        <v>0</v>
      </c>
      <c r="G44" s="92">
        <f t="shared" si="16"/>
        <v>0</v>
      </c>
      <c r="H44" s="92">
        <f t="shared" si="16"/>
        <v>0</v>
      </c>
      <c r="I44" s="92">
        <f t="shared" si="16"/>
        <v>0</v>
      </c>
      <c r="J44" s="92">
        <f t="shared" si="16"/>
        <v>0</v>
      </c>
      <c r="K44" s="92">
        <f t="shared" si="16"/>
        <v>0</v>
      </c>
      <c r="L44" s="92">
        <f t="shared" si="16"/>
        <v>0</v>
      </c>
      <c r="M44" s="92">
        <f t="shared" si="16"/>
        <v>0</v>
      </c>
      <c r="N44" s="92">
        <f t="shared" si="16"/>
        <v>0</v>
      </c>
      <c r="O44" s="92">
        <f t="shared" si="16"/>
        <v>0</v>
      </c>
      <c r="P44" s="92">
        <f t="shared" si="16"/>
        <v>0</v>
      </c>
      <c r="Q44" s="92">
        <f t="shared" si="16"/>
        <v>0</v>
      </c>
      <c r="R44" s="92">
        <f t="shared" si="16"/>
        <v>0</v>
      </c>
      <c r="S44" s="92">
        <f t="shared" si="16"/>
        <v>0</v>
      </c>
      <c r="T44" s="92">
        <f t="shared" si="16"/>
        <v>0</v>
      </c>
      <c r="U44" s="92">
        <f t="shared" si="16"/>
        <v>0</v>
      </c>
      <c r="V44" s="92">
        <f t="shared" si="16"/>
        <v>0</v>
      </c>
      <c r="W44" s="92">
        <f t="shared" si="16"/>
        <v>0</v>
      </c>
      <c r="X44" s="92">
        <f t="shared" si="16"/>
        <v>0</v>
      </c>
      <c r="Y44" s="92">
        <f t="shared" si="16"/>
        <v>0</v>
      </c>
      <c r="Z44" s="92">
        <f t="shared" si="16"/>
        <v>0</v>
      </c>
      <c r="AA44" s="92">
        <f t="shared" si="16"/>
        <v>0</v>
      </c>
      <c r="AB44" s="92">
        <f t="shared" si="16"/>
        <v>0</v>
      </c>
      <c r="AC44" s="92">
        <f t="shared" si="16"/>
        <v>0</v>
      </c>
      <c r="AD44" s="92">
        <f t="shared" si="16"/>
        <v>0</v>
      </c>
      <c r="AE44" s="92">
        <f t="shared" si="16"/>
        <v>0</v>
      </c>
      <c r="AF44" s="92">
        <f t="shared" si="16"/>
        <v>0</v>
      </c>
      <c r="AG44" s="92">
        <f t="shared" si="16"/>
        <v>0</v>
      </c>
      <c r="AH44" s="93">
        <f t="shared" si="6"/>
        <v>0</v>
      </c>
      <c r="AI44" s="2"/>
      <c r="AJ44" s="2"/>
      <c r="AK44" s="14"/>
      <c r="AL44" s="15"/>
      <c r="AM44" s="16"/>
    </row>
    <row r="45" spans="2:41" s="17" customFormat="1" ht="18" customHeight="1" x14ac:dyDescent="0.2">
      <c r="B45" s="92" t="s">
        <v>9</v>
      </c>
      <c r="C45" s="92">
        <f t="shared" ref="C45:AG45" si="17">C21/3000</f>
        <v>0</v>
      </c>
      <c r="D45" s="92">
        <f t="shared" si="17"/>
        <v>0</v>
      </c>
      <c r="E45" s="92">
        <f t="shared" si="17"/>
        <v>0</v>
      </c>
      <c r="F45" s="92">
        <f t="shared" si="17"/>
        <v>0</v>
      </c>
      <c r="G45" s="92">
        <f t="shared" si="17"/>
        <v>0</v>
      </c>
      <c r="H45" s="92">
        <f t="shared" si="17"/>
        <v>0</v>
      </c>
      <c r="I45" s="92">
        <f t="shared" si="17"/>
        <v>0</v>
      </c>
      <c r="J45" s="92">
        <f t="shared" si="17"/>
        <v>0</v>
      </c>
      <c r="K45" s="92">
        <f t="shared" si="17"/>
        <v>0</v>
      </c>
      <c r="L45" s="92">
        <f t="shared" si="17"/>
        <v>0</v>
      </c>
      <c r="M45" s="92">
        <f t="shared" si="17"/>
        <v>0</v>
      </c>
      <c r="N45" s="92">
        <f t="shared" si="17"/>
        <v>0</v>
      </c>
      <c r="O45" s="92">
        <f t="shared" si="17"/>
        <v>0</v>
      </c>
      <c r="P45" s="92">
        <f t="shared" si="17"/>
        <v>0</v>
      </c>
      <c r="Q45" s="92">
        <f t="shared" si="17"/>
        <v>0</v>
      </c>
      <c r="R45" s="92">
        <f t="shared" si="17"/>
        <v>0</v>
      </c>
      <c r="S45" s="92">
        <f t="shared" si="17"/>
        <v>0</v>
      </c>
      <c r="T45" s="92">
        <f t="shared" si="17"/>
        <v>0</v>
      </c>
      <c r="U45" s="92">
        <f t="shared" si="17"/>
        <v>0</v>
      </c>
      <c r="V45" s="92">
        <f t="shared" si="17"/>
        <v>0</v>
      </c>
      <c r="W45" s="92">
        <f t="shared" si="17"/>
        <v>0</v>
      </c>
      <c r="X45" s="92">
        <f t="shared" si="17"/>
        <v>0</v>
      </c>
      <c r="Y45" s="92">
        <f t="shared" si="17"/>
        <v>0</v>
      </c>
      <c r="Z45" s="92">
        <f t="shared" si="17"/>
        <v>0</v>
      </c>
      <c r="AA45" s="92">
        <f t="shared" si="17"/>
        <v>0</v>
      </c>
      <c r="AB45" s="92">
        <f t="shared" si="17"/>
        <v>0</v>
      </c>
      <c r="AC45" s="92">
        <f t="shared" si="17"/>
        <v>0</v>
      </c>
      <c r="AD45" s="92">
        <f t="shared" si="17"/>
        <v>0</v>
      </c>
      <c r="AE45" s="92">
        <f t="shared" si="17"/>
        <v>0</v>
      </c>
      <c r="AF45" s="92">
        <f t="shared" si="17"/>
        <v>0</v>
      </c>
      <c r="AG45" s="92">
        <f t="shared" si="17"/>
        <v>0</v>
      </c>
      <c r="AH45" s="93">
        <f t="shared" si="6"/>
        <v>0</v>
      </c>
      <c r="AI45" s="2"/>
      <c r="AJ45" s="2"/>
      <c r="AK45" s="14"/>
      <c r="AL45" s="15"/>
      <c r="AM45" s="16"/>
    </row>
    <row r="46" spans="2:41" s="17" customFormat="1" ht="18" customHeight="1" x14ac:dyDescent="0.2">
      <c r="B46" s="92" t="s">
        <v>10</v>
      </c>
      <c r="C46" s="92">
        <f t="shared" ref="C46:AG46" si="18">C22/1000</f>
        <v>0</v>
      </c>
      <c r="D46" s="92">
        <f t="shared" si="18"/>
        <v>0</v>
      </c>
      <c r="E46" s="92">
        <f t="shared" si="18"/>
        <v>0</v>
      </c>
      <c r="F46" s="92">
        <f t="shared" si="18"/>
        <v>0</v>
      </c>
      <c r="G46" s="92">
        <f t="shared" si="18"/>
        <v>0</v>
      </c>
      <c r="H46" s="92">
        <f t="shared" si="18"/>
        <v>0</v>
      </c>
      <c r="I46" s="92">
        <f t="shared" si="18"/>
        <v>0</v>
      </c>
      <c r="J46" s="92">
        <f t="shared" si="18"/>
        <v>0</v>
      </c>
      <c r="K46" s="92">
        <f t="shared" si="18"/>
        <v>0</v>
      </c>
      <c r="L46" s="92">
        <f t="shared" si="18"/>
        <v>0</v>
      </c>
      <c r="M46" s="92">
        <f t="shared" si="18"/>
        <v>0</v>
      </c>
      <c r="N46" s="92">
        <f t="shared" si="18"/>
        <v>0</v>
      </c>
      <c r="O46" s="92">
        <f t="shared" si="18"/>
        <v>0</v>
      </c>
      <c r="P46" s="92">
        <f t="shared" si="18"/>
        <v>0</v>
      </c>
      <c r="Q46" s="92">
        <f t="shared" si="18"/>
        <v>0</v>
      </c>
      <c r="R46" s="92">
        <f t="shared" si="18"/>
        <v>0</v>
      </c>
      <c r="S46" s="92">
        <f t="shared" si="18"/>
        <v>0</v>
      </c>
      <c r="T46" s="92">
        <f t="shared" si="18"/>
        <v>0</v>
      </c>
      <c r="U46" s="92">
        <f t="shared" si="18"/>
        <v>0</v>
      </c>
      <c r="V46" s="92">
        <f t="shared" si="18"/>
        <v>0</v>
      </c>
      <c r="W46" s="92">
        <f t="shared" si="18"/>
        <v>0</v>
      </c>
      <c r="X46" s="92">
        <f t="shared" si="18"/>
        <v>0</v>
      </c>
      <c r="Y46" s="92">
        <f t="shared" si="18"/>
        <v>0</v>
      </c>
      <c r="Z46" s="92">
        <f t="shared" si="18"/>
        <v>0</v>
      </c>
      <c r="AA46" s="92">
        <f t="shared" si="18"/>
        <v>0</v>
      </c>
      <c r="AB46" s="92">
        <f t="shared" si="18"/>
        <v>0</v>
      </c>
      <c r="AC46" s="92">
        <f t="shared" si="18"/>
        <v>0</v>
      </c>
      <c r="AD46" s="92">
        <f t="shared" si="18"/>
        <v>0</v>
      </c>
      <c r="AE46" s="92">
        <f t="shared" si="18"/>
        <v>0</v>
      </c>
      <c r="AF46" s="92">
        <f t="shared" si="18"/>
        <v>0</v>
      </c>
      <c r="AG46" s="92">
        <f t="shared" si="18"/>
        <v>0</v>
      </c>
      <c r="AH46" s="93">
        <f t="shared" si="6"/>
        <v>0</v>
      </c>
      <c r="AI46" s="2"/>
      <c r="AJ46" s="2"/>
      <c r="AK46" s="14"/>
      <c r="AL46" s="15"/>
      <c r="AM46" s="16"/>
    </row>
    <row r="47" spans="2:41" s="17" customFormat="1" ht="11.25" x14ac:dyDescent="0.2">
      <c r="B47" s="16"/>
      <c r="C47" s="1"/>
      <c r="D47" s="1"/>
      <c r="E47" s="4"/>
      <c r="F47" s="4"/>
      <c r="G47" s="1"/>
      <c r="H47" s="8"/>
      <c r="I47" s="1"/>
      <c r="J47" s="1"/>
      <c r="K47" s="16"/>
      <c r="L47" s="1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2"/>
      <c r="AI47" s="2"/>
      <c r="AJ47" s="2"/>
      <c r="AK47" s="14"/>
      <c r="AL47" s="15"/>
      <c r="AM47" s="16"/>
    </row>
    <row r="48" spans="2:41" s="17" customFormat="1" ht="11.25" x14ac:dyDescent="0.2">
      <c r="B48" s="16"/>
      <c r="C48" s="1"/>
      <c r="D48" s="1"/>
      <c r="E48" s="4"/>
      <c r="F48" s="4"/>
      <c r="G48" s="1"/>
      <c r="H48" s="8"/>
      <c r="I48" s="1"/>
      <c r="J48" s="1"/>
      <c r="K48" s="16"/>
      <c r="L48" s="1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2"/>
      <c r="AI48" s="2"/>
      <c r="AJ48" s="2"/>
      <c r="AK48" s="14"/>
      <c r="AL48" s="15"/>
      <c r="AM48" s="16"/>
    </row>
    <row r="49" spans="2:40" s="17" customFormat="1" ht="11.25" x14ac:dyDescent="0.2">
      <c r="B49" s="16"/>
      <c r="C49" s="1"/>
      <c r="D49" s="1"/>
      <c r="E49" s="4"/>
      <c r="F49" s="4"/>
      <c r="G49" s="1"/>
      <c r="H49" s="8"/>
      <c r="I49" s="1"/>
      <c r="J49" s="1"/>
      <c r="K49" s="16"/>
      <c r="L49" s="1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2"/>
      <c r="AI49" s="2"/>
      <c r="AJ49" s="2"/>
      <c r="AK49" s="14"/>
      <c r="AL49" s="15"/>
      <c r="AM49" s="16"/>
    </row>
    <row r="50" spans="2:40" s="18" customFormat="1" ht="11.25" x14ac:dyDescent="0.2">
      <c r="B50" s="81"/>
      <c r="C50" s="1"/>
      <c r="D50" s="1"/>
      <c r="E50" s="4"/>
      <c r="F50" s="4"/>
      <c r="G50" s="1"/>
      <c r="H50" s="8"/>
      <c r="I50" s="1"/>
      <c r="J50" s="1"/>
      <c r="K50" s="16"/>
      <c r="L50" s="1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2"/>
      <c r="AI50" s="2"/>
      <c r="AJ50" s="2"/>
      <c r="AK50" s="14"/>
      <c r="AL50" s="15"/>
      <c r="AM50" s="81"/>
      <c r="AN50" s="17"/>
    </row>
    <row r="51" spans="2:40" s="18" customFormat="1" ht="11.25" x14ac:dyDescent="0.2">
      <c r="B51" s="81"/>
      <c r="C51" s="1"/>
      <c r="D51" s="1"/>
      <c r="E51" s="4"/>
      <c r="F51" s="4"/>
      <c r="G51" s="1"/>
      <c r="H51" s="8"/>
      <c r="I51" s="1"/>
      <c r="J51" s="1"/>
      <c r="K51" s="16"/>
      <c r="L51" s="1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"/>
      <c r="AI51" s="2"/>
      <c r="AJ51" s="2"/>
      <c r="AK51" s="14"/>
      <c r="AL51" s="15"/>
      <c r="AM51" s="81"/>
      <c r="AN51" s="17"/>
    </row>
    <row r="52" spans="2:40" s="18" customFormat="1" ht="11.25" x14ac:dyDescent="0.2">
      <c r="B52" s="81"/>
      <c r="C52" s="1"/>
      <c r="D52" s="1"/>
      <c r="E52" s="4"/>
      <c r="F52" s="4"/>
      <c r="G52" s="1"/>
      <c r="H52" s="8"/>
      <c r="I52" s="1"/>
      <c r="J52" s="1"/>
      <c r="K52" s="16"/>
      <c r="L52" s="1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2"/>
      <c r="AI52" s="2"/>
      <c r="AJ52" s="2"/>
      <c r="AK52" s="14"/>
      <c r="AL52" s="15"/>
      <c r="AM52" s="81"/>
      <c r="AN52" s="17"/>
    </row>
    <row r="53" spans="2:40" s="18" customFormat="1" ht="11.25" x14ac:dyDescent="0.2">
      <c r="B53" s="81"/>
      <c r="C53" s="1"/>
      <c r="D53" s="1"/>
      <c r="E53" s="4"/>
      <c r="F53" s="4"/>
      <c r="G53" s="1"/>
      <c r="H53" s="8"/>
      <c r="I53" s="1"/>
      <c r="J53" s="1"/>
      <c r="K53" s="16"/>
      <c r="L53" s="1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2"/>
      <c r="AJ53" s="2"/>
      <c r="AK53" s="14"/>
      <c r="AL53" s="15"/>
      <c r="AM53" s="81"/>
      <c r="AN53" s="17"/>
    </row>
    <row r="54" spans="2:40" s="18" customFormat="1" ht="11.25" x14ac:dyDescent="0.2">
      <c r="B54" s="81"/>
      <c r="C54" s="1"/>
      <c r="D54" s="1"/>
      <c r="E54" s="4"/>
      <c r="F54" s="4"/>
      <c r="G54" s="1"/>
      <c r="H54" s="8"/>
      <c r="I54" s="1"/>
      <c r="J54" s="1"/>
      <c r="K54" s="16"/>
      <c r="L54" s="1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2"/>
      <c r="AI54" s="2"/>
      <c r="AJ54" s="2"/>
      <c r="AK54" s="14"/>
      <c r="AL54" s="15"/>
      <c r="AM54" s="81"/>
      <c r="AN54" s="17"/>
    </row>
    <row r="55" spans="2:40" s="18" customFormat="1" ht="11.25" x14ac:dyDescent="0.2">
      <c r="B55" s="81"/>
      <c r="C55" s="1"/>
      <c r="D55" s="1"/>
      <c r="E55" s="4"/>
      <c r="F55" s="4"/>
      <c r="G55" s="1"/>
      <c r="H55" s="8"/>
      <c r="I55" s="1"/>
      <c r="J55" s="1"/>
      <c r="K55" s="16"/>
      <c r="L55" s="1"/>
      <c r="M55" s="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2"/>
      <c r="AI55" s="2"/>
      <c r="AJ55" s="2"/>
      <c r="AK55" s="14"/>
      <c r="AL55" s="15"/>
      <c r="AM55" s="81"/>
      <c r="AN55" s="17"/>
    </row>
    <row r="56" spans="2:40" s="18" customFormat="1" ht="11.25" x14ac:dyDescent="0.2">
      <c r="B56" s="81"/>
      <c r="C56" s="1"/>
      <c r="D56" s="1"/>
      <c r="E56" s="4"/>
      <c r="F56" s="4"/>
      <c r="G56" s="1"/>
      <c r="H56" s="8"/>
      <c r="I56" s="1"/>
      <c r="J56" s="1"/>
      <c r="K56" s="16"/>
      <c r="L56" s="1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2"/>
      <c r="AI56" s="2"/>
      <c r="AJ56" s="2"/>
      <c r="AK56" s="14"/>
      <c r="AL56" s="15"/>
      <c r="AM56" s="81"/>
      <c r="AN56" s="17"/>
    </row>
    <row r="57" spans="2:40" s="18" customFormat="1" ht="11.25" x14ac:dyDescent="0.2">
      <c r="B57" s="81"/>
      <c r="C57" s="1"/>
      <c r="D57" s="1"/>
      <c r="E57" s="4"/>
      <c r="F57" s="4"/>
      <c r="G57" s="1"/>
      <c r="H57" s="8"/>
      <c r="I57" s="1"/>
      <c r="J57" s="1"/>
      <c r="K57" s="16"/>
      <c r="L57" s="1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"/>
      <c r="AI57" s="2"/>
      <c r="AJ57" s="2"/>
      <c r="AK57" s="14"/>
      <c r="AL57" s="15"/>
      <c r="AM57" s="81"/>
      <c r="AN57" s="17"/>
    </row>
    <row r="58" spans="2:40" s="18" customFormat="1" ht="11.25" x14ac:dyDescent="0.2">
      <c r="B58" s="81"/>
      <c r="C58" s="1"/>
      <c r="D58" s="1"/>
      <c r="E58" s="4"/>
      <c r="F58" s="4"/>
      <c r="G58" s="1"/>
      <c r="H58" s="8"/>
      <c r="I58" s="1"/>
      <c r="J58" s="1"/>
      <c r="K58" s="16"/>
      <c r="L58" s="1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2"/>
      <c r="AI58" s="2"/>
      <c r="AJ58" s="2"/>
      <c r="AK58" s="14"/>
      <c r="AL58" s="15"/>
      <c r="AM58" s="81"/>
      <c r="AN58" s="17"/>
    </row>
    <row r="59" spans="2:40" s="18" customFormat="1" ht="11.25" x14ac:dyDescent="0.2">
      <c r="B59" s="81"/>
      <c r="C59" s="1"/>
      <c r="D59" s="1"/>
      <c r="E59" s="4"/>
      <c r="F59" s="4"/>
      <c r="G59" s="1"/>
      <c r="H59" s="8"/>
      <c r="I59" s="1"/>
      <c r="J59" s="1"/>
      <c r="K59" s="16"/>
      <c r="L59" s="1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2"/>
      <c r="AI59" s="2"/>
      <c r="AJ59" s="2"/>
      <c r="AK59" s="14"/>
      <c r="AL59" s="15"/>
      <c r="AM59" s="81"/>
      <c r="AN59" s="17"/>
    </row>
    <row r="60" spans="2:40" s="18" customFormat="1" ht="11.25" x14ac:dyDescent="0.2">
      <c r="B60" s="81"/>
      <c r="C60" s="1"/>
      <c r="D60" s="1"/>
      <c r="E60" s="4"/>
      <c r="F60" s="4"/>
      <c r="G60" s="1"/>
      <c r="H60" s="8"/>
      <c r="I60" s="1"/>
      <c r="J60" s="1"/>
      <c r="K60" s="16"/>
      <c r="L60" s="1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2"/>
      <c r="AI60" s="2"/>
      <c r="AJ60" s="2"/>
      <c r="AK60" s="14"/>
      <c r="AL60" s="15"/>
      <c r="AM60" s="81"/>
      <c r="AN60" s="17"/>
    </row>
    <row r="61" spans="2:40" s="18" customFormat="1" ht="11.25" x14ac:dyDescent="0.2">
      <c r="B61" s="81"/>
      <c r="C61" s="1"/>
      <c r="D61" s="1"/>
      <c r="E61" s="4"/>
      <c r="F61" s="4"/>
      <c r="G61" s="1"/>
      <c r="H61" s="8"/>
      <c r="I61" s="1"/>
      <c r="J61" s="1"/>
      <c r="K61" s="16"/>
      <c r="L61" s="1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2"/>
      <c r="AI61" s="2"/>
      <c r="AJ61" s="2"/>
      <c r="AK61" s="14"/>
      <c r="AL61" s="15"/>
      <c r="AM61" s="81"/>
      <c r="AN61" s="17"/>
    </row>
    <row r="62" spans="2:40" s="18" customFormat="1" ht="11.25" x14ac:dyDescent="0.2">
      <c r="B62" s="81"/>
      <c r="C62" s="1"/>
      <c r="D62" s="1"/>
      <c r="E62" s="4"/>
      <c r="F62" s="4"/>
      <c r="G62" s="1"/>
      <c r="H62" s="8"/>
      <c r="I62" s="1"/>
      <c r="J62" s="1"/>
      <c r="K62" s="16"/>
      <c r="L62" s="1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2"/>
      <c r="AI62" s="2"/>
      <c r="AJ62" s="2"/>
      <c r="AK62" s="14"/>
      <c r="AL62" s="15"/>
      <c r="AM62" s="81"/>
      <c r="AN62" s="17"/>
    </row>
    <row r="63" spans="2:40" s="18" customFormat="1" ht="11.25" x14ac:dyDescent="0.2">
      <c r="B63" s="81"/>
      <c r="C63" s="1"/>
      <c r="D63" s="1"/>
      <c r="E63" s="4"/>
      <c r="F63" s="4"/>
      <c r="G63" s="1"/>
      <c r="H63" s="8"/>
      <c r="I63" s="1"/>
      <c r="J63" s="1"/>
      <c r="K63" s="16"/>
      <c r="L63" s="1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2"/>
      <c r="AI63" s="2"/>
      <c r="AJ63" s="2"/>
      <c r="AK63" s="14"/>
      <c r="AL63" s="15"/>
      <c r="AM63" s="81"/>
      <c r="AN63" s="17"/>
    </row>
    <row r="64" spans="2:40" s="18" customFormat="1" ht="11.25" x14ac:dyDescent="0.2">
      <c r="B64" s="81"/>
      <c r="C64" s="1"/>
      <c r="D64" s="1"/>
      <c r="E64" s="4"/>
      <c r="F64" s="4"/>
      <c r="G64" s="1"/>
      <c r="H64" s="8"/>
      <c r="I64" s="1"/>
      <c r="J64" s="1"/>
      <c r="K64" s="16"/>
      <c r="L64" s="1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2"/>
      <c r="AI64" s="2"/>
      <c r="AJ64" s="2"/>
      <c r="AK64" s="14"/>
      <c r="AL64" s="15"/>
      <c r="AM64" s="81"/>
      <c r="AN64" s="17"/>
    </row>
    <row r="65" spans="2:40" s="18" customFormat="1" ht="11.25" x14ac:dyDescent="0.2">
      <c r="B65" s="81"/>
      <c r="C65" s="1"/>
      <c r="D65" s="1"/>
      <c r="E65" s="4"/>
      <c r="F65" s="4"/>
      <c r="G65" s="1"/>
      <c r="H65" s="8"/>
      <c r="I65" s="1"/>
      <c r="J65" s="1"/>
      <c r="K65" s="16"/>
      <c r="L65" s="1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2"/>
      <c r="AI65" s="2"/>
      <c r="AJ65" s="2"/>
      <c r="AK65" s="14"/>
      <c r="AL65" s="15"/>
      <c r="AM65" s="81"/>
      <c r="AN65" s="17"/>
    </row>
    <row r="66" spans="2:40" s="18" customFormat="1" ht="11.25" x14ac:dyDescent="0.2">
      <c r="B66" s="81"/>
      <c r="C66" s="1"/>
      <c r="D66" s="1"/>
      <c r="E66" s="4"/>
      <c r="F66" s="4"/>
      <c r="G66" s="1"/>
      <c r="H66" s="8"/>
      <c r="I66" s="1"/>
      <c r="J66" s="1"/>
      <c r="K66" s="16"/>
      <c r="L66" s="1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2"/>
      <c r="AI66" s="2"/>
      <c r="AJ66" s="2"/>
      <c r="AK66" s="14"/>
      <c r="AL66" s="15"/>
      <c r="AM66" s="81"/>
      <c r="AN66" s="17"/>
    </row>
    <row r="67" spans="2:40" s="18" customFormat="1" ht="11.25" x14ac:dyDescent="0.2">
      <c r="B67" s="81"/>
      <c r="C67" s="1"/>
      <c r="D67" s="1"/>
      <c r="E67" s="4"/>
      <c r="F67" s="4"/>
      <c r="G67" s="1"/>
      <c r="H67" s="8"/>
      <c r="I67" s="1"/>
      <c r="J67" s="1"/>
      <c r="K67" s="16"/>
      <c r="L67" s="1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2"/>
      <c r="AI67" s="2"/>
      <c r="AJ67" s="2"/>
      <c r="AK67" s="14"/>
      <c r="AL67" s="15"/>
      <c r="AM67" s="81"/>
      <c r="AN67" s="17"/>
    </row>
    <row r="68" spans="2:40" s="18" customFormat="1" ht="11.25" x14ac:dyDescent="0.2">
      <c r="B68" s="81"/>
      <c r="C68" s="1"/>
      <c r="D68" s="1"/>
      <c r="E68" s="4"/>
      <c r="F68" s="4"/>
      <c r="G68" s="1"/>
      <c r="H68" s="8"/>
      <c r="I68" s="1"/>
      <c r="J68" s="1"/>
      <c r="K68" s="16"/>
      <c r="L68" s="1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2"/>
      <c r="AI68" s="2"/>
      <c r="AJ68" s="2"/>
      <c r="AK68" s="14"/>
      <c r="AL68" s="15"/>
      <c r="AM68" s="81"/>
      <c r="AN68" s="17"/>
    </row>
    <row r="69" spans="2:40" s="18" customFormat="1" ht="11.25" x14ac:dyDescent="0.2">
      <c r="B69" s="81"/>
      <c r="C69" s="1"/>
      <c r="D69" s="1"/>
      <c r="E69" s="4"/>
      <c r="F69" s="4"/>
      <c r="G69" s="1"/>
      <c r="H69" s="8"/>
      <c r="I69" s="1"/>
      <c r="J69" s="1"/>
      <c r="K69" s="16"/>
      <c r="L69" s="1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2"/>
      <c r="AI69" s="2"/>
      <c r="AJ69" s="2"/>
      <c r="AK69" s="14"/>
      <c r="AL69" s="15"/>
      <c r="AM69" s="81"/>
      <c r="AN69" s="17"/>
    </row>
    <row r="70" spans="2:40" s="18" customFormat="1" ht="11.25" x14ac:dyDescent="0.2">
      <c r="B70" s="81"/>
      <c r="C70" s="1"/>
      <c r="D70" s="1"/>
      <c r="E70" s="4"/>
      <c r="F70" s="4"/>
      <c r="G70" s="1"/>
      <c r="H70" s="8"/>
      <c r="I70" s="1"/>
      <c r="J70" s="1"/>
      <c r="K70" s="16"/>
      <c r="L70" s="1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2"/>
      <c r="AI70" s="2"/>
      <c r="AJ70" s="2"/>
      <c r="AK70" s="14"/>
      <c r="AL70" s="15"/>
      <c r="AM70" s="81"/>
      <c r="AN70" s="17"/>
    </row>
    <row r="71" spans="2:40" s="18" customFormat="1" ht="11.25" x14ac:dyDescent="0.2">
      <c r="B71" s="81"/>
      <c r="C71" s="1"/>
      <c r="D71" s="1"/>
      <c r="E71" s="4"/>
      <c r="F71" s="4"/>
      <c r="G71" s="1"/>
      <c r="H71" s="8"/>
      <c r="I71" s="1"/>
      <c r="J71" s="1"/>
      <c r="K71" s="16"/>
      <c r="L71" s="1"/>
      <c r="M71" s="1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2"/>
      <c r="AI71" s="2"/>
      <c r="AJ71" s="2"/>
      <c r="AK71" s="14"/>
      <c r="AL71" s="15"/>
      <c r="AM71" s="81"/>
      <c r="AN71" s="17"/>
    </row>
    <row r="72" spans="2:40" s="18" customFormat="1" ht="11.25" x14ac:dyDescent="0.2">
      <c r="B72" s="81"/>
      <c r="C72" s="1"/>
      <c r="D72" s="1"/>
      <c r="E72" s="4"/>
      <c r="F72" s="4"/>
      <c r="G72" s="1"/>
      <c r="H72" s="8"/>
      <c r="I72" s="1"/>
      <c r="J72" s="1"/>
      <c r="K72" s="16"/>
      <c r="L72" s="1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2"/>
      <c r="AI72" s="2"/>
      <c r="AJ72" s="2"/>
      <c r="AK72" s="14"/>
      <c r="AL72" s="15"/>
      <c r="AM72" s="81"/>
      <c r="AN72" s="17"/>
    </row>
    <row r="73" spans="2:40" s="18" customFormat="1" ht="11.25" x14ac:dyDescent="0.2">
      <c r="B73" s="81"/>
      <c r="C73" s="1"/>
      <c r="D73" s="1"/>
      <c r="E73" s="4"/>
      <c r="F73" s="4"/>
      <c r="G73" s="1"/>
      <c r="H73" s="8"/>
      <c r="I73" s="1"/>
      <c r="J73" s="1"/>
      <c r="K73" s="16"/>
      <c r="L73" s="1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2"/>
      <c r="AI73" s="2"/>
      <c r="AJ73" s="2"/>
      <c r="AK73" s="14"/>
      <c r="AL73" s="15"/>
      <c r="AM73" s="81"/>
      <c r="AN73" s="17"/>
    </row>
    <row r="74" spans="2:40" s="18" customFormat="1" ht="11.25" x14ac:dyDescent="0.2">
      <c r="B74" s="81"/>
      <c r="C74" s="1"/>
      <c r="D74" s="1"/>
      <c r="E74" s="4"/>
      <c r="F74" s="4"/>
      <c r="G74" s="1"/>
      <c r="H74" s="8"/>
      <c r="I74" s="1"/>
      <c r="J74" s="1"/>
      <c r="K74" s="16"/>
      <c r="L74" s="1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2"/>
      <c r="AI74" s="2"/>
      <c r="AJ74" s="2"/>
      <c r="AK74" s="14"/>
      <c r="AL74" s="15"/>
      <c r="AM74" s="81"/>
      <c r="AN74" s="17"/>
    </row>
    <row r="75" spans="2:40" s="18" customFormat="1" ht="11.25" x14ac:dyDescent="0.2">
      <c r="B75" s="81"/>
      <c r="C75" s="1"/>
      <c r="D75" s="1"/>
      <c r="E75" s="4"/>
      <c r="F75" s="4"/>
      <c r="G75" s="1"/>
      <c r="H75" s="8"/>
      <c r="I75" s="1"/>
      <c r="J75" s="1"/>
      <c r="K75" s="16"/>
      <c r="L75" s="1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2"/>
      <c r="AI75" s="2"/>
      <c r="AJ75" s="2"/>
      <c r="AK75" s="14"/>
      <c r="AL75" s="15"/>
      <c r="AM75" s="81"/>
      <c r="AN75" s="17"/>
    </row>
    <row r="76" spans="2:40" s="18" customFormat="1" ht="11.25" x14ac:dyDescent="0.2">
      <c r="B76" s="81"/>
      <c r="C76" s="1"/>
      <c r="D76" s="1"/>
      <c r="E76" s="4"/>
      <c r="F76" s="4"/>
      <c r="G76" s="1"/>
      <c r="H76" s="8"/>
      <c r="I76" s="1"/>
      <c r="J76" s="1"/>
      <c r="K76" s="16"/>
      <c r="L76" s="1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2"/>
      <c r="AI76" s="2"/>
      <c r="AJ76" s="2"/>
      <c r="AK76" s="14"/>
      <c r="AL76" s="15"/>
      <c r="AM76" s="81"/>
      <c r="AN76" s="17"/>
    </row>
    <row r="77" spans="2:40" s="18" customFormat="1" ht="11.25" x14ac:dyDescent="0.2">
      <c r="B77" s="81"/>
      <c r="C77" s="1"/>
      <c r="D77" s="1"/>
      <c r="E77" s="4"/>
      <c r="F77" s="4"/>
      <c r="G77" s="1"/>
      <c r="H77" s="8"/>
      <c r="I77" s="1"/>
      <c r="J77" s="1"/>
      <c r="K77" s="16"/>
      <c r="L77" s="1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2"/>
      <c r="AI77" s="2"/>
      <c r="AJ77" s="2"/>
      <c r="AK77" s="14"/>
      <c r="AL77" s="15"/>
      <c r="AM77" s="81"/>
      <c r="AN77" s="17"/>
    </row>
    <row r="78" spans="2:40" s="18" customFormat="1" ht="11.25" x14ac:dyDescent="0.2">
      <c r="B78" s="81"/>
      <c r="C78" s="1"/>
      <c r="D78" s="1"/>
      <c r="E78" s="4"/>
      <c r="F78" s="4"/>
      <c r="G78" s="1"/>
      <c r="H78" s="8"/>
      <c r="I78" s="1"/>
      <c r="J78" s="1"/>
      <c r="K78" s="16"/>
      <c r="L78" s="1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2"/>
      <c r="AI78" s="2"/>
      <c r="AJ78" s="2"/>
      <c r="AK78" s="14"/>
      <c r="AL78" s="15"/>
      <c r="AM78" s="81"/>
      <c r="AN78" s="17"/>
    </row>
    <row r="79" spans="2:40" s="18" customFormat="1" ht="11.25" x14ac:dyDescent="0.2">
      <c r="B79" s="81"/>
      <c r="C79" s="1"/>
      <c r="D79" s="1"/>
      <c r="E79" s="4"/>
      <c r="F79" s="4"/>
      <c r="G79" s="1"/>
      <c r="H79" s="8"/>
      <c r="I79" s="1"/>
      <c r="J79" s="1"/>
      <c r="K79" s="16"/>
      <c r="L79" s="1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2"/>
      <c r="AI79" s="2"/>
      <c r="AJ79" s="2"/>
      <c r="AK79" s="14"/>
      <c r="AL79" s="15"/>
      <c r="AM79" s="81"/>
      <c r="AN79" s="17"/>
    </row>
    <row r="80" spans="2:40" s="18" customFormat="1" ht="11.25" x14ac:dyDescent="0.2">
      <c r="B80" s="81"/>
      <c r="C80" s="1"/>
      <c r="D80" s="1"/>
      <c r="E80" s="4"/>
      <c r="F80" s="4"/>
      <c r="G80" s="1"/>
      <c r="H80" s="8"/>
      <c r="I80" s="1"/>
      <c r="J80" s="1"/>
      <c r="K80" s="16"/>
      <c r="L80" s="1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2"/>
      <c r="AI80" s="2"/>
      <c r="AJ80" s="2"/>
      <c r="AK80" s="14"/>
      <c r="AL80" s="15"/>
      <c r="AM80" s="81"/>
      <c r="AN80" s="17"/>
    </row>
    <row r="81" spans="2:41" s="18" customFormat="1" ht="11.25" x14ac:dyDescent="0.2">
      <c r="B81" s="81"/>
      <c r="C81" s="1"/>
      <c r="D81" s="1"/>
      <c r="E81" s="4"/>
      <c r="F81" s="4"/>
      <c r="G81" s="1"/>
      <c r="H81" s="8"/>
      <c r="I81" s="1"/>
      <c r="J81" s="1"/>
      <c r="K81" s="16"/>
      <c r="L81" s="1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2"/>
      <c r="AI81" s="2"/>
      <c r="AJ81" s="2"/>
      <c r="AK81" s="14"/>
      <c r="AL81" s="15"/>
      <c r="AM81" s="81"/>
      <c r="AN81" s="17"/>
    </row>
    <row r="82" spans="2:41" s="18" customFormat="1" ht="11.25" x14ac:dyDescent="0.2">
      <c r="B82" s="81"/>
      <c r="C82" s="1"/>
      <c r="D82" s="1"/>
      <c r="E82" s="4"/>
      <c r="F82" s="4"/>
      <c r="G82" s="1"/>
      <c r="H82" s="8"/>
      <c r="I82" s="1"/>
      <c r="J82" s="1"/>
      <c r="K82" s="16"/>
      <c r="L82" s="1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2"/>
      <c r="AI82" s="2"/>
      <c r="AJ82" s="2"/>
      <c r="AK82" s="14"/>
      <c r="AL82" s="15"/>
      <c r="AM82" s="81"/>
      <c r="AN82" s="17"/>
    </row>
    <row r="83" spans="2:41" s="18" customFormat="1" ht="11.25" x14ac:dyDescent="0.2">
      <c r="B83" s="81"/>
      <c r="C83" s="1"/>
      <c r="D83" s="1"/>
      <c r="E83" s="4"/>
      <c r="F83" s="4"/>
      <c r="G83" s="1"/>
      <c r="H83" s="8"/>
      <c r="I83" s="1"/>
      <c r="J83" s="1"/>
      <c r="K83" s="16"/>
      <c r="L83" s="1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2"/>
      <c r="AI83" s="2"/>
      <c r="AJ83" s="2"/>
      <c r="AK83" s="14"/>
      <c r="AL83" s="15"/>
      <c r="AM83" s="81"/>
      <c r="AN83" s="17"/>
    </row>
    <row r="84" spans="2:41" s="18" customFormat="1" ht="11.25" x14ac:dyDescent="0.2">
      <c r="B84" s="81"/>
      <c r="C84" s="1"/>
      <c r="D84" s="1"/>
      <c r="E84" s="4"/>
      <c r="F84" s="4"/>
      <c r="G84" s="1"/>
      <c r="H84" s="8"/>
      <c r="I84" s="1"/>
      <c r="J84" s="1"/>
      <c r="K84" s="16"/>
      <c r="L84" s="1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2"/>
      <c r="AI84" s="2"/>
      <c r="AJ84" s="2"/>
      <c r="AK84" s="14"/>
      <c r="AL84" s="15"/>
      <c r="AM84" s="81"/>
      <c r="AN84" s="17"/>
    </row>
    <row r="85" spans="2:41" s="18" customFormat="1" ht="11.25" x14ac:dyDescent="0.2">
      <c r="B85" s="81"/>
      <c r="C85" s="1"/>
      <c r="D85" s="1"/>
      <c r="E85" s="4"/>
      <c r="F85" s="4"/>
      <c r="G85" s="1"/>
      <c r="H85" s="8"/>
      <c r="I85" s="1"/>
      <c r="J85" s="1"/>
      <c r="K85" s="16"/>
      <c r="L85" s="1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2"/>
      <c r="AI85" s="2"/>
      <c r="AJ85" s="2"/>
      <c r="AK85" s="14"/>
      <c r="AL85" s="15"/>
      <c r="AM85" s="81"/>
      <c r="AN85" s="17"/>
    </row>
    <row r="86" spans="2:41" s="18" customFormat="1" ht="11.25" x14ac:dyDescent="0.2">
      <c r="B86" s="81"/>
      <c r="C86" s="1"/>
      <c r="D86" s="1"/>
      <c r="E86" s="4"/>
      <c r="F86" s="4"/>
      <c r="G86" s="1"/>
      <c r="H86" s="8"/>
      <c r="I86" s="1"/>
      <c r="J86" s="1"/>
      <c r="K86" s="16"/>
      <c r="L86" s="1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2"/>
      <c r="AI86" s="2"/>
      <c r="AJ86" s="2"/>
      <c r="AK86" s="14"/>
      <c r="AL86" s="15"/>
      <c r="AM86" s="81"/>
      <c r="AN86" s="17"/>
    </row>
    <row r="87" spans="2:41" s="18" customFormat="1" ht="11.25" x14ac:dyDescent="0.2">
      <c r="B87" s="81"/>
      <c r="C87" s="1"/>
      <c r="D87" s="1"/>
      <c r="E87" s="4"/>
      <c r="F87" s="4"/>
      <c r="G87" s="1"/>
      <c r="H87" s="8"/>
      <c r="I87" s="1"/>
      <c r="J87" s="1"/>
      <c r="K87" s="16"/>
      <c r="L87" s="1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2"/>
      <c r="AI87" s="2"/>
      <c r="AJ87" s="2"/>
      <c r="AK87" s="14"/>
      <c r="AL87" s="15"/>
      <c r="AM87" s="81"/>
      <c r="AN87" s="17"/>
    </row>
    <row r="88" spans="2:41" s="18" customFormat="1" ht="11.25" x14ac:dyDescent="0.2">
      <c r="B88" s="81"/>
      <c r="C88" s="1"/>
      <c r="D88" s="1"/>
      <c r="E88" s="4"/>
      <c r="F88" s="4"/>
      <c r="G88" s="1"/>
      <c r="H88" s="8"/>
      <c r="I88" s="1"/>
      <c r="J88" s="1"/>
      <c r="K88" s="16"/>
      <c r="L88" s="1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2"/>
      <c r="AI88" s="2"/>
      <c r="AJ88" s="2"/>
      <c r="AK88" s="14"/>
      <c r="AL88" s="15"/>
      <c r="AM88" s="81"/>
      <c r="AN88" s="17"/>
    </row>
    <row r="89" spans="2:41" s="18" customFormat="1" ht="11.25" x14ac:dyDescent="0.2">
      <c r="B89" s="81"/>
      <c r="C89" s="1"/>
      <c r="D89" s="1"/>
      <c r="E89" s="4"/>
      <c r="F89" s="4"/>
      <c r="G89" s="1"/>
      <c r="H89" s="8"/>
      <c r="I89" s="1"/>
      <c r="J89" s="1"/>
      <c r="K89" s="16"/>
      <c r="L89" s="1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2"/>
      <c r="AI89" s="2"/>
      <c r="AJ89" s="2"/>
      <c r="AK89" s="14"/>
      <c r="AL89" s="15"/>
      <c r="AM89" s="81"/>
      <c r="AN89" s="17"/>
    </row>
    <row r="90" spans="2:41" s="18" customFormat="1" ht="11.25" x14ac:dyDescent="0.2">
      <c r="B90" s="81"/>
      <c r="C90" s="1"/>
      <c r="D90" s="1"/>
      <c r="E90" s="4"/>
      <c r="F90" s="4"/>
      <c r="G90" s="1"/>
      <c r="H90" s="8"/>
      <c r="I90" s="1"/>
      <c r="J90" s="1"/>
      <c r="K90" s="16"/>
      <c r="L90" s="1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2"/>
      <c r="AI90" s="2"/>
      <c r="AJ90" s="2"/>
      <c r="AK90" s="14"/>
      <c r="AL90" s="15"/>
      <c r="AM90" s="81"/>
      <c r="AN90" s="17"/>
    </row>
    <row r="91" spans="2:41" s="18" customFormat="1" ht="11.25" x14ac:dyDescent="0.2">
      <c r="B91" s="81"/>
      <c r="C91" s="1"/>
      <c r="D91" s="1"/>
      <c r="E91" s="4"/>
      <c r="F91" s="4"/>
      <c r="G91" s="1"/>
      <c r="H91" s="8"/>
      <c r="I91" s="1"/>
      <c r="J91" s="1"/>
      <c r="K91" s="16"/>
      <c r="L91" s="1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2"/>
      <c r="AI91" s="2"/>
      <c r="AJ91" s="2"/>
      <c r="AK91" s="14"/>
      <c r="AL91" s="15"/>
      <c r="AM91" s="81"/>
      <c r="AN91" s="17"/>
    </row>
    <row r="92" spans="2:41" x14ac:dyDescent="0.2">
      <c r="AO92" s="19"/>
    </row>
  </sheetData>
  <mergeCells count="5">
    <mergeCell ref="A1:AH1"/>
    <mergeCell ref="A3:A4"/>
    <mergeCell ref="B3:B4"/>
    <mergeCell ref="C3:AG3"/>
    <mergeCell ref="AH3:AH4"/>
  </mergeCells>
  <pageMargins left="0.75" right="0.75" top="1" bottom="1" header="0.5" footer="0.5"/>
  <pageSetup paperSize="12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6CC9-964A-426A-BEFD-6464C99E4671}">
  <dimension ref="A1:V92"/>
  <sheetViews>
    <sheetView zoomScaleNormal="100" workbookViewId="0">
      <pane xSplit="2" topLeftCell="J1" activePane="topRight" state="frozen"/>
      <selection pane="topRight" activeCell="R23" sqref="R23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10" width="15.77734375" style="16" customWidth="1"/>
    <col min="11" max="11" width="15.77734375" style="1" customWidth="1"/>
    <col min="12" max="13" width="15.77734375" style="16" customWidth="1"/>
    <col min="14" max="14" width="15.77734375" style="1" customWidth="1"/>
    <col min="15" max="15" width="15.77734375" style="2" customWidth="1"/>
    <col min="16" max="16" width="13.109375" style="2" customWidth="1"/>
    <col min="17" max="17" width="10.5546875" style="2" customWidth="1"/>
    <col min="18" max="18" width="11" style="14" customWidth="1"/>
    <col min="19" max="19" width="13.109375" style="15" bestFit="1" customWidth="1"/>
    <col min="20" max="20" width="27.21875" style="16" customWidth="1"/>
    <col min="21" max="21" width="14.44140625" style="17" bestFit="1" customWidth="1"/>
    <col min="22" max="22" width="11.77734375" style="18" bestFit="1" customWidth="1"/>
    <col min="23" max="25" width="8.88671875" style="19"/>
    <col min="26" max="26" width="13.44140625" style="19" bestFit="1" customWidth="1"/>
    <col min="27" max="237" width="8.88671875" style="19"/>
    <col min="238" max="238" width="5.109375" style="19" customWidth="1"/>
    <col min="239" max="239" width="49.33203125" style="19" customWidth="1"/>
    <col min="240" max="271" width="15.77734375" style="19" customWidth="1"/>
    <col min="272" max="273" width="10.5546875" style="19" customWidth="1"/>
    <col min="274" max="274" width="11" style="19" customWidth="1"/>
    <col min="275" max="275" width="13.109375" style="19" bestFit="1" customWidth="1"/>
    <col min="276" max="276" width="27.21875" style="19" customWidth="1"/>
    <col min="277" max="277" width="14.44140625" style="19" bestFit="1" customWidth="1"/>
    <col min="278" max="278" width="11.77734375" style="19" bestFit="1" customWidth="1"/>
    <col min="279" max="281" width="8.88671875" style="19"/>
    <col min="282" max="282" width="13.44140625" style="19" bestFit="1" customWidth="1"/>
    <col min="283" max="493" width="8.88671875" style="19"/>
    <col min="494" max="494" width="5.109375" style="19" customWidth="1"/>
    <col min="495" max="495" width="49.33203125" style="19" customWidth="1"/>
    <col min="496" max="527" width="15.77734375" style="19" customWidth="1"/>
    <col min="528" max="529" width="10.5546875" style="19" customWidth="1"/>
    <col min="530" max="530" width="11" style="19" customWidth="1"/>
    <col min="531" max="531" width="13.109375" style="19" bestFit="1" customWidth="1"/>
    <col min="532" max="532" width="27.21875" style="19" customWidth="1"/>
    <col min="533" max="533" width="14.44140625" style="19" bestFit="1" customWidth="1"/>
    <col min="534" max="534" width="11.77734375" style="19" bestFit="1" customWidth="1"/>
    <col min="535" max="537" width="8.88671875" style="19"/>
    <col min="538" max="538" width="13.44140625" style="19" bestFit="1" customWidth="1"/>
    <col min="539" max="749" width="8.88671875" style="19"/>
    <col min="750" max="750" width="5.109375" style="19" customWidth="1"/>
    <col min="751" max="751" width="49.33203125" style="19" customWidth="1"/>
    <col min="752" max="783" width="15.77734375" style="19" customWidth="1"/>
    <col min="784" max="785" width="10.5546875" style="19" customWidth="1"/>
    <col min="786" max="786" width="11" style="19" customWidth="1"/>
    <col min="787" max="787" width="13.109375" style="19" bestFit="1" customWidth="1"/>
    <col min="788" max="788" width="27.21875" style="19" customWidth="1"/>
    <col min="789" max="789" width="14.44140625" style="19" bestFit="1" customWidth="1"/>
    <col min="790" max="790" width="11.77734375" style="19" bestFit="1" customWidth="1"/>
    <col min="791" max="793" width="8.88671875" style="19"/>
    <col min="794" max="794" width="13.44140625" style="19" bestFit="1" customWidth="1"/>
    <col min="795" max="1005" width="8.88671875" style="19"/>
    <col min="1006" max="1006" width="5.109375" style="19" customWidth="1"/>
    <col min="1007" max="1007" width="49.33203125" style="19" customWidth="1"/>
    <col min="1008" max="1039" width="15.77734375" style="19" customWidth="1"/>
    <col min="1040" max="1041" width="10.5546875" style="19" customWidth="1"/>
    <col min="1042" max="1042" width="11" style="19" customWidth="1"/>
    <col min="1043" max="1043" width="13.109375" style="19" bestFit="1" customWidth="1"/>
    <col min="1044" max="1044" width="27.21875" style="19" customWidth="1"/>
    <col min="1045" max="1045" width="14.44140625" style="19" bestFit="1" customWidth="1"/>
    <col min="1046" max="1046" width="11.77734375" style="19" bestFit="1" customWidth="1"/>
    <col min="1047" max="1049" width="8.88671875" style="19"/>
    <col min="1050" max="1050" width="13.44140625" style="19" bestFit="1" customWidth="1"/>
    <col min="1051" max="1261" width="8.88671875" style="19"/>
    <col min="1262" max="1262" width="5.109375" style="19" customWidth="1"/>
    <col min="1263" max="1263" width="49.33203125" style="19" customWidth="1"/>
    <col min="1264" max="1295" width="15.77734375" style="19" customWidth="1"/>
    <col min="1296" max="1297" width="10.5546875" style="19" customWidth="1"/>
    <col min="1298" max="1298" width="11" style="19" customWidth="1"/>
    <col min="1299" max="1299" width="13.109375" style="19" bestFit="1" customWidth="1"/>
    <col min="1300" max="1300" width="27.21875" style="19" customWidth="1"/>
    <col min="1301" max="1301" width="14.44140625" style="19" bestFit="1" customWidth="1"/>
    <col min="1302" max="1302" width="11.77734375" style="19" bestFit="1" customWidth="1"/>
    <col min="1303" max="1305" width="8.88671875" style="19"/>
    <col min="1306" max="1306" width="13.44140625" style="19" bestFit="1" customWidth="1"/>
    <col min="1307" max="1517" width="8.88671875" style="19"/>
    <col min="1518" max="1518" width="5.109375" style="19" customWidth="1"/>
    <col min="1519" max="1519" width="49.33203125" style="19" customWidth="1"/>
    <col min="1520" max="1551" width="15.77734375" style="19" customWidth="1"/>
    <col min="1552" max="1553" width="10.5546875" style="19" customWidth="1"/>
    <col min="1554" max="1554" width="11" style="19" customWidth="1"/>
    <col min="1555" max="1555" width="13.109375" style="19" bestFit="1" customWidth="1"/>
    <col min="1556" max="1556" width="27.21875" style="19" customWidth="1"/>
    <col min="1557" max="1557" width="14.44140625" style="19" bestFit="1" customWidth="1"/>
    <col min="1558" max="1558" width="11.77734375" style="19" bestFit="1" customWidth="1"/>
    <col min="1559" max="1561" width="8.88671875" style="19"/>
    <col min="1562" max="1562" width="13.44140625" style="19" bestFit="1" customWidth="1"/>
    <col min="1563" max="1773" width="8.88671875" style="19"/>
    <col min="1774" max="1774" width="5.109375" style="19" customWidth="1"/>
    <col min="1775" max="1775" width="49.33203125" style="19" customWidth="1"/>
    <col min="1776" max="1807" width="15.77734375" style="19" customWidth="1"/>
    <col min="1808" max="1809" width="10.5546875" style="19" customWidth="1"/>
    <col min="1810" max="1810" width="11" style="19" customWidth="1"/>
    <col min="1811" max="1811" width="13.109375" style="19" bestFit="1" customWidth="1"/>
    <col min="1812" max="1812" width="27.21875" style="19" customWidth="1"/>
    <col min="1813" max="1813" width="14.44140625" style="19" bestFit="1" customWidth="1"/>
    <col min="1814" max="1814" width="11.77734375" style="19" bestFit="1" customWidth="1"/>
    <col min="1815" max="1817" width="8.88671875" style="19"/>
    <col min="1818" max="1818" width="13.44140625" style="19" bestFit="1" customWidth="1"/>
    <col min="1819" max="2029" width="8.88671875" style="19"/>
    <col min="2030" max="2030" width="5.109375" style="19" customWidth="1"/>
    <col min="2031" max="2031" width="49.33203125" style="19" customWidth="1"/>
    <col min="2032" max="2063" width="15.77734375" style="19" customWidth="1"/>
    <col min="2064" max="2065" width="10.5546875" style="19" customWidth="1"/>
    <col min="2066" max="2066" width="11" style="19" customWidth="1"/>
    <col min="2067" max="2067" width="13.109375" style="19" bestFit="1" customWidth="1"/>
    <col min="2068" max="2068" width="27.21875" style="19" customWidth="1"/>
    <col min="2069" max="2069" width="14.44140625" style="19" bestFit="1" customWidth="1"/>
    <col min="2070" max="2070" width="11.77734375" style="19" bestFit="1" customWidth="1"/>
    <col min="2071" max="2073" width="8.88671875" style="19"/>
    <col min="2074" max="2074" width="13.44140625" style="19" bestFit="1" customWidth="1"/>
    <col min="2075" max="2285" width="8.88671875" style="19"/>
    <col min="2286" max="2286" width="5.109375" style="19" customWidth="1"/>
    <col min="2287" max="2287" width="49.33203125" style="19" customWidth="1"/>
    <col min="2288" max="2319" width="15.77734375" style="19" customWidth="1"/>
    <col min="2320" max="2321" width="10.5546875" style="19" customWidth="1"/>
    <col min="2322" max="2322" width="11" style="19" customWidth="1"/>
    <col min="2323" max="2323" width="13.109375" style="19" bestFit="1" customWidth="1"/>
    <col min="2324" max="2324" width="27.21875" style="19" customWidth="1"/>
    <col min="2325" max="2325" width="14.44140625" style="19" bestFit="1" customWidth="1"/>
    <col min="2326" max="2326" width="11.77734375" style="19" bestFit="1" customWidth="1"/>
    <col min="2327" max="2329" width="8.88671875" style="19"/>
    <col min="2330" max="2330" width="13.44140625" style="19" bestFit="1" customWidth="1"/>
    <col min="2331" max="2541" width="8.88671875" style="19"/>
    <col min="2542" max="2542" width="5.109375" style="19" customWidth="1"/>
    <col min="2543" max="2543" width="49.33203125" style="19" customWidth="1"/>
    <col min="2544" max="2575" width="15.77734375" style="19" customWidth="1"/>
    <col min="2576" max="2577" width="10.5546875" style="19" customWidth="1"/>
    <col min="2578" max="2578" width="11" style="19" customWidth="1"/>
    <col min="2579" max="2579" width="13.109375" style="19" bestFit="1" customWidth="1"/>
    <col min="2580" max="2580" width="27.21875" style="19" customWidth="1"/>
    <col min="2581" max="2581" width="14.44140625" style="19" bestFit="1" customWidth="1"/>
    <col min="2582" max="2582" width="11.77734375" style="19" bestFit="1" customWidth="1"/>
    <col min="2583" max="2585" width="8.88671875" style="19"/>
    <col min="2586" max="2586" width="13.44140625" style="19" bestFit="1" customWidth="1"/>
    <col min="2587" max="2797" width="8.88671875" style="19"/>
    <col min="2798" max="2798" width="5.109375" style="19" customWidth="1"/>
    <col min="2799" max="2799" width="49.33203125" style="19" customWidth="1"/>
    <col min="2800" max="2831" width="15.77734375" style="19" customWidth="1"/>
    <col min="2832" max="2833" width="10.5546875" style="19" customWidth="1"/>
    <col min="2834" max="2834" width="11" style="19" customWidth="1"/>
    <col min="2835" max="2835" width="13.109375" style="19" bestFit="1" customWidth="1"/>
    <col min="2836" max="2836" width="27.21875" style="19" customWidth="1"/>
    <col min="2837" max="2837" width="14.44140625" style="19" bestFit="1" customWidth="1"/>
    <col min="2838" max="2838" width="11.77734375" style="19" bestFit="1" customWidth="1"/>
    <col min="2839" max="2841" width="8.88671875" style="19"/>
    <col min="2842" max="2842" width="13.44140625" style="19" bestFit="1" customWidth="1"/>
    <col min="2843" max="3053" width="8.88671875" style="19"/>
    <col min="3054" max="3054" width="5.109375" style="19" customWidth="1"/>
    <col min="3055" max="3055" width="49.33203125" style="19" customWidth="1"/>
    <col min="3056" max="3087" width="15.77734375" style="19" customWidth="1"/>
    <col min="3088" max="3089" width="10.5546875" style="19" customWidth="1"/>
    <col min="3090" max="3090" width="11" style="19" customWidth="1"/>
    <col min="3091" max="3091" width="13.109375" style="19" bestFit="1" customWidth="1"/>
    <col min="3092" max="3092" width="27.21875" style="19" customWidth="1"/>
    <col min="3093" max="3093" width="14.44140625" style="19" bestFit="1" customWidth="1"/>
    <col min="3094" max="3094" width="11.77734375" style="19" bestFit="1" customWidth="1"/>
    <col min="3095" max="3097" width="8.88671875" style="19"/>
    <col min="3098" max="3098" width="13.44140625" style="19" bestFit="1" customWidth="1"/>
    <col min="3099" max="3309" width="8.88671875" style="19"/>
    <col min="3310" max="3310" width="5.109375" style="19" customWidth="1"/>
    <col min="3311" max="3311" width="49.33203125" style="19" customWidth="1"/>
    <col min="3312" max="3343" width="15.77734375" style="19" customWidth="1"/>
    <col min="3344" max="3345" width="10.5546875" style="19" customWidth="1"/>
    <col min="3346" max="3346" width="11" style="19" customWidth="1"/>
    <col min="3347" max="3347" width="13.109375" style="19" bestFit="1" customWidth="1"/>
    <col min="3348" max="3348" width="27.21875" style="19" customWidth="1"/>
    <col min="3349" max="3349" width="14.44140625" style="19" bestFit="1" customWidth="1"/>
    <col min="3350" max="3350" width="11.77734375" style="19" bestFit="1" customWidth="1"/>
    <col min="3351" max="3353" width="8.88671875" style="19"/>
    <col min="3354" max="3354" width="13.44140625" style="19" bestFit="1" customWidth="1"/>
    <col min="3355" max="3565" width="8.88671875" style="19"/>
    <col min="3566" max="3566" width="5.109375" style="19" customWidth="1"/>
    <col min="3567" max="3567" width="49.33203125" style="19" customWidth="1"/>
    <col min="3568" max="3599" width="15.77734375" style="19" customWidth="1"/>
    <col min="3600" max="3601" width="10.5546875" style="19" customWidth="1"/>
    <col min="3602" max="3602" width="11" style="19" customWidth="1"/>
    <col min="3603" max="3603" width="13.109375" style="19" bestFit="1" customWidth="1"/>
    <col min="3604" max="3604" width="27.21875" style="19" customWidth="1"/>
    <col min="3605" max="3605" width="14.44140625" style="19" bestFit="1" customWidth="1"/>
    <col min="3606" max="3606" width="11.77734375" style="19" bestFit="1" customWidth="1"/>
    <col min="3607" max="3609" width="8.88671875" style="19"/>
    <col min="3610" max="3610" width="13.44140625" style="19" bestFit="1" customWidth="1"/>
    <col min="3611" max="3821" width="8.88671875" style="19"/>
    <col min="3822" max="3822" width="5.109375" style="19" customWidth="1"/>
    <col min="3823" max="3823" width="49.33203125" style="19" customWidth="1"/>
    <col min="3824" max="3855" width="15.77734375" style="19" customWidth="1"/>
    <col min="3856" max="3857" width="10.5546875" style="19" customWidth="1"/>
    <col min="3858" max="3858" width="11" style="19" customWidth="1"/>
    <col min="3859" max="3859" width="13.109375" style="19" bestFit="1" customWidth="1"/>
    <col min="3860" max="3860" width="27.21875" style="19" customWidth="1"/>
    <col min="3861" max="3861" width="14.44140625" style="19" bestFit="1" customWidth="1"/>
    <col min="3862" max="3862" width="11.77734375" style="19" bestFit="1" customWidth="1"/>
    <col min="3863" max="3865" width="8.88671875" style="19"/>
    <col min="3866" max="3866" width="13.44140625" style="19" bestFit="1" customWidth="1"/>
    <col min="3867" max="4077" width="8.88671875" style="19"/>
    <col min="4078" max="4078" width="5.109375" style="19" customWidth="1"/>
    <col min="4079" max="4079" width="49.33203125" style="19" customWidth="1"/>
    <col min="4080" max="4111" width="15.77734375" style="19" customWidth="1"/>
    <col min="4112" max="4113" width="10.5546875" style="19" customWidth="1"/>
    <col min="4114" max="4114" width="11" style="19" customWidth="1"/>
    <col min="4115" max="4115" width="13.109375" style="19" bestFit="1" customWidth="1"/>
    <col min="4116" max="4116" width="27.21875" style="19" customWidth="1"/>
    <col min="4117" max="4117" width="14.44140625" style="19" bestFit="1" customWidth="1"/>
    <col min="4118" max="4118" width="11.77734375" style="19" bestFit="1" customWidth="1"/>
    <col min="4119" max="4121" width="8.88671875" style="19"/>
    <col min="4122" max="4122" width="13.44140625" style="19" bestFit="1" customWidth="1"/>
    <col min="4123" max="4333" width="8.88671875" style="19"/>
    <col min="4334" max="4334" width="5.109375" style="19" customWidth="1"/>
    <col min="4335" max="4335" width="49.33203125" style="19" customWidth="1"/>
    <col min="4336" max="4367" width="15.77734375" style="19" customWidth="1"/>
    <col min="4368" max="4369" width="10.5546875" style="19" customWidth="1"/>
    <col min="4370" max="4370" width="11" style="19" customWidth="1"/>
    <col min="4371" max="4371" width="13.109375" style="19" bestFit="1" customWidth="1"/>
    <col min="4372" max="4372" width="27.21875" style="19" customWidth="1"/>
    <col min="4373" max="4373" width="14.44140625" style="19" bestFit="1" customWidth="1"/>
    <col min="4374" max="4374" width="11.77734375" style="19" bestFit="1" customWidth="1"/>
    <col min="4375" max="4377" width="8.88671875" style="19"/>
    <col min="4378" max="4378" width="13.44140625" style="19" bestFit="1" customWidth="1"/>
    <col min="4379" max="4589" width="8.88671875" style="19"/>
    <col min="4590" max="4590" width="5.109375" style="19" customWidth="1"/>
    <col min="4591" max="4591" width="49.33203125" style="19" customWidth="1"/>
    <col min="4592" max="4623" width="15.77734375" style="19" customWidth="1"/>
    <col min="4624" max="4625" width="10.5546875" style="19" customWidth="1"/>
    <col min="4626" max="4626" width="11" style="19" customWidth="1"/>
    <col min="4627" max="4627" width="13.109375" style="19" bestFit="1" customWidth="1"/>
    <col min="4628" max="4628" width="27.21875" style="19" customWidth="1"/>
    <col min="4629" max="4629" width="14.44140625" style="19" bestFit="1" customWidth="1"/>
    <col min="4630" max="4630" width="11.77734375" style="19" bestFit="1" customWidth="1"/>
    <col min="4631" max="4633" width="8.88671875" style="19"/>
    <col min="4634" max="4634" width="13.44140625" style="19" bestFit="1" customWidth="1"/>
    <col min="4635" max="4845" width="8.88671875" style="19"/>
    <col min="4846" max="4846" width="5.109375" style="19" customWidth="1"/>
    <col min="4847" max="4847" width="49.33203125" style="19" customWidth="1"/>
    <col min="4848" max="4879" width="15.77734375" style="19" customWidth="1"/>
    <col min="4880" max="4881" width="10.5546875" style="19" customWidth="1"/>
    <col min="4882" max="4882" width="11" style="19" customWidth="1"/>
    <col min="4883" max="4883" width="13.109375" style="19" bestFit="1" customWidth="1"/>
    <col min="4884" max="4884" width="27.21875" style="19" customWidth="1"/>
    <col min="4885" max="4885" width="14.44140625" style="19" bestFit="1" customWidth="1"/>
    <col min="4886" max="4886" width="11.77734375" style="19" bestFit="1" customWidth="1"/>
    <col min="4887" max="4889" width="8.88671875" style="19"/>
    <col min="4890" max="4890" width="13.44140625" style="19" bestFit="1" customWidth="1"/>
    <col min="4891" max="5101" width="8.88671875" style="19"/>
    <col min="5102" max="5102" width="5.109375" style="19" customWidth="1"/>
    <col min="5103" max="5103" width="49.33203125" style="19" customWidth="1"/>
    <col min="5104" max="5135" width="15.77734375" style="19" customWidth="1"/>
    <col min="5136" max="5137" width="10.5546875" style="19" customWidth="1"/>
    <col min="5138" max="5138" width="11" style="19" customWidth="1"/>
    <col min="5139" max="5139" width="13.109375" style="19" bestFit="1" customWidth="1"/>
    <col min="5140" max="5140" width="27.21875" style="19" customWidth="1"/>
    <col min="5141" max="5141" width="14.44140625" style="19" bestFit="1" customWidth="1"/>
    <col min="5142" max="5142" width="11.77734375" style="19" bestFit="1" customWidth="1"/>
    <col min="5143" max="5145" width="8.88671875" style="19"/>
    <col min="5146" max="5146" width="13.44140625" style="19" bestFit="1" customWidth="1"/>
    <col min="5147" max="5357" width="8.88671875" style="19"/>
    <col min="5358" max="5358" width="5.109375" style="19" customWidth="1"/>
    <col min="5359" max="5359" width="49.33203125" style="19" customWidth="1"/>
    <col min="5360" max="5391" width="15.77734375" style="19" customWidth="1"/>
    <col min="5392" max="5393" width="10.5546875" style="19" customWidth="1"/>
    <col min="5394" max="5394" width="11" style="19" customWidth="1"/>
    <col min="5395" max="5395" width="13.109375" style="19" bestFit="1" customWidth="1"/>
    <col min="5396" max="5396" width="27.21875" style="19" customWidth="1"/>
    <col min="5397" max="5397" width="14.44140625" style="19" bestFit="1" customWidth="1"/>
    <col min="5398" max="5398" width="11.77734375" style="19" bestFit="1" customWidth="1"/>
    <col min="5399" max="5401" width="8.88671875" style="19"/>
    <col min="5402" max="5402" width="13.44140625" style="19" bestFit="1" customWidth="1"/>
    <col min="5403" max="5613" width="8.88671875" style="19"/>
    <col min="5614" max="5614" width="5.109375" style="19" customWidth="1"/>
    <col min="5615" max="5615" width="49.33203125" style="19" customWidth="1"/>
    <col min="5616" max="5647" width="15.77734375" style="19" customWidth="1"/>
    <col min="5648" max="5649" width="10.5546875" style="19" customWidth="1"/>
    <col min="5650" max="5650" width="11" style="19" customWidth="1"/>
    <col min="5651" max="5651" width="13.109375" style="19" bestFit="1" customWidth="1"/>
    <col min="5652" max="5652" width="27.21875" style="19" customWidth="1"/>
    <col min="5653" max="5653" width="14.44140625" style="19" bestFit="1" customWidth="1"/>
    <col min="5654" max="5654" width="11.77734375" style="19" bestFit="1" customWidth="1"/>
    <col min="5655" max="5657" width="8.88671875" style="19"/>
    <col min="5658" max="5658" width="13.44140625" style="19" bestFit="1" customWidth="1"/>
    <col min="5659" max="5869" width="8.88671875" style="19"/>
    <col min="5870" max="5870" width="5.109375" style="19" customWidth="1"/>
    <col min="5871" max="5871" width="49.33203125" style="19" customWidth="1"/>
    <col min="5872" max="5903" width="15.77734375" style="19" customWidth="1"/>
    <col min="5904" max="5905" width="10.5546875" style="19" customWidth="1"/>
    <col min="5906" max="5906" width="11" style="19" customWidth="1"/>
    <col min="5907" max="5907" width="13.109375" style="19" bestFit="1" customWidth="1"/>
    <col min="5908" max="5908" width="27.21875" style="19" customWidth="1"/>
    <col min="5909" max="5909" width="14.44140625" style="19" bestFit="1" customWidth="1"/>
    <col min="5910" max="5910" width="11.77734375" style="19" bestFit="1" customWidth="1"/>
    <col min="5911" max="5913" width="8.88671875" style="19"/>
    <col min="5914" max="5914" width="13.44140625" style="19" bestFit="1" customWidth="1"/>
    <col min="5915" max="6125" width="8.88671875" style="19"/>
    <col min="6126" max="6126" width="5.109375" style="19" customWidth="1"/>
    <col min="6127" max="6127" width="49.33203125" style="19" customWidth="1"/>
    <col min="6128" max="6159" width="15.77734375" style="19" customWidth="1"/>
    <col min="6160" max="6161" width="10.5546875" style="19" customWidth="1"/>
    <col min="6162" max="6162" width="11" style="19" customWidth="1"/>
    <col min="6163" max="6163" width="13.109375" style="19" bestFit="1" customWidth="1"/>
    <col min="6164" max="6164" width="27.21875" style="19" customWidth="1"/>
    <col min="6165" max="6165" width="14.44140625" style="19" bestFit="1" customWidth="1"/>
    <col min="6166" max="6166" width="11.77734375" style="19" bestFit="1" customWidth="1"/>
    <col min="6167" max="6169" width="8.88671875" style="19"/>
    <col min="6170" max="6170" width="13.44140625" style="19" bestFit="1" customWidth="1"/>
    <col min="6171" max="6381" width="8.88671875" style="19"/>
    <col min="6382" max="6382" width="5.109375" style="19" customWidth="1"/>
    <col min="6383" max="6383" width="49.33203125" style="19" customWidth="1"/>
    <col min="6384" max="6415" width="15.77734375" style="19" customWidth="1"/>
    <col min="6416" max="6417" width="10.5546875" style="19" customWidth="1"/>
    <col min="6418" max="6418" width="11" style="19" customWidth="1"/>
    <col min="6419" max="6419" width="13.109375" style="19" bestFit="1" customWidth="1"/>
    <col min="6420" max="6420" width="27.21875" style="19" customWidth="1"/>
    <col min="6421" max="6421" width="14.44140625" style="19" bestFit="1" customWidth="1"/>
    <col min="6422" max="6422" width="11.77734375" style="19" bestFit="1" customWidth="1"/>
    <col min="6423" max="6425" width="8.88671875" style="19"/>
    <col min="6426" max="6426" width="13.44140625" style="19" bestFit="1" customWidth="1"/>
    <col min="6427" max="6637" width="8.88671875" style="19"/>
    <col min="6638" max="6638" width="5.109375" style="19" customWidth="1"/>
    <col min="6639" max="6639" width="49.33203125" style="19" customWidth="1"/>
    <col min="6640" max="6671" width="15.77734375" style="19" customWidth="1"/>
    <col min="6672" max="6673" width="10.5546875" style="19" customWidth="1"/>
    <col min="6674" max="6674" width="11" style="19" customWidth="1"/>
    <col min="6675" max="6675" width="13.109375" style="19" bestFit="1" customWidth="1"/>
    <col min="6676" max="6676" width="27.21875" style="19" customWidth="1"/>
    <col min="6677" max="6677" width="14.44140625" style="19" bestFit="1" customWidth="1"/>
    <col min="6678" max="6678" width="11.77734375" style="19" bestFit="1" customWidth="1"/>
    <col min="6679" max="6681" width="8.88671875" style="19"/>
    <col min="6682" max="6682" width="13.44140625" style="19" bestFit="1" customWidth="1"/>
    <col min="6683" max="6893" width="8.88671875" style="19"/>
    <col min="6894" max="6894" width="5.109375" style="19" customWidth="1"/>
    <col min="6895" max="6895" width="49.33203125" style="19" customWidth="1"/>
    <col min="6896" max="6927" width="15.77734375" style="19" customWidth="1"/>
    <col min="6928" max="6929" width="10.5546875" style="19" customWidth="1"/>
    <col min="6930" max="6930" width="11" style="19" customWidth="1"/>
    <col min="6931" max="6931" width="13.109375" style="19" bestFit="1" customWidth="1"/>
    <col min="6932" max="6932" width="27.21875" style="19" customWidth="1"/>
    <col min="6933" max="6933" width="14.44140625" style="19" bestFit="1" customWidth="1"/>
    <col min="6934" max="6934" width="11.77734375" style="19" bestFit="1" customWidth="1"/>
    <col min="6935" max="6937" width="8.88671875" style="19"/>
    <col min="6938" max="6938" width="13.44140625" style="19" bestFit="1" customWidth="1"/>
    <col min="6939" max="7149" width="8.88671875" style="19"/>
    <col min="7150" max="7150" width="5.109375" style="19" customWidth="1"/>
    <col min="7151" max="7151" width="49.33203125" style="19" customWidth="1"/>
    <col min="7152" max="7183" width="15.77734375" style="19" customWidth="1"/>
    <col min="7184" max="7185" width="10.5546875" style="19" customWidth="1"/>
    <col min="7186" max="7186" width="11" style="19" customWidth="1"/>
    <col min="7187" max="7187" width="13.109375" style="19" bestFit="1" customWidth="1"/>
    <col min="7188" max="7188" width="27.21875" style="19" customWidth="1"/>
    <col min="7189" max="7189" width="14.44140625" style="19" bestFit="1" customWidth="1"/>
    <col min="7190" max="7190" width="11.77734375" style="19" bestFit="1" customWidth="1"/>
    <col min="7191" max="7193" width="8.88671875" style="19"/>
    <col min="7194" max="7194" width="13.44140625" style="19" bestFit="1" customWidth="1"/>
    <col min="7195" max="7405" width="8.88671875" style="19"/>
    <col min="7406" max="7406" width="5.109375" style="19" customWidth="1"/>
    <col min="7407" max="7407" width="49.33203125" style="19" customWidth="1"/>
    <col min="7408" max="7439" width="15.77734375" style="19" customWidth="1"/>
    <col min="7440" max="7441" width="10.5546875" style="19" customWidth="1"/>
    <col min="7442" max="7442" width="11" style="19" customWidth="1"/>
    <col min="7443" max="7443" width="13.109375" style="19" bestFit="1" customWidth="1"/>
    <col min="7444" max="7444" width="27.21875" style="19" customWidth="1"/>
    <col min="7445" max="7445" width="14.44140625" style="19" bestFit="1" customWidth="1"/>
    <col min="7446" max="7446" width="11.77734375" style="19" bestFit="1" customWidth="1"/>
    <col min="7447" max="7449" width="8.88671875" style="19"/>
    <col min="7450" max="7450" width="13.44140625" style="19" bestFit="1" customWidth="1"/>
    <col min="7451" max="7661" width="8.88671875" style="19"/>
    <col min="7662" max="7662" width="5.109375" style="19" customWidth="1"/>
    <col min="7663" max="7663" width="49.33203125" style="19" customWidth="1"/>
    <col min="7664" max="7695" width="15.77734375" style="19" customWidth="1"/>
    <col min="7696" max="7697" width="10.5546875" style="19" customWidth="1"/>
    <col min="7698" max="7698" width="11" style="19" customWidth="1"/>
    <col min="7699" max="7699" width="13.109375" style="19" bestFit="1" customWidth="1"/>
    <col min="7700" max="7700" width="27.21875" style="19" customWidth="1"/>
    <col min="7701" max="7701" width="14.44140625" style="19" bestFit="1" customWidth="1"/>
    <col min="7702" max="7702" width="11.77734375" style="19" bestFit="1" customWidth="1"/>
    <col min="7703" max="7705" width="8.88671875" style="19"/>
    <col min="7706" max="7706" width="13.44140625" style="19" bestFit="1" customWidth="1"/>
    <col min="7707" max="7917" width="8.88671875" style="19"/>
    <col min="7918" max="7918" width="5.109375" style="19" customWidth="1"/>
    <col min="7919" max="7919" width="49.33203125" style="19" customWidth="1"/>
    <col min="7920" max="7951" width="15.77734375" style="19" customWidth="1"/>
    <col min="7952" max="7953" width="10.5546875" style="19" customWidth="1"/>
    <col min="7954" max="7954" width="11" style="19" customWidth="1"/>
    <col min="7955" max="7955" width="13.109375" style="19" bestFit="1" customWidth="1"/>
    <col min="7956" max="7956" width="27.21875" style="19" customWidth="1"/>
    <col min="7957" max="7957" width="14.44140625" style="19" bestFit="1" customWidth="1"/>
    <col min="7958" max="7958" width="11.77734375" style="19" bestFit="1" customWidth="1"/>
    <col min="7959" max="7961" width="8.88671875" style="19"/>
    <col min="7962" max="7962" width="13.44140625" style="19" bestFit="1" customWidth="1"/>
    <col min="7963" max="8173" width="8.88671875" style="19"/>
    <col min="8174" max="8174" width="5.109375" style="19" customWidth="1"/>
    <col min="8175" max="8175" width="49.33203125" style="19" customWidth="1"/>
    <col min="8176" max="8207" width="15.77734375" style="19" customWidth="1"/>
    <col min="8208" max="8209" width="10.5546875" style="19" customWidth="1"/>
    <col min="8210" max="8210" width="11" style="19" customWidth="1"/>
    <col min="8211" max="8211" width="13.109375" style="19" bestFit="1" customWidth="1"/>
    <col min="8212" max="8212" width="27.21875" style="19" customWidth="1"/>
    <col min="8213" max="8213" width="14.44140625" style="19" bestFit="1" customWidth="1"/>
    <col min="8214" max="8214" width="11.77734375" style="19" bestFit="1" customWidth="1"/>
    <col min="8215" max="8217" width="8.88671875" style="19"/>
    <col min="8218" max="8218" width="13.44140625" style="19" bestFit="1" customWidth="1"/>
    <col min="8219" max="8429" width="8.88671875" style="19"/>
    <col min="8430" max="8430" width="5.109375" style="19" customWidth="1"/>
    <col min="8431" max="8431" width="49.33203125" style="19" customWidth="1"/>
    <col min="8432" max="8463" width="15.77734375" style="19" customWidth="1"/>
    <col min="8464" max="8465" width="10.5546875" style="19" customWidth="1"/>
    <col min="8466" max="8466" width="11" style="19" customWidth="1"/>
    <col min="8467" max="8467" width="13.109375" style="19" bestFit="1" customWidth="1"/>
    <col min="8468" max="8468" width="27.21875" style="19" customWidth="1"/>
    <col min="8469" max="8469" width="14.44140625" style="19" bestFit="1" customWidth="1"/>
    <col min="8470" max="8470" width="11.77734375" style="19" bestFit="1" customWidth="1"/>
    <col min="8471" max="8473" width="8.88671875" style="19"/>
    <col min="8474" max="8474" width="13.44140625" style="19" bestFit="1" customWidth="1"/>
    <col min="8475" max="8685" width="8.88671875" style="19"/>
    <col min="8686" max="8686" width="5.109375" style="19" customWidth="1"/>
    <col min="8687" max="8687" width="49.33203125" style="19" customWidth="1"/>
    <col min="8688" max="8719" width="15.77734375" style="19" customWidth="1"/>
    <col min="8720" max="8721" width="10.5546875" style="19" customWidth="1"/>
    <col min="8722" max="8722" width="11" style="19" customWidth="1"/>
    <col min="8723" max="8723" width="13.109375" style="19" bestFit="1" customWidth="1"/>
    <col min="8724" max="8724" width="27.21875" style="19" customWidth="1"/>
    <col min="8725" max="8725" width="14.44140625" style="19" bestFit="1" customWidth="1"/>
    <col min="8726" max="8726" width="11.77734375" style="19" bestFit="1" customWidth="1"/>
    <col min="8727" max="8729" width="8.88671875" style="19"/>
    <col min="8730" max="8730" width="13.44140625" style="19" bestFit="1" customWidth="1"/>
    <col min="8731" max="8941" width="8.88671875" style="19"/>
    <col min="8942" max="8942" width="5.109375" style="19" customWidth="1"/>
    <col min="8943" max="8943" width="49.33203125" style="19" customWidth="1"/>
    <col min="8944" max="8975" width="15.77734375" style="19" customWidth="1"/>
    <col min="8976" max="8977" width="10.5546875" style="19" customWidth="1"/>
    <col min="8978" max="8978" width="11" style="19" customWidth="1"/>
    <col min="8979" max="8979" width="13.109375" style="19" bestFit="1" customWidth="1"/>
    <col min="8980" max="8980" width="27.21875" style="19" customWidth="1"/>
    <col min="8981" max="8981" width="14.44140625" style="19" bestFit="1" customWidth="1"/>
    <col min="8982" max="8982" width="11.77734375" style="19" bestFit="1" customWidth="1"/>
    <col min="8983" max="8985" width="8.88671875" style="19"/>
    <col min="8986" max="8986" width="13.44140625" style="19" bestFit="1" customWidth="1"/>
    <col min="8987" max="9197" width="8.88671875" style="19"/>
    <col min="9198" max="9198" width="5.109375" style="19" customWidth="1"/>
    <col min="9199" max="9199" width="49.33203125" style="19" customWidth="1"/>
    <col min="9200" max="9231" width="15.77734375" style="19" customWidth="1"/>
    <col min="9232" max="9233" width="10.5546875" style="19" customWidth="1"/>
    <col min="9234" max="9234" width="11" style="19" customWidth="1"/>
    <col min="9235" max="9235" width="13.109375" style="19" bestFit="1" customWidth="1"/>
    <col min="9236" max="9236" width="27.21875" style="19" customWidth="1"/>
    <col min="9237" max="9237" width="14.44140625" style="19" bestFit="1" customWidth="1"/>
    <col min="9238" max="9238" width="11.77734375" style="19" bestFit="1" customWidth="1"/>
    <col min="9239" max="9241" width="8.88671875" style="19"/>
    <col min="9242" max="9242" width="13.44140625" style="19" bestFit="1" customWidth="1"/>
    <col min="9243" max="9453" width="8.88671875" style="19"/>
    <col min="9454" max="9454" width="5.109375" style="19" customWidth="1"/>
    <col min="9455" max="9455" width="49.33203125" style="19" customWidth="1"/>
    <col min="9456" max="9487" width="15.77734375" style="19" customWidth="1"/>
    <col min="9488" max="9489" width="10.5546875" style="19" customWidth="1"/>
    <col min="9490" max="9490" width="11" style="19" customWidth="1"/>
    <col min="9491" max="9491" width="13.109375" style="19" bestFit="1" customWidth="1"/>
    <col min="9492" max="9492" width="27.21875" style="19" customWidth="1"/>
    <col min="9493" max="9493" width="14.44140625" style="19" bestFit="1" customWidth="1"/>
    <col min="9494" max="9494" width="11.77734375" style="19" bestFit="1" customWidth="1"/>
    <col min="9495" max="9497" width="8.88671875" style="19"/>
    <col min="9498" max="9498" width="13.44140625" style="19" bestFit="1" customWidth="1"/>
    <col min="9499" max="9709" width="8.88671875" style="19"/>
    <col min="9710" max="9710" width="5.109375" style="19" customWidth="1"/>
    <col min="9711" max="9711" width="49.33203125" style="19" customWidth="1"/>
    <col min="9712" max="9743" width="15.77734375" style="19" customWidth="1"/>
    <col min="9744" max="9745" width="10.5546875" style="19" customWidth="1"/>
    <col min="9746" max="9746" width="11" style="19" customWidth="1"/>
    <col min="9747" max="9747" width="13.109375" style="19" bestFit="1" customWidth="1"/>
    <col min="9748" max="9748" width="27.21875" style="19" customWidth="1"/>
    <col min="9749" max="9749" width="14.44140625" style="19" bestFit="1" customWidth="1"/>
    <col min="9750" max="9750" width="11.77734375" style="19" bestFit="1" customWidth="1"/>
    <col min="9751" max="9753" width="8.88671875" style="19"/>
    <col min="9754" max="9754" width="13.44140625" style="19" bestFit="1" customWidth="1"/>
    <col min="9755" max="9965" width="8.88671875" style="19"/>
    <col min="9966" max="9966" width="5.109375" style="19" customWidth="1"/>
    <col min="9967" max="9967" width="49.33203125" style="19" customWidth="1"/>
    <col min="9968" max="9999" width="15.77734375" style="19" customWidth="1"/>
    <col min="10000" max="10001" width="10.5546875" style="19" customWidth="1"/>
    <col min="10002" max="10002" width="11" style="19" customWidth="1"/>
    <col min="10003" max="10003" width="13.109375" style="19" bestFit="1" customWidth="1"/>
    <col min="10004" max="10004" width="27.21875" style="19" customWidth="1"/>
    <col min="10005" max="10005" width="14.44140625" style="19" bestFit="1" customWidth="1"/>
    <col min="10006" max="10006" width="11.77734375" style="19" bestFit="1" customWidth="1"/>
    <col min="10007" max="10009" width="8.88671875" style="19"/>
    <col min="10010" max="10010" width="13.44140625" style="19" bestFit="1" customWidth="1"/>
    <col min="10011" max="10221" width="8.88671875" style="19"/>
    <col min="10222" max="10222" width="5.109375" style="19" customWidth="1"/>
    <col min="10223" max="10223" width="49.33203125" style="19" customWidth="1"/>
    <col min="10224" max="10255" width="15.77734375" style="19" customWidth="1"/>
    <col min="10256" max="10257" width="10.5546875" style="19" customWidth="1"/>
    <col min="10258" max="10258" width="11" style="19" customWidth="1"/>
    <col min="10259" max="10259" width="13.109375" style="19" bestFit="1" customWidth="1"/>
    <col min="10260" max="10260" width="27.21875" style="19" customWidth="1"/>
    <col min="10261" max="10261" width="14.44140625" style="19" bestFit="1" customWidth="1"/>
    <col min="10262" max="10262" width="11.77734375" style="19" bestFit="1" customWidth="1"/>
    <col min="10263" max="10265" width="8.88671875" style="19"/>
    <col min="10266" max="10266" width="13.44140625" style="19" bestFit="1" customWidth="1"/>
    <col min="10267" max="10477" width="8.88671875" style="19"/>
    <col min="10478" max="10478" width="5.109375" style="19" customWidth="1"/>
    <col min="10479" max="10479" width="49.33203125" style="19" customWidth="1"/>
    <col min="10480" max="10511" width="15.77734375" style="19" customWidth="1"/>
    <col min="10512" max="10513" width="10.5546875" style="19" customWidth="1"/>
    <col min="10514" max="10514" width="11" style="19" customWidth="1"/>
    <col min="10515" max="10515" width="13.109375" style="19" bestFit="1" customWidth="1"/>
    <col min="10516" max="10516" width="27.21875" style="19" customWidth="1"/>
    <col min="10517" max="10517" width="14.44140625" style="19" bestFit="1" customWidth="1"/>
    <col min="10518" max="10518" width="11.77734375" style="19" bestFit="1" customWidth="1"/>
    <col min="10519" max="10521" width="8.88671875" style="19"/>
    <col min="10522" max="10522" width="13.44140625" style="19" bestFit="1" customWidth="1"/>
    <col min="10523" max="10733" width="8.88671875" style="19"/>
    <col min="10734" max="10734" width="5.109375" style="19" customWidth="1"/>
    <col min="10735" max="10735" width="49.33203125" style="19" customWidth="1"/>
    <col min="10736" max="10767" width="15.77734375" style="19" customWidth="1"/>
    <col min="10768" max="10769" width="10.5546875" style="19" customWidth="1"/>
    <col min="10770" max="10770" width="11" style="19" customWidth="1"/>
    <col min="10771" max="10771" width="13.109375" style="19" bestFit="1" customWidth="1"/>
    <col min="10772" max="10772" width="27.21875" style="19" customWidth="1"/>
    <col min="10773" max="10773" width="14.44140625" style="19" bestFit="1" customWidth="1"/>
    <col min="10774" max="10774" width="11.77734375" style="19" bestFit="1" customWidth="1"/>
    <col min="10775" max="10777" width="8.88671875" style="19"/>
    <col min="10778" max="10778" width="13.44140625" style="19" bestFit="1" customWidth="1"/>
    <col min="10779" max="10989" width="8.88671875" style="19"/>
    <col min="10990" max="10990" width="5.109375" style="19" customWidth="1"/>
    <col min="10991" max="10991" width="49.33203125" style="19" customWidth="1"/>
    <col min="10992" max="11023" width="15.77734375" style="19" customWidth="1"/>
    <col min="11024" max="11025" width="10.5546875" style="19" customWidth="1"/>
    <col min="11026" max="11026" width="11" style="19" customWidth="1"/>
    <col min="11027" max="11027" width="13.109375" style="19" bestFit="1" customWidth="1"/>
    <col min="11028" max="11028" width="27.21875" style="19" customWidth="1"/>
    <col min="11029" max="11029" width="14.44140625" style="19" bestFit="1" customWidth="1"/>
    <col min="11030" max="11030" width="11.77734375" style="19" bestFit="1" customWidth="1"/>
    <col min="11031" max="11033" width="8.88671875" style="19"/>
    <col min="11034" max="11034" width="13.44140625" style="19" bestFit="1" customWidth="1"/>
    <col min="11035" max="11245" width="8.88671875" style="19"/>
    <col min="11246" max="11246" width="5.109375" style="19" customWidth="1"/>
    <col min="11247" max="11247" width="49.33203125" style="19" customWidth="1"/>
    <col min="11248" max="11279" width="15.77734375" style="19" customWidth="1"/>
    <col min="11280" max="11281" width="10.5546875" style="19" customWidth="1"/>
    <col min="11282" max="11282" width="11" style="19" customWidth="1"/>
    <col min="11283" max="11283" width="13.109375" style="19" bestFit="1" customWidth="1"/>
    <col min="11284" max="11284" width="27.21875" style="19" customWidth="1"/>
    <col min="11285" max="11285" width="14.44140625" style="19" bestFit="1" customWidth="1"/>
    <col min="11286" max="11286" width="11.77734375" style="19" bestFit="1" customWidth="1"/>
    <col min="11287" max="11289" width="8.88671875" style="19"/>
    <col min="11290" max="11290" width="13.44140625" style="19" bestFit="1" customWidth="1"/>
    <col min="11291" max="11501" width="8.88671875" style="19"/>
    <col min="11502" max="11502" width="5.109375" style="19" customWidth="1"/>
    <col min="11503" max="11503" width="49.33203125" style="19" customWidth="1"/>
    <col min="11504" max="11535" width="15.77734375" style="19" customWidth="1"/>
    <col min="11536" max="11537" width="10.5546875" style="19" customWidth="1"/>
    <col min="11538" max="11538" width="11" style="19" customWidth="1"/>
    <col min="11539" max="11539" width="13.109375" style="19" bestFit="1" customWidth="1"/>
    <col min="11540" max="11540" width="27.21875" style="19" customWidth="1"/>
    <col min="11541" max="11541" width="14.44140625" style="19" bestFit="1" customWidth="1"/>
    <col min="11542" max="11542" width="11.77734375" style="19" bestFit="1" customWidth="1"/>
    <col min="11543" max="11545" width="8.88671875" style="19"/>
    <col min="11546" max="11546" width="13.44140625" style="19" bestFit="1" customWidth="1"/>
    <col min="11547" max="11757" width="8.88671875" style="19"/>
    <col min="11758" max="11758" width="5.109375" style="19" customWidth="1"/>
    <col min="11759" max="11759" width="49.33203125" style="19" customWidth="1"/>
    <col min="11760" max="11791" width="15.77734375" style="19" customWidth="1"/>
    <col min="11792" max="11793" width="10.5546875" style="19" customWidth="1"/>
    <col min="11794" max="11794" width="11" style="19" customWidth="1"/>
    <col min="11795" max="11795" width="13.109375" style="19" bestFit="1" customWidth="1"/>
    <col min="11796" max="11796" width="27.21875" style="19" customWidth="1"/>
    <col min="11797" max="11797" width="14.44140625" style="19" bestFit="1" customWidth="1"/>
    <col min="11798" max="11798" width="11.77734375" style="19" bestFit="1" customWidth="1"/>
    <col min="11799" max="11801" width="8.88671875" style="19"/>
    <col min="11802" max="11802" width="13.44140625" style="19" bestFit="1" customWidth="1"/>
    <col min="11803" max="12013" width="8.88671875" style="19"/>
    <col min="12014" max="12014" width="5.109375" style="19" customWidth="1"/>
    <col min="12015" max="12015" width="49.33203125" style="19" customWidth="1"/>
    <col min="12016" max="12047" width="15.77734375" style="19" customWidth="1"/>
    <col min="12048" max="12049" width="10.5546875" style="19" customWidth="1"/>
    <col min="12050" max="12050" width="11" style="19" customWidth="1"/>
    <col min="12051" max="12051" width="13.109375" style="19" bestFit="1" customWidth="1"/>
    <col min="12052" max="12052" width="27.21875" style="19" customWidth="1"/>
    <col min="12053" max="12053" width="14.44140625" style="19" bestFit="1" customWidth="1"/>
    <col min="12054" max="12054" width="11.77734375" style="19" bestFit="1" customWidth="1"/>
    <col min="12055" max="12057" width="8.88671875" style="19"/>
    <col min="12058" max="12058" width="13.44140625" style="19" bestFit="1" customWidth="1"/>
    <col min="12059" max="12269" width="8.88671875" style="19"/>
    <col min="12270" max="12270" width="5.109375" style="19" customWidth="1"/>
    <col min="12271" max="12271" width="49.33203125" style="19" customWidth="1"/>
    <col min="12272" max="12303" width="15.77734375" style="19" customWidth="1"/>
    <col min="12304" max="12305" width="10.5546875" style="19" customWidth="1"/>
    <col min="12306" max="12306" width="11" style="19" customWidth="1"/>
    <col min="12307" max="12307" width="13.109375" style="19" bestFit="1" customWidth="1"/>
    <col min="12308" max="12308" width="27.21875" style="19" customWidth="1"/>
    <col min="12309" max="12309" width="14.44140625" style="19" bestFit="1" customWidth="1"/>
    <col min="12310" max="12310" width="11.77734375" style="19" bestFit="1" customWidth="1"/>
    <col min="12311" max="12313" width="8.88671875" style="19"/>
    <col min="12314" max="12314" width="13.44140625" style="19" bestFit="1" customWidth="1"/>
    <col min="12315" max="12525" width="8.88671875" style="19"/>
    <col min="12526" max="12526" width="5.109375" style="19" customWidth="1"/>
    <col min="12527" max="12527" width="49.33203125" style="19" customWidth="1"/>
    <col min="12528" max="12559" width="15.77734375" style="19" customWidth="1"/>
    <col min="12560" max="12561" width="10.5546875" style="19" customWidth="1"/>
    <col min="12562" max="12562" width="11" style="19" customWidth="1"/>
    <col min="12563" max="12563" width="13.109375" style="19" bestFit="1" customWidth="1"/>
    <col min="12564" max="12564" width="27.21875" style="19" customWidth="1"/>
    <col min="12565" max="12565" width="14.44140625" style="19" bestFit="1" customWidth="1"/>
    <col min="12566" max="12566" width="11.77734375" style="19" bestFit="1" customWidth="1"/>
    <col min="12567" max="12569" width="8.88671875" style="19"/>
    <col min="12570" max="12570" width="13.44140625" style="19" bestFit="1" customWidth="1"/>
    <col min="12571" max="12781" width="8.88671875" style="19"/>
    <col min="12782" max="12782" width="5.109375" style="19" customWidth="1"/>
    <col min="12783" max="12783" width="49.33203125" style="19" customWidth="1"/>
    <col min="12784" max="12815" width="15.77734375" style="19" customWidth="1"/>
    <col min="12816" max="12817" width="10.5546875" style="19" customWidth="1"/>
    <col min="12818" max="12818" width="11" style="19" customWidth="1"/>
    <col min="12819" max="12819" width="13.109375" style="19" bestFit="1" customWidth="1"/>
    <col min="12820" max="12820" width="27.21875" style="19" customWidth="1"/>
    <col min="12821" max="12821" width="14.44140625" style="19" bestFit="1" customWidth="1"/>
    <col min="12822" max="12822" width="11.77734375" style="19" bestFit="1" customWidth="1"/>
    <col min="12823" max="12825" width="8.88671875" style="19"/>
    <col min="12826" max="12826" width="13.44140625" style="19" bestFit="1" customWidth="1"/>
    <col min="12827" max="13037" width="8.88671875" style="19"/>
    <col min="13038" max="13038" width="5.109375" style="19" customWidth="1"/>
    <col min="13039" max="13039" width="49.33203125" style="19" customWidth="1"/>
    <col min="13040" max="13071" width="15.77734375" style="19" customWidth="1"/>
    <col min="13072" max="13073" width="10.5546875" style="19" customWidth="1"/>
    <col min="13074" max="13074" width="11" style="19" customWidth="1"/>
    <col min="13075" max="13075" width="13.109375" style="19" bestFit="1" customWidth="1"/>
    <col min="13076" max="13076" width="27.21875" style="19" customWidth="1"/>
    <col min="13077" max="13077" width="14.44140625" style="19" bestFit="1" customWidth="1"/>
    <col min="13078" max="13078" width="11.77734375" style="19" bestFit="1" customWidth="1"/>
    <col min="13079" max="13081" width="8.88671875" style="19"/>
    <col min="13082" max="13082" width="13.44140625" style="19" bestFit="1" customWidth="1"/>
    <col min="13083" max="13293" width="8.88671875" style="19"/>
    <col min="13294" max="13294" width="5.109375" style="19" customWidth="1"/>
    <col min="13295" max="13295" width="49.33203125" style="19" customWidth="1"/>
    <col min="13296" max="13327" width="15.77734375" style="19" customWidth="1"/>
    <col min="13328" max="13329" width="10.5546875" style="19" customWidth="1"/>
    <col min="13330" max="13330" width="11" style="19" customWidth="1"/>
    <col min="13331" max="13331" width="13.109375" style="19" bestFit="1" customWidth="1"/>
    <col min="13332" max="13332" width="27.21875" style="19" customWidth="1"/>
    <col min="13333" max="13333" width="14.44140625" style="19" bestFit="1" customWidth="1"/>
    <col min="13334" max="13334" width="11.77734375" style="19" bestFit="1" customWidth="1"/>
    <col min="13335" max="13337" width="8.88671875" style="19"/>
    <col min="13338" max="13338" width="13.44140625" style="19" bestFit="1" customWidth="1"/>
    <col min="13339" max="13549" width="8.88671875" style="19"/>
    <col min="13550" max="13550" width="5.109375" style="19" customWidth="1"/>
    <col min="13551" max="13551" width="49.33203125" style="19" customWidth="1"/>
    <col min="13552" max="13583" width="15.77734375" style="19" customWidth="1"/>
    <col min="13584" max="13585" width="10.5546875" style="19" customWidth="1"/>
    <col min="13586" max="13586" width="11" style="19" customWidth="1"/>
    <col min="13587" max="13587" width="13.109375" style="19" bestFit="1" customWidth="1"/>
    <col min="13588" max="13588" width="27.21875" style="19" customWidth="1"/>
    <col min="13589" max="13589" width="14.44140625" style="19" bestFit="1" customWidth="1"/>
    <col min="13590" max="13590" width="11.77734375" style="19" bestFit="1" customWidth="1"/>
    <col min="13591" max="13593" width="8.88671875" style="19"/>
    <col min="13594" max="13594" width="13.44140625" style="19" bestFit="1" customWidth="1"/>
    <col min="13595" max="13805" width="8.88671875" style="19"/>
    <col min="13806" max="13806" width="5.109375" style="19" customWidth="1"/>
    <col min="13807" max="13807" width="49.33203125" style="19" customWidth="1"/>
    <col min="13808" max="13839" width="15.77734375" style="19" customWidth="1"/>
    <col min="13840" max="13841" width="10.5546875" style="19" customWidth="1"/>
    <col min="13842" max="13842" width="11" style="19" customWidth="1"/>
    <col min="13843" max="13843" width="13.109375" style="19" bestFit="1" customWidth="1"/>
    <col min="13844" max="13844" width="27.21875" style="19" customWidth="1"/>
    <col min="13845" max="13845" width="14.44140625" style="19" bestFit="1" customWidth="1"/>
    <col min="13846" max="13846" width="11.77734375" style="19" bestFit="1" customWidth="1"/>
    <col min="13847" max="13849" width="8.88671875" style="19"/>
    <col min="13850" max="13850" width="13.44140625" style="19" bestFit="1" customWidth="1"/>
    <col min="13851" max="14061" width="8.88671875" style="19"/>
    <col min="14062" max="14062" width="5.109375" style="19" customWidth="1"/>
    <col min="14063" max="14063" width="49.33203125" style="19" customWidth="1"/>
    <col min="14064" max="14095" width="15.77734375" style="19" customWidth="1"/>
    <col min="14096" max="14097" width="10.5546875" style="19" customWidth="1"/>
    <col min="14098" max="14098" width="11" style="19" customWidth="1"/>
    <col min="14099" max="14099" width="13.109375" style="19" bestFit="1" customWidth="1"/>
    <col min="14100" max="14100" width="27.21875" style="19" customWidth="1"/>
    <col min="14101" max="14101" width="14.44140625" style="19" bestFit="1" customWidth="1"/>
    <col min="14102" max="14102" width="11.77734375" style="19" bestFit="1" customWidth="1"/>
    <col min="14103" max="14105" width="8.88671875" style="19"/>
    <col min="14106" max="14106" width="13.44140625" style="19" bestFit="1" customWidth="1"/>
    <col min="14107" max="14317" width="8.88671875" style="19"/>
    <col min="14318" max="14318" width="5.109375" style="19" customWidth="1"/>
    <col min="14319" max="14319" width="49.33203125" style="19" customWidth="1"/>
    <col min="14320" max="14351" width="15.77734375" style="19" customWidth="1"/>
    <col min="14352" max="14353" width="10.5546875" style="19" customWidth="1"/>
    <col min="14354" max="14354" width="11" style="19" customWidth="1"/>
    <col min="14355" max="14355" width="13.109375" style="19" bestFit="1" customWidth="1"/>
    <col min="14356" max="14356" width="27.21875" style="19" customWidth="1"/>
    <col min="14357" max="14357" width="14.44140625" style="19" bestFit="1" customWidth="1"/>
    <col min="14358" max="14358" width="11.77734375" style="19" bestFit="1" customWidth="1"/>
    <col min="14359" max="14361" width="8.88671875" style="19"/>
    <col min="14362" max="14362" width="13.44140625" style="19" bestFit="1" customWidth="1"/>
    <col min="14363" max="14573" width="8.88671875" style="19"/>
    <col min="14574" max="14574" width="5.109375" style="19" customWidth="1"/>
    <col min="14575" max="14575" width="49.33203125" style="19" customWidth="1"/>
    <col min="14576" max="14607" width="15.77734375" style="19" customWidth="1"/>
    <col min="14608" max="14609" width="10.5546875" style="19" customWidth="1"/>
    <col min="14610" max="14610" width="11" style="19" customWidth="1"/>
    <col min="14611" max="14611" width="13.109375" style="19" bestFit="1" customWidth="1"/>
    <col min="14612" max="14612" width="27.21875" style="19" customWidth="1"/>
    <col min="14613" max="14613" width="14.44140625" style="19" bestFit="1" customWidth="1"/>
    <col min="14614" max="14614" width="11.77734375" style="19" bestFit="1" customWidth="1"/>
    <col min="14615" max="14617" width="8.88671875" style="19"/>
    <col min="14618" max="14618" width="13.44140625" style="19" bestFit="1" customWidth="1"/>
    <col min="14619" max="14829" width="8.88671875" style="19"/>
    <col min="14830" max="14830" width="5.109375" style="19" customWidth="1"/>
    <col min="14831" max="14831" width="49.33203125" style="19" customWidth="1"/>
    <col min="14832" max="14863" width="15.77734375" style="19" customWidth="1"/>
    <col min="14864" max="14865" width="10.5546875" style="19" customWidth="1"/>
    <col min="14866" max="14866" width="11" style="19" customWidth="1"/>
    <col min="14867" max="14867" width="13.109375" style="19" bestFit="1" customWidth="1"/>
    <col min="14868" max="14868" width="27.21875" style="19" customWidth="1"/>
    <col min="14869" max="14869" width="14.44140625" style="19" bestFit="1" customWidth="1"/>
    <col min="14870" max="14870" width="11.77734375" style="19" bestFit="1" customWidth="1"/>
    <col min="14871" max="14873" width="8.88671875" style="19"/>
    <col min="14874" max="14874" width="13.44140625" style="19" bestFit="1" customWidth="1"/>
    <col min="14875" max="15085" width="8.88671875" style="19"/>
    <col min="15086" max="15086" width="5.109375" style="19" customWidth="1"/>
    <col min="15087" max="15087" width="49.33203125" style="19" customWidth="1"/>
    <col min="15088" max="15119" width="15.77734375" style="19" customWidth="1"/>
    <col min="15120" max="15121" width="10.5546875" style="19" customWidth="1"/>
    <col min="15122" max="15122" width="11" style="19" customWidth="1"/>
    <col min="15123" max="15123" width="13.109375" style="19" bestFit="1" customWidth="1"/>
    <col min="15124" max="15124" width="27.21875" style="19" customWidth="1"/>
    <col min="15125" max="15125" width="14.44140625" style="19" bestFit="1" customWidth="1"/>
    <col min="15126" max="15126" width="11.77734375" style="19" bestFit="1" customWidth="1"/>
    <col min="15127" max="15129" width="8.88671875" style="19"/>
    <col min="15130" max="15130" width="13.44140625" style="19" bestFit="1" customWidth="1"/>
    <col min="15131" max="15341" width="8.88671875" style="19"/>
    <col min="15342" max="15342" width="5.109375" style="19" customWidth="1"/>
    <col min="15343" max="15343" width="49.33203125" style="19" customWidth="1"/>
    <col min="15344" max="15375" width="15.77734375" style="19" customWidth="1"/>
    <col min="15376" max="15377" width="10.5546875" style="19" customWidth="1"/>
    <col min="15378" max="15378" width="11" style="19" customWidth="1"/>
    <col min="15379" max="15379" width="13.109375" style="19" bestFit="1" customWidth="1"/>
    <col min="15380" max="15380" width="27.21875" style="19" customWidth="1"/>
    <col min="15381" max="15381" width="14.44140625" style="19" bestFit="1" customWidth="1"/>
    <col min="15382" max="15382" width="11.77734375" style="19" bestFit="1" customWidth="1"/>
    <col min="15383" max="15385" width="8.88671875" style="19"/>
    <col min="15386" max="15386" width="13.44140625" style="19" bestFit="1" customWidth="1"/>
    <col min="15387" max="15597" width="8.88671875" style="19"/>
    <col min="15598" max="15598" width="5.109375" style="19" customWidth="1"/>
    <col min="15599" max="15599" width="49.33203125" style="19" customWidth="1"/>
    <col min="15600" max="15631" width="15.77734375" style="19" customWidth="1"/>
    <col min="15632" max="15633" width="10.5546875" style="19" customWidth="1"/>
    <col min="15634" max="15634" width="11" style="19" customWidth="1"/>
    <col min="15635" max="15635" width="13.109375" style="19" bestFit="1" customWidth="1"/>
    <col min="15636" max="15636" width="27.21875" style="19" customWidth="1"/>
    <col min="15637" max="15637" width="14.44140625" style="19" bestFit="1" customWidth="1"/>
    <col min="15638" max="15638" width="11.77734375" style="19" bestFit="1" customWidth="1"/>
    <col min="15639" max="15641" width="8.88671875" style="19"/>
    <col min="15642" max="15642" width="13.44140625" style="19" bestFit="1" customWidth="1"/>
    <col min="15643" max="15853" width="8.88671875" style="19"/>
    <col min="15854" max="15854" width="5.109375" style="19" customWidth="1"/>
    <col min="15855" max="15855" width="49.33203125" style="19" customWidth="1"/>
    <col min="15856" max="15887" width="15.77734375" style="19" customWidth="1"/>
    <col min="15888" max="15889" width="10.5546875" style="19" customWidth="1"/>
    <col min="15890" max="15890" width="11" style="19" customWidth="1"/>
    <col min="15891" max="15891" width="13.109375" style="19" bestFit="1" customWidth="1"/>
    <col min="15892" max="15892" width="27.21875" style="19" customWidth="1"/>
    <col min="15893" max="15893" width="14.44140625" style="19" bestFit="1" customWidth="1"/>
    <col min="15894" max="15894" width="11.77734375" style="19" bestFit="1" customWidth="1"/>
    <col min="15895" max="15897" width="8.88671875" style="19"/>
    <col min="15898" max="15898" width="13.44140625" style="19" bestFit="1" customWidth="1"/>
    <col min="15899" max="16109" width="8.88671875" style="19"/>
    <col min="16110" max="16110" width="5.109375" style="19" customWidth="1"/>
    <col min="16111" max="16111" width="49.33203125" style="19" customWidth="1"/>
    <col min="16112" max="16143" width="15.77734375" style="19" customWidth="1"/>
    <col min="16144" max="16145" width="10.5546875" style="19" customWidth="1"/>
    <col min="16146" max="16146" width="11" style="19" customWidth="1"/>
    <col min="16147" max="16147" width="13.109375" style="19" bestFit="1" customWidth="1"/>
    <col min="16148" max="16148" width="27.21875" style="19" customWidth="1"/>
    <col min="16149" max="16149" width="14.44140625" style="19" bestFit="1" customWidth="1"/>
    <col min="16150" max="16150" width="11.77734375" style="19" bestFit="1" customWidth="1"/>
    <col min="16151" max="16153" width="8.88671875" style="19"/>
    <col min="16154" max="16154" width="13.44140625" style="19" bestFit="1" customWidth="1"/>
    <col min="16155" max="16384" width="8.88671875" style="19"/>
  </cols>
  <sheetData>
    <row r="1" spans="1:22" ht="15.75" customHeight="1" x14ac:dyDescent="0.2">
      <c r="A1" s="115" t="s">
        <v>59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2" x14ac:dyDescent="0.2">
      <c r="B2" s="9"/>
      <c r="C2" s="9"/>
      <c r="D2" s="9"/>
      <c r="E2" s="11"/>
      <c r="F2" s="11"/>
      <c r="G2" s="9"/>
      <c r="H2" s="9"/>
      <c r="I2" s="9"/>
      <c r="J2" s="9"/>
      <c r="K2" s="12"/>
      <c r="L2" s="9"/>
      <c r="M2" s="9"/>
      <c r="N2" s="12"/>
      <c r="O2" s="13"/>
    </row>
    <row r="3" spans="1:22" s="25" customFormat="1" ht="18" customHeight="1" x14ac:dyDescent="0.2">
      <c r="A3" s="116" t="s">
        <v>16</v>
      </c>
      <c r="B3" s="118" t="s">
        <v>17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2" t="s">
        <v>18</v>
      </c>
      <c r="P3" s="20"/>
      <c r="Q3" s="20"/>
      <c r="R3" s="21"/>
      <c r="S3" s="22"/>
      <c r="T3" s="23" t="s">
        <v>0</v>
      </c>
      <c r="U3" s="24"/>
      <c r="V3" s="24"/>
    </row>
    <row r="4" spans="1:22" s="25" customFormat="1" ht="18" customHeight="1" x14ac:dyDescent="0.2">
      <c r="A4" s="117"/>
      <c r="B4" s="119"/>
      <c r="C4" s="26" t="s">
        <v>39</v>
      </c>
      <c r="D4" s="26" t="s">
        <v>40</v>
      </c>
      <c r="E4" s="26" t="s">
        <v>41</v>
      </c>
      <c r="F4" s="26" t="s">
        <v>42</v>
      </c>
      <c r="G4" s="26" t="s">
        <v>43</v>
      </c>
      <c r="H4" s="26" t="s">
        <v>44</v>
      </c>
      <c r="I4" s="26" t="s">
        <v>45</v>
      </c>
      <c r="J4" s="26" t="s">
        <v>46</v>
      </c>
      <c r="K4" s="26" t="s">
        <v>47</v>
      </c>
      <c r="L4" s="26" t="s">
        <v>48</v>
      </c>
      <c r="M4" s="26" t="s">
        <v>49</v>
      </c>
      <c r="N4" s="26" t="s">
        <v>50</v>
      </c>
      <c r="O4" s="122"/>
      <c r="P4" s="27"/>
      <c r="Q4" s="27"/>
      <c r="R4" s="14"/>
      <c r="S4" s="28"/>
      <c r="T4" s="23" t="s">
        <v>19</v>
      </c>
      <c r="U4" s="29"/>
      <c r="V4" s="30"/>
    </row>
    <row r="5" spans="1:22" s="25" customFormat="1" ht="18" customHeight="1" x14ac:dyDescent="0.2">
      <c r="A5" s="31">
        <v>1</v>
      </c>
      <c r="B5" s="32" t="s">
        <v>2</v>
      </c>
      <c r="C5" s="32">
        <f>'JANUARI 26'!AH5</f>
        <v>431240000</v>
      </c>
      <c r="D5" s="32">
        <f>'Februari 26'!AE5</f>
        <v>171292000</v>
      </c>
      <c r="E5" s="32">
        <f>'mARET 26'!AH5</f>
        <v>381172000</v>
      </c>
      <c r="F5" s="34">
        <f>'APRIL 26'!AG5</f>
        <v>381976000</v>
      </c>
      <c r="G5" s="34">
        <f>'mei 26'!AH5</f>
        <v>457404000</v>
      </c>
      <c r="H5" s="32">
        <f>'JUNI IRMA'!AG5</f>
        <v>297888000</v>
      </c>
      <c r="I5" s="32"/>
      <c r="J5" s="32"/>
      <c r="K5" s="32"/>
      <c r="L5" s="32"/>
      <c r="M5" s="32"/>
      <c r="N5" s="32"/>
      <c r="O5" s="35">
        <f t="shared" ref="O5:O22" si="0">SUM(C5:N5)</f>
        <v>2120972000</v>
      </c>
      <c r="P5" s="36">
        <f>O5/4000</f>
        <v>530243</v>
      </c>
      <c r="Q5" s="36"/>
      <c r="R5" s="37">
        <f>SUM(O5+Q5)</f>
        <v>2120972000</v>
      </c>
      <c r="S5" s="38"/>
      <c r="T5" s="3" t="s">
        <v>2</v>
      </c>
      <c r="U5" s="39">
        <f t="shared" ref="U5:U23" si="1">O5</f>
        <v>2120972000</v>
      </c>
      <c r="V5" s="30"/>
    </row>
    <row r="6" spans="1:22" s="25" customFormat="1" ht="18" customHeight="1" x14ac:dyDescent="0.2">
      <c r="A6" s="40">
        <v>2</v>
      </c>
      <c r="B6" s="41" t="s">
        <v>3</v>
      </c>
      <c r="C6" s="32">
        <f>'JANUARI 26'!AH6</f>
        <v>109434000</v>
      </c>
      <c r="D6" s="32">
        <f>'Februari 26'!AE6</f>
        <v>31365000</v>
      </c>
      <c r="E6" s="32">
        <f>'mARET 26'!AH6</f>
        <v>108834000</v>
      </c>
      <c r="F6" s="34">
        <f>'APRIL 26'!AG6</f>
        <v>83025000</v>
      </c>
      <c r="G6" s="34">
        <f>'mei 26'!AH6</f>
        <v>97482000</v>
      </c>
      <c r="H6" s="32">
        <f>'JUNI IRMA'!AG6</f>
        <v>69324000</v>
      </c>
      <c r="I6" s="41"/>
      <c r="J6" s="41"/>
      <c r="K6" s="41"/>
      <c r="L6" s="41"/>
      <c r="M6" s="41"/>
      <c r="N6" s="41"/>
      <c r="O6" s="84">
        <f t="shared" si="0"/>
        <v>499464000</v>
      </c>
      <c r="P6" s="36">
        <f>O6/3000</f>
        <v>166488</v>
      </c>
      <c r="Q6" s="36"/>
      <c r="R6" s="37">
        <f t="shared" ref="R6:R22" si="2">SUM(O6+Q6)</f>
        <v>499464000</v>
      </c>
      <c r="S6" s="38"/>
      <c r="T6" s="3" t="s">
        <v>3</v>
      </c>
      <c r="U6" s="39">
        <f t="shared" si="1"/>
        <v>499464000</v>
      </c>
      <c r="V6" s="30"/>
    </row>
    <row r="7" spans="1:22" s="25" customFormat="1" ht="18" customHeight="1" x14ac:dyDescent="0.2">
      <c r="A7" s="40">
        <v>3</v>
      </c>
      <c r="B7" s="41" t="s">
        <v>4</v>
      </c>
      <c r="C7" s="32">
        <f>'JANUARI 26'!AH7</f>
        <v>0</v>
      </c>
      <c r="D7" s="32">
        <f>'Februari 26'!AE7</f>
        <v>0</v>
      </c>
      <c r="E7" s="32">
        <f>'mARET 26'!AH7</f>
        <v>0</v>
      </c>
      <c r="F7" s="34">
        <f>'APRIL 26'!AG7</f>
        <v>0</v>
      </c>
      <c r="G7" s="34">
        <f>'mei 26'!AH7</f>
        <v>0</v>
      </c>
      <c r="H7" s="32">
        <f>'JUNI IRMA'!AG7</f>
        <v>0</v>
      </c>
      <c r="I7" s="41"/>
      <c r="J7" s="41"/>
      <c r="K7" s="41"/>
      <c r="L7" s="41"/>
      <c r="M7" s="41"/>
      <c r="N7" s="41"/>
      <c r="O7" s="84">
        <f t="shared" si="0"/>
        <v>0</v>
      </c>
      <c r="P7" s="36">
        <f>O7/3000</f>
        <v>0</v>
      </c>
      <c r="Q7" s="36"/>
      <c r="R7" s="37">
        <f t="shared" si="2"/>
        <v>0</v>
      </c>
      <c r="S7" s="38"/>
      <c r="T7" s="3" t="s">
        <v>4</v>
      </c>
      <c r="U7" s="39">
        <f t="shared" si="1"/>
        <v>0</v>
      </c>
      <c r="V7" s="30"/>
    </row>
    <row r="8" spans="1:22" s="25" customFormat="1" ht="18" customHeight="1" x14ac:dyDescent="0.2">
      <c r="A8" s="40">
        <v>4</v>
      </c>
      <c r="B8" s="41" t="s">
        <v>5</v>
      </c>
      <c r="C8" s="32">
        <f>'JANUARI 26'!AH8</f>
        <v>0</v>
      </c>
      <c r="D8" s="32">
        <f>'Februari 26'!AE8</f>
        <v>0</v>
      </c>
      <c r="E8" s="32">
        <f>'mARET 26'!AH8</f>
        <v>0</v>
      </c>
      <c r="F8" s="34">
        <f>'APRIL 26'!AG8</f>
        <v>0</v>
      </c>
      <c r="G8" s="34">
        <f>'mei 26'!AH8</f>
        <v>0</v>
      </c>
      <c r="H8" s="32">
        <f>'JUNI IRMA'!AG8</f>
        <v>0</v>
      </c>
      <c r="I8" s="41"/>
      <c r="J8" s="41"/>
      <c r="K8" s="41"/>
      <c r="L8" s="41"/>
      <c r="M8" s="41"/>
      <c r="N8" s="41"/>
      <c r="O8" s="84">
        <f t="shared" si="0"/>
        <v>0</v>
      </c>
      <c r="P8" s="36">
        <f>O8/2250</f>
        <v>0</v>
      </c>
      <c r="Q8" s="36"/>
      <c r="R8" s="37">
        <f t="shared" si="2"/>
        <v>0</v>
      </c>
      <c r="S8" s="38"/>
      <c r="T8" s="3" t="s">
        <v>5</v>
      </c>
      <c r="U8" s="39">
        <f t="shared" si="1"/>
        <v>0</v>
      </c>
      <c r="V8" s="30"/>
    </row>
    <row r="9" spans="1:22" s="25" customFormat="1" ht="18" customHeight="1" x14ac:dyDescent="0.2">
      <c r="A9" s="40">
        <v>5</v>
      </c>
      <c r="B9" s="43" t="s">
        <v>20</v>
      </c>
      <c r="C9" s="32">
        <f>'JANUARI 26'!AH9</f>
        <v>9700000</v>
      </c>
      <c r="D9" s="32">
        <f>'Februari 26'!AE9</f>
        <v>3495000</v>
      </c>
      <c r="E9" s="32">
        <f>'mARET 26'!AH9</f>
        <v>8655000</v>
      </c>
      <c r="F9" s="34">
        <f>'APRIL 26'!AG9</f>
        <v>9382500</v>
      </c>
      <c r="G9" s="34">
        <f>'mei 26'!AH9</f>
        <v>12290000</v>
      </c>
      <c r="H9" s="32">
        <f>'JUNI IRMA'!AG9</f>
        <v>9205000</v>
      </c>
      <c r="I9" s="41"/>
      <c r="J9" s="41"/>
      <c r="K9" s="41"/>
      <c r="L9" s="41"/>
      <c r="M9" s="41"/>
      <c r="N9" s="41"/>
      <c r="O9" s="84">
        <f t="shared" si="0"/>
        <v>52727500</v>
      </c>
      <c r="P9" s="36">
        <f>O9/2500</f>
        <v>21091</v>
      </c>
      <c r="Q9" s="36"/>
      <c r="R9" s="37"/>
      <c r="S9" s="38"/>
      <c r="T9" s="3"/>
      <c r="U9" s="39"/>
      <c r="V9" s="30"/>
    </row>
    <row r="10" spans="1:22" s="25" customFormat="1" ht="18" customHeight="1" x14ac:dyDescent="0.2">
      <c r="A10" s="40">
        <v>6</v>
      </c>
      <c r="B10" s="44" t="s">
        <v>21</v>
      </c>
      <c r="C10" s="32">
        <f>'JANUARI 26'!AH10</f>
        <v>19500000</v>
      </c>
      <c r="D10" s="32">
        <f>'Februari 26'!AE10</f>
        <v>3108000</v>
      </c>
      <c r="E10" s="32">
        <f>'mARET 26'!AH10</f>
        <v>21252000</v>
      </c>
      <c r="F10" s="34">
        <f>'APRIL 26'!AG10</f>
        <v>4806000</v>
      </c>
      <c r="G10" s="34">
        <f>'mei 26'!AH10</f>
        <v>4902000</v>
      </c>
      <c r="H10" s="32">
        <f>'JUNI IRMA'!AG10</f>
        <v>19956000</v>
      </c>
      <c r="I10" s="44"/>
      <c r="J10" s="44"/>
      <c r="K10" s="44"/>
      <c r="L10" s="44"/>
      <c r="M10" s="45"/>
      <c r="N10" s="45"/>
      <c r="O10" s="84">
        <f t="shared" si="0"/>
        <v>73524000</v>
      </c>
      <c r="P10" s="36">
        <f>O10/6000</f>
        <v>12254</v>
      </c>
      <c r="Q10" s="36"/>
      <c r="R10" s="37">
        <f t="shared" si="2"/>
        <v>73524000</v>
      </c>
      <c r="S10" s="38"/>
      <c r="T10" s="3" t="s">
        <v>10</v>
      </c>
      <c r="U10" s="39">
        <f t="shared" si="1"/>
        <v>73524000</v>
      </c>
      <c r="V10" s="30"/>
    </row>
    <row r="11" spans="1:22" s="50" customFormat="1" ht="18" customHeight="1" x14ac:dyDescent="0.2">
      <c r="A11" s="40">
        <v>7</v>
      </c>
      <c r="B11" s="44" t="s">
        <v>22</v>
      </c>
      <c r="C11" s="32">
        <f>'JANUARI 26'!AH11</f>
        <v>11424000</v>
      </c>
      <c r="D11" s="32">
        <f>'Februari 26'!AE11</f>
        <v>1788000</v>
      </c>
      <c r="E11" s="32">
        <f>'mARET 26'!AH11</f>
        <v>15870000</v>
      </c>
      <c r="F11" s="34">
        <f>'APRIL 26'!AG11</f>
        <v>2262000</v>
      </c>
      <c r="G11" s="34">
        <f>'mei 26'!AH11</f>
        <v>3252000</v>
      </c>
      <c r="H11" s="32">
        <f>'JUNI IRMA'!AG11</f>
        <v>11988000</v>
      </c>
      <c r="I11" s="44"/>
      <c r="J11" s="44"/>
      <c r="K11" s="44"/>
      <c r="L11" s="44"/>
      <c r="M11" s="45"/>
      <c r="N11" s="45"/>
      <c r="O11" s="84">
        <f t="shared" si="0"/>
        <v>46584000</v>
      </c>
      <c r="P11" s="36">
        <f>O11/6000</f>
        <v>7764</v>
      </c>
      <c r="Q11" s="36"/>
      <c r="R11" s="37">
        <f t="shared" si="2"/>
        <v>46584000</v>
      </c>
      <c r="S11" s="47"/>
      <c r="T11" s="48" t="s">
        <v>23</v>
      </c>
      <c r="U11" s="39">
        <f t="shared" si="1"/>
        <v>46584000</v>
      </c>
      <c r="V11" s="49"/>
    </row>
    <row r="12" spans="1:22" s="50" customFormat="1" ht="18" customHeight="1" x14ac:dyDescent="0.2">
      <c r="A12" s="40">
        <v>8</v>
      </c>
      <c r="B12" s="44" t="s">
        <v>24</v>
      </c>
      <c r="C12" s="32">
        <f>'JANUARI 26'!AH12</f>
        <v>0</v>
      </c>
      <c r="D12" s="32">
        <f>'Februari 26'!AE12</f>
        <v>0</v>
      </c>
      <c r="E12" s="32">
        <f>'mARET 26'!AH12</f>
        <v>0</v>
      </c>
      <c r="F12" s="34">
        <f>'APRIL 26'!AG12</f>
        <v>0</v>
      </c>
      <c r="G12" s="34">
        <f>'mei 26'!AH12</f>
        <v>0</v>
      </c>
      <c r="H12" s="32">
        <f>'JUNI IRMA'!AG12</f>
        <v>0</v>
      </c>
      <c r="I12" s="44"/>
      <c r="J12" s="44"/>
      <c r="K12" s="44"/>
      <c r="L12" s="44"/>
      <c r="M12" s="45"/>
      <c r="N12" s="45"/>
      <c r="O12" s="84">
        <f t="shared" si="0"/>
        <v>0</v>
      </c>
      <c r="P12" s="36">
        <f>O12/4500</f>
        <v>0</v>
      </c>
      <c r="Q12" s="36"/>
      <c r="R12" s="37">
        <f t="shared" si="2"/>
        <v>0</v>
      </c>
      <c r="S12" s="47"/>
      <c r="T12" s="48" t="s">
        <v>25</v>
      </c>
      <c r="U12" s="39">
        <f t="shared" si="1"/>
        <v>0</v>
      </c>
      <c r="V12" s="49"/>
    </row>
    <row r="13" spans="1:22" s="50" customFormat="1" ht="18" customHeight="1" x14ac:dyDescent="0.2">
      <c r="A13" s="40">
        <v>9</v>
      </c>
      <c r="B13" s="44" t="s">
        <v>26</v>
      </c>
      <c r="C13" s="32">
        <f>'JANUARI 26'!AH13</f>
        <v>0</v>
      </c>
      <c r="D13" s="32">
        <f>'Februari 26'!AE13</f>
        <v>0</v>
      </c>
      <c r="E13" s="32">
        <f>'mARET 26'!AH13</f>
        <v>0</v>
      </c>
      <c r="F13" s="34">
        <f>'APRIL 26'!AG13</f>
        <v>0</v>
      </c>
      <c r="G13" s="34">
        <f>'mei 26'!AH13</f>
        <v>0</v>
      </c>
      <c r="H13" s="32">
        <f>'JUNI IRMA'!AG13</f>
        <v>0</v>
      </c>
      <c r="I13" s="44"/>
      <c r="J13" s="44"/>
      <c r="K13" s="44"/>
      <c r="L13" s="44"/>
      <c r="M13" s="45"/>
      <c r="N13" s="45"/>
      <c r="O13" s="84">
        <f t="shared" si="0"/>
        <v>0</v>
      </c>
      <c r="P13" s="36">
        <f>O13/4500</f>
        <v>0</v>
      </c>
      <c r="Q13" s="36"/>
      <c r="R13" s="37">
        <f t="shared" si="2"/>
        <v>0</v>
      </c>
      <c r="S13" s="47"/>
      <c r="T13" s="48" t="s">
        <v>27</v>
      </c>
      <c r="U13" s="39">
        <f t="shared" si="1"/>
        <v>0</v>
      </c>
      <c r="V13" s="49"/>
    </row>
    <row r="14" spans="1:22" s="50" customFormat="1" ht="18" customHeight="1" x14ac:dyDescent="0.2">
      <c r="A14" s="40">
        <v>10</v>
      </c>
      <c r="B14" s="52" t="s">
        <v>28</v>
      </c>
      <c r="C14" s="32">
        <f>'JANUARI 26'!AH14</f>
        <v>91005000</v>
      </c>
      <c r="D14" s="32">
        <f>'Februari 26'!AE14</f>
        <v>36307500</v>
      </c>
      <c r="E14" s="32">
        <f>'mARET 26'!AH14</f>
        <v>90585000</v>
      </c>
      <c r="F14" s="34">
        <f>'APRIL 26'!AG14</f>
        <v>49125000</v>
      </c>
      <c r="G14" s="34">
        <f>'mei 26'!AH14</f>
        <v>95880000</v>
      </c>
      <c r="H14" s="32">
        <f>'JUNI IRMA'!AG14</f>
        <v>85530000</v>
      </c>
      <c r="I14" s="52"/>
      <c r="J14" s="52"/>
      <c r="K14" s="52"/>
      <c r="L14" s="52"/>
      <c r="M14" s="53"/>
      <c r="N14" s="53"/>
      <c r="O14" s="84">
        <f t="shared" si="0"/>
        <v>448432500</v>
      </c>
      <c r="P14" s="36">
        <f>O14/7500</f>
        <v>59791</v>
      </c>
      <c r="Q14" s="36"/>
      <c r="R14" s="37">
        <f t="shared" si="2"/>
        <v>448432500</v>
      </c>
      <c r="S14" s="47"/>
      <c r="T14" s="48" t="s">
        <v>29</v>
      </c>
      <c r="U14" s="39">
        <f t="shared" si="1"/>
        <v>448432500</v>
      </c>
      <c r="V14" s="49"/>
    </row>
    <row r="15" spans="1:22" s="11" customFormat="1" ht="18" customHeight="1" x14ac:dyDescent="0.2">
      <c r="A15" s="40">
        <v>11</v>
      </c>
      <c r="B15" s="52" t="s">
        <v>30</v>
      </c>
      <c r="C15" s="32">
        <f>'JANUARI 26'!AH15</f>
        <v>78067500</v>
      </c>
      <c r="D15" s="32">
        <f>'Februari 26'!AE15</f>
        <v>28942500</v>
      </c>
      <c r="E15" s="32">
        <f>'mARET 26'!AH15</f>
        <v>67500000</v>
      </c>
      <c r="F15" s="34">
        <f>'APRIL 26'!AG15</f>
        <v>36210000</v>
      </c>
      <c r="G15" s="34">
        <f>'mei 26'!AH15</f>
        <v>66495000</v>
      </c>
      <c r="H15" s="32">
        <f>'JUNI IRMA'!AG15</f>
        <v>61597500</v>
      </c>
      <c r="I15" s="52"/>
      <c r="J15" s="52"/>
      <c r="K15" s="52"/>
      <c r="L15" s="52"/>
      <c r="M15" s="53"/>
      <c r="N15" s="53"/>
      <c r="O15" s="84">
        <f t="shared" si="0"/>
        <v>338812500</v>
      </c>
      <c r="P15" s="36">
        <f>O15/7500</f>
        <v>45175</v>
      </c>
      <c r="Q15" s="36"/>
      <c r="R15" s="37">
        <f t="shared" si="2"/>
        <v>338812500</v>
      </c>
      <c r="S15" s="38"/>
      <c r="T15" s="54" t="s">
        <v>21</v>
      </c>
      <c r="U15" s="39">
        <f t="shared" si="1"/>
        <v>338812500</v>
      </c>
      <c r="V15" s="29"/>
    </row>
    <row r="16" spans="1:22" s="11" customFormat="1" ht="18" customHeight="1" x14ac:dyDescent="0.2">
      <c r="A16" s="40">
        <v>12</v>
      </c>
      <c r="B16" s="55" t="s">
        <v>31</v>
      </c>
      <c r="C16" s="32">
        <f>'JANUARI 26'!AH16</f>
        <v>0</v>
      </c>
      <c r="D16" s="32">
        <f>'Februari 26'!AE16</f>
        <v>0</v>
      </c>
      <c r="E16" s="32">
        <f>'mARET 26'!AH16</f>
        <v>0</v>
      </c>
      <c r="F16" s="34">
        <f>'APRIL 26'!AG16</f>
        <v>0</v>
      </c>
      <c r="G16" s="34">
        <f>'mei 26'!AH16</f>
        <v>0</v>
      </c>
      <c r="H16" s="32">
        <f>'JUNI IRMA'!AG16</f>
        <v>0</v>
      </c>
      <c r="I16" s="52"/>
      <c r="J16" s="52"/>
      <c r="K16" s="52"/>
      <c r="L16" s="52"/>
      <c r="M16" s="56"/>
      <c r="N16" s="56"/>
      <c r="O16" s="84">
        <f t="shared" si="0"/>
        <v>0</v>
      </c>
      <c r="P16" s="36">
        <f>O16/5625</f>
        <v>0</v>
      </c>
      <c r="Q16" s="36"/>
      <c r="R16" s="37">
        <f t="shared" si="2"/>
        <v>0</v>
      </c>
      <c r="S16" s="38"/>
      <c r="T16" s="54" t="s">
        <v>22</v>
      </c>
      <c r="U16" s="39">
        <f t="shared" si="1"/>
        <v>0</v>
      </c>
      <c r="V16" s="29"/>
    </row>
    <row r="17" spans="1:22" s="11" customFormat="1" ht="18" customHeight="1" x14ac:dyDescent="0.2">
      <c r="A17" s="40">
        <v>13</v>
      </c>
      <c r="B17" s="52" t="s">
        <v>32</v>
      </c>
      <c r="C17" s="32">
        <f>'JANUARI 26'!AH17</f>
        <v>0</v>
      </c>
      <c r="D17" s="32">
        <f>'Februari 26'!AE17</f>
        <v>0</v>
      </c>
      <c r="E17" s="32">
        <f>'mARET 26'!AH17</f>
        <v>0</v>
      </c>
      <c r="F17" s="34">
        <f>'APRIL 26'!AG17</f>
        <v>0</v>
      </c>
      <c r="G17" s="34">
        <f>'mei 26'!AH17</f>
        <v>0</v>
      </c>
      <c r="H17" s="32">
        <f>'JUNI IRMA'!AG17</f>
        <v>0</v>
      </c>
      <c r="I17" s="52"/>
      <c r="J17" s="52"/>
      <c r="K17" s="52"/>
      <c r="L17" s="52"/>
      <c r="M17" s="56"/>
      <c r="N17" s="56"/>
      <c r="O17" s="84">
        <f t="shared" si="0"/>
        <v>0</v>
      </c>
      <c r="P17" s="36">
        <f>O17/5625</f>
        <v>0</v>
      </c>
      <c r="Q17" s="36"/>
      <c r="R17" s="37">
        <f t="shared" si="2"/>
        <v>0</v>
      </c>
      <c r="S17" s="38"/>
      <c r="T17" s="54" t="s">
        <v>24</v>
      </c>
      <c r="U17" s="39">
        <f t="shared" si="1"/>
        <v>0</v>
      </c>
      <c r="V17" s="29"/>
    </row>
    <row r="18" spans="1:22" s="11" customFormat="1" ht="18" customHeight="1" x14ac:dyDescent="0.2">
      <c r="A18" s="40">
        <v>14</v>
      </c>
      <c r="B18" s="41" t="s">
        <v>6</v>
      </c>
      <c r="C18" s="32">
        <f>'JANUARI 26'!AH18</f>
        <v>0</v>
      </c>
      <c r="D18" s="32">
        <f>'Februari 26'!AE18</f>
        <v>0</v>
      </c>
      <c r="E18" s="32">
        <f>'mARET 26'!AH18</f>
        <v>0</v>
      </c>
      <c r="F18" s="34">
        <f>'APRIL 26'!AG18</f>
        <v>0</v>
      </c>
      <c r="G18" s="34">
        <f>'mei 26'!AH18</f>
        <v>0</v>
      </c>
      <c r="H18" s="32">
        <f>'JUNI IRMA'!AG18</f>
        <v>0</v>
      </c>
      <c r="I18" s="41"/>
      <c r="J18" s="41"/>
      <c r="K18" s="41"/>
      <c r="L18" s="41"/>
      <c r="M18" s="57"/>
      <c r="N18" s="57"/>
      <c r="O18" s="84">
        <f t="shared" si="0"/>
        <v>0</v>
      </c>
      <c r="P18" s="36">
        <f>O18/15000</f>
        <v>0</v>
      </c>
      <c r="Q18" s="37"/>
      <c r="R18" s="37">
        <f t="shared" si="2"/>
        <v>0</v>
      </c>
      <c r="S18" s="38"/>
      <c r="T18" s="54" t="s">
        <v>26</v>
      </c>
      <c r="U18" s="39">
        <f t="shared" si="1"/>
        <v>0</v>
      </c>
      <c r="V18" s="29"/>
    </row>
    <row r="19" spans="1:22" s="11" customFormat="1" ht="18" customHeight="1" x14ac:dyDescent="0.2">
      <c r="A19" s="40">
        <v>15</v>
      </c>
      <c r="B19" s="41" t="s">
        <v>7</v>
      </c>
      <c r="C19" s="32">
        <f>'JANUARI 26'!AH19</f>
        <v>0</v>
      </c>
      <c r="D19" s="32">
        <f>'Februari 26'!AE19</f>
        <v>0</v>
      </c>
      <c r="E19" s="32">
        <f>'mARET 26'!AH19</f>
        <v>0</v>
      </c>
      <c r="F19" s="34">
        <f>'APRIL 26'!AG19</f>
        <v>0</v>
      </c>
      <c r="G19" s="34">
        <f>'mei 26'!AH19</f>
        <v>0</v>
      </c>
      <c r="H19" s="32">
        <f>'JUNI IRMA'!AG19</f>
        <v>0</v>
      </c>
      <c r="I19" s="41"/>
      <c r="J19" s="41"/>
      <c r="K19" s="41"/>
      <c r="L19" s="41"/>
      <c r="M19" s="57"/>
      <c r="N19" s="57"/>
      <c r="O19" s="84">
        <f t="shared" si="0"/>
        <v>0</v>
      </c>
      <c r="P19" s="36">
        <f>O19/12500</f>
        <v>0</v>
      </c>
      <c r="Q19" s="37"/>
      <c r="R19" s="37">
        <f t="shared" si="2"/>
        <v>0</v>
      </c>
      <c r="S19" s="38"/>
      <c r="T19" s="58" t="s">
        <v>28</v>
      </c>
      <c r="U19" s="39">
        <f t="shared" si="1"/>
        <v>0</v>
      </c>
      <c r="V19" s="29"/>
    </row>
    <row r="20" spans="1:22" s="11" customFormat="1" ht="18" customHeight="1" x14ac:dyDescent="0.2">
      <c r="A20" s="40">
        <v>16</v>
      </c>
      <c r="B20" s="41" t="s">
        <v>8</v>
      </c>
      <c r="C20" s="32">
        <f>'JANUARI 26'!AH20</f>
        <v>0</v>
      </c>
      <c r="D20" s="32">
        <f>'Februari 26'!AE20</f>
        <v>0</v>
      </c>
      <c r="E20" s="32">
        <f>'mARET 26'!AH20</f>
        <v>0</v>
      </c>
      <c r="F20" s="34">
        <f>'APRIL 26'!AG20</f>
        <v>0</v>
      </c>
      <c r="G20" s="34">
        <f>'mei 26'!AH20</f>
        <v>0</v>
      </c>
      <c r="H20" s="32">
        <f>'JUNI IRMA'!AG20</f>
        <v>0</v>
      </c>
      <c r="I20" s="41"/>
      <c r="J20" s="41"/>
      <c r="K20" s="41"/>
      <c r="L20" s="41"/>
      <c r="M20" s="57"/>
      <c r="N20" s="57"/>
      <c r="O20" s="84">
        <f t="shared" si="0"/>
        <v>0</v>
      </c>
      <c r="P20" s="36">
        <f>O20/6000</f>
        <v>0</v>
      </c>
      <c r="Q20" s="37"/>
      <c r="R20" s="37">
        <f t="shared" si="2"/>
        <v>0</v>
      </c>
      <c r="S20" s="38"/>
      <c r="T20" s="58" t="s">
        <v>30</v>
      </c>
      <c r="U20" s="39">
        <f t="shared" si="1"/>
        <v>0</v>
      </c>
      <c r="V20" s="29"/>
    </row>
    <row r="21" spans="1:22" s="11" customFormat="1" ht="18" customHeight="1" x14ac:dyDescent="0.2">
      <c r="A21" s="40">
        <v>17</v>
      </c>
      <c r="B21" s="41" t="s">
        <v>9</v>
      </c>
      <c r="C21" s="32">
        <f>'JANUARI 26'!AH21</f>
        <v>0</v>
      </c>
      <c r="D21" s="32">
        <f>'Februari 26'!AE21</f>
        <v>0</v>
      </c>
      <c r="E21" s="32">
        <f>'mARET 26'!AH21</f>
        <v>0</v>
      </c>
      <c r="F21" s="34">
        <f>'APRIL 26'!AG21</f>
        <v>0</v>
      </c>
      <c r="G21" s="34">
        <f>'mei 26'!AH21</f>
        <v>0</v>
      </c>
      <c r="H21" s="32">
        <f>'JUNI IRMA'!AG21</f>
        <v>0</v>
      </c>
      <c r="I21" s="41"/>
      <c r="J21" s="41"/>
      <c r="K21" s="41"/>
      <c r="L21" s="41"/>
      <c r="M21" s="57"/>
      <c r="N21" s="57"/>
      <c r="O21" s="84">
        <f t="shared" si="0"/>
        <v>0</v>
      </c>
      <c r="P21" s="36">
        <f>O21/3000</f>
        <v>0</v>
      </c>
      <c r="Q21" s="37"/>
      <c r="R21" s="37">
        <f t="shared" si="2"/>
        <v>0</v>
      </c>
      <c r="S21" s="38"/>
      <c r="T21" s="58" t="s">
        <v>31</v>
      </c>
      <c r="U21" s="39">
        <f t="shared" si="1"/>
        <v>0</v>
      </c>
      <c r="V21" s="29"/>
    </row>
    <row r="22" spans="1:22" s="11" customFormat="1" ht="18" customHeight="1" thickBot="1" x14ac:dyDescent="0.25">
      <c r="A22" s="40">
        <v>18</v>
      </c>
      <c r="B22" s="59" t="s">
        <v>10</v>
      </c>
      <c r="C22" s="32">
        <f>'JANUARI 26'!AH22</f>
        <v>0</v>
      </c>
      <c r="D22" s="32">
        <f>'Februari 26'!AE22</f>
        <v>0</v>
      </c>
      <c r="E22" s="32">
        <f>'mARET 26'!AH22</f>
        <v>0</v>
      </c>
      <c r="F22" s="34">
        <f>'APRIL 26'!AG22</f>
        <v>0</v>
      </c>
      <c r="G22" s="34">
        <f>'mei 26'!AH22</f>
        <v>0</v>
      </c>
      <c r="H22" s="32">
        <f>'JUNI IRMA'!AG22</f>
        <v>0</v>
      </c>
      <c r="I22" s="59"/>
      <c r="J22" s="59"/>
      <c r="K22" s="59"/>
      <c r="L22" s="59"/>
      <c r="M22" s="62"/>
      <c r="N22" s="62"/>
      <c r="O22" s="83">
        <f t="shared" si="0"/>
        <v>0</v>
      </c>
      <c r="P22" s="36">
        <f>O22/1000</f>
        <v>0</v>
      </c>
      <c r="Q22" s="37"/>
      <c r="R22" s="37">
        <f t="shared" si="2"/>
        <v>0</v>
      </c>
      <c r="S22" s="38"/>
      <c r="T22" s="58" t="s">
        <v>32</v>
      </c>
      <c r="U22" s="39">
        <f t="shared" si="1"/>
        <v>0</v>
      </c>
      <c r="V22" s="29"/>
    </row>
    <row r="23" spans="1:22" s="67" customFormat="1" ht="18" customHeight="1" x14ac:dyDescent="0.25">
      <c r="A23" s="63"/>
      <c r="B23" s="64" t="s">
        <v>11</v>
      </c>
      <c r="C23" s="65">
        <f t="shared" ref="C23:P23" si="3">SUM(C5:C22)</f>
        <v>750370500</v>
      </c>
      <c r="D23" s="65">
        <f t="shared" si="3"/>
        <v>276298000</v>
      </c>
      <c r="E23" s="65">
        <f t="shared" si="3"/>
        <v>693868000</v>
      </c>
      <c r="F23" s="65">
        <f t="shared" si="3"/>
        <v>566786500</v>
      </c>
      <c r="G23" s="65">
        <f t="shared" si="3"/>
        <v>737705000</v>
      </c>
      <c r="H23" s="65">
        <f t="shared" si="3"/>
        <v>555488500</v>
      </c>
      <c r="I23" s="65">
        <f t="shared" si="3"/>
        <v>0</v>
      </c>
      <c r="J23" s="65">
        <f t="shared" si="3"/>
        <v>0</v>
      </c>
      <c r="K23" s="65">
        <f t="shared" si="3"/>
        <v>0</v>
      </c>
      <c r="L23" s="65">
        <f t="shared" si="3"/>
        <v>0</v>
      </c>
      <c r="M23" s="65">
        <f t="shared" si="3"/>
        <v>0</v>
      </c>
      <c r="N23" s="65">
        <f t="shared" si="3"/>
        <v>0</v>
      </c>
      <c r="O23" s="65">
        <f t="shared" si="3"/>
        <v>3580516500</v>
      </c>
      <c r="P23" s="65">
        <f t="shared" si="3"/>
        <v>842806</v>
      </c>
      <c r="Q23" s="37"/>
      <c r="R23" s="37"/>
      <c r="S23" s="38"/>
      <c r="T23" s="66" t="s">
        <v>11</v>
      </c>
      <c r="U23" s="39">
        <f t="shared" si="1"/>
        <v>3580516500</v>
      </c>
    </row>
    <row r="24" spans="1:22" s="68" customFormat="1" ht="12" customHeight="1" x14ac:dyDescent="0.2">
      <c r="B24" s="69"/>
      <c r="C24" s="4"/>
      <c r="D24" s="4"/>
      <c r="E24" s="4"/>
      <c r="F24" s="4"/>
      <c r="G24" s="4"/>
      <c r="H24" s="4"/>
      <c r="I24" s="69"/>
      <c r="J24" s="4"/>
      <c r="K24" s="69"/>
      <c r="L24" s="5"/>
      <c r="M24" s="4"/>
      <c r="N24" s="4"/>
      <c r="O24" s="6"/>
      <c r="P24" s="6"/>
      <c r="Q24" s="6"/>
      <c r="R24" s="7"/>
      <c r="S24" s="28"/>
      <c r="T24" s="69"/>
      <c r="U24" s="29"/>
      <c r="V24" s="39"/>
    </row>
    <row r="25" spans="1:22" s="68" customFormat="1" ht="12" customHeight="1" x14ac:dyDescent="0.2">
      <c r="B25" s="69"/>
      <c r="C25" s="4"/>
      <c r="D25" s="4"/>
      <c r="E25" s="4"/>
      <c r="F25" s="4"/>
      <c r="G25" s="4"/>
      <c r="H25" s="4"/>
      <c r="I25" s="69"/>
      <c r="J25" s="4"/>
      <c r="K25" s="69"/>
      <c r="L25" s="5"/>
      <c r="M25" s="4"/>
      <c r="N25" s="4"/>
      <c r="O25" s="6"/>
      <c r="P25" s="6"/>
      <c r="Q25" s="6"/>
      <c r="R25" s="7"/>
      <c r="S25" s="28"/>
      <c r="T25" s="69"/>
      <c r="U25" s="29"/>
      <c r="V25" s="39"/>
    </row>
    <row r="26" spans="1:22" s="68" customFormat="1" ht="12" customHeight="1" x14ac:dyDescent="0.2">
      <c r="B26" s="69"/>
      <c r="C26" s="4"/>
      <c r="D26" s="4"/>
      <c r="E26" s="4"/>
      <c r="F26" s="4"/>
      <c r="G26" s="4"/>
      <c r="H26" s="4"/>
      <c r="I26" s="69"/>
      <c r="J26" s="4"/>
      <c r="K26" s="69"/>
      <c r="L26" s="5"/>
      <c r="M26" s="4"/>
      <c r="N26" s="4"/>
      <c r="O26" s="6"/>
      <c r="P26" s="6"/>
      <c r="Q26" s="6"/>
      <c r="R26" s="37"/>
      <c r="S26" s="28"/>
      <c r="T26" s="69"/>
      <c r="U26" s="29"/>
      <c r="V26" s="30"/>
    </row>
    <row r="27" spans="1:22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69"/>
      <c r="J27" s="4"/>
      <c r="K27" s="69"/>
      <c r="L27" s="5"/>
      <c r="M27" s="4"/>
      <c r="N27" s="4"/>
      <c r="O27" s="6"/>
      <c r="P27" s="6"/>
      <c r="Q27" s="6"/>
      <c r="R27" s="14"/>
      <c r="S27" s="28"/>
      <c r="T27" s="70" t="s">
        <v>13</v>
      </c>
      <c r="U27" s="29"/>
      <c r="V27" s="30"/>
    </row>
    <row r="28" spans="1:22" ht="15" customHeight="1" x14ac:dyDescent="0.25">
      <c r="B28" s="85" t="s">
        <v>14</v>
      </c>
      <c r="C28" s="86" t="s">
        <v>39</v>
      </c>
      <c r="D28" s="86" t="s">
        <v>40</v>
      </c>
      <c r="E28" s="86" t="s">
        <v>41</v>
      </c>
      <c r="F28" s="86" t="s">
        <v>42</v>
      </c>
      <c r="G28" s="86" t="s">
        <v>43</v>
      </c>
      <c r="H28" s="86" t="s">
        <v>44</v>
      </c>
      <c r="I28" s="86" t="s">
        <v>45</v>
      </c>
      <c r="J28" s="86" t="s">
        <v>46</v>
      </c>
      <c r="K28" s="86" t="s">
        <v>47</v>
      </c>
      <c r="L28" s="86" t="s">
        <v>48</v>
      </c>
      <c r="M28" s="86" t="s">
        <v>49</v>
      </c>
      <c r="N28" s="86" t="s">
        <v>50</v>
      </c>
      <c r="O28" s="87" t="s">
        <v>1</v>
      </c>
      <c r="P28" s="88"/>
      <c r="Q28" s="88"/>
      <c r="R28" s="89"/>
      <c r="S28" s="9"/>
      <c r="T28" s="90" t="s">
        <v>14</v>
      </c>
      <c r="U28" s="91"/>
      <c r="V28" s="19"/>
    </row>
    <row r="29" spans="1:22" ht="15" customHeight="1" x14ac:dyDescent="0.25">
      <c r="B29" s="92" t="s">
        <v>2</v>
      </c>
      <c r="C29" s="92">
        <f t="shared" ref="C29:N29" si="4">C5/4000</f>
        <v>107810</v>
      </c>
      <c r="D29" s="92">
        <f t="shared" si="4"/>
        <v>42823</v>
      </c>
      <c r="E29" s="92">
        <f t="shared" si="4"/>
        <v>95293</v>
      </c>
      <c r="F29" s="92">
        <f t="shared" si="4"/>
        <v>95494</v>
      </c>
      <c r="G29" s="92">
        <f t="shared" si="4"/>
        <v>114351</v>
      </c>
      <c r="H29" s="92">
        <f t="shared" si="4"/>
        <v>74472</v>
      </c>
      <c r="I29" s="92">
        <f t="shared" si="4"/>
        <v>0</v>
      </c>
      <c r="J29" s="92">
        <f t="shared" si="4"/>
        <v>0</v>
      </c>
      <c r="K29" s="92">
        <f t="shared" si="4"/>
        <v>0</v>
      </c>
      <c r="L29" s="92">
        <f t="shared" si="4"/>
        <v>0</v>
      </c>
      <c r="M29" s="92">
        <f t="shared" si="4"/>
        <v>0</v>
      </c>
      <c r="N29" s="92">
        <f t="shared" si="4"/>
        <v>0</v>
      </c>
      <c r="O29" s="93">
        <f t="shared" ref="O29:O46" si="5">SUM(C29:N29)</f>
        <v>530243</v>
      </c>
      <c r="P29" s="94"/>
      <c r="Q29" s="94"/>
      <c r="R29" s="95"/>
      <c r="S29" s="9"/>
      <c r="T29" s="96" t="s">
        <v>2</v>
      </c>
      <c r="U29" s="97">
        <f>O29</f>
        <v>530243</v>
      </c>
      <c r="V29" s="19"/>
    </row>
    <row r="30" spans="1:22" ht="15" customHeight="1" x14ac:dyDescent="0.25">
      <c r="B30" s="92" t="s">
        <v>3</v>
      </c>
      <c r="C30" s="92">
        <f t="shared" ref="C30:N31" si="6">C6/3000</f>
        <v>36478</v>
      </c>
      <c r="D30" s="92">
        <f t="shared" si="6"/>
        <v>10455</v>
      </c>
      <c r="E30" s="92">
        <f t="shared" si="6"/>
        <v>36278</v>
      </c>
      <c r="F30" s="92">
        <f t="shared" si="6"/>
        <v>27675</v>
      </c>
      <c r="G30" s="92">
        <f t="shared" si="6"/>
        <v>32494</v>
      </c>
      <c r="H30" s="92">
        <f t="shared" si="6"/>
        <v>23108</v>
      </c>
      <c r="I30" s="92">
        <f t="shared" si="6"/>
        <v>0</v>
      </c>
      <c r="J30" s="92">
        <f t="shared" si="6"/>
        <v>0</v>
      </c>
      <c r="K30" s="92">
        <f t="shared" si="6"/>
        <v>0</v>
      </c>
      <c r="L30" s="92">
        <f t="shared" si="6"/>
        <v>0</v>
      </c>
      <c r="M30" s="92">
        <f t="shared" si="6"/>
        <v>0</v>
      </c>
      <c r="N30" s="92">
        <f t="shared" si="6"/>
        <v>0</v>
      </c>
      <c r="O30" s="93">
        <f t="shared" si="5"/>
        <v>166488</v>
      </c>
      <c r="P30" s="94"/>
      <c r="Q30" s="94"/>
      <c r="R30" s="95"/>
      <c r="S30" s="9"/>
      <c r="T30" s="96" t="s">
        <v>3</v>
      </c>
      <c r="U30" s="97">
        <f t="shared" ref="U30:U40" si="7">O30</f>
        <v>166488</v>
      </c>
      <c r="V30" s="98"/>
    </row>
    <row r="31" spans="1:22" ht="15" customHeight="1" x14ac:dyDescent="0.25">
      <c r="B31" s="92" t="s">
        <v>4</v>
      </c>
      <c r="C31" s="92">
        <f t="shared" si="6"/>
        <v>0</v>
      </c>
      <c r="D31" s="92">
        <f t="shared" si="6"/>
        <v>0</v>
      </c>
      <c r="E31" s="92">
        <f t="shared" si="6"/>
        <v>0</v>
      </c>
      <c r="F31" s="92">
        <f t="shared" si="6"/>
        <v>0</v>
      </c>
      <c r="G31" s="92">
        <f t="shared" si="6"/>
        <v>0</v>
      </c>
      <c r="H31" s="92">
        <f t="shared" si="6"/>
        <v>0</v>
      </c>
      <c r="I31" s="92">
        <f t="shared" si="6"/>
        <v>0</v>
      </c>
      <c r="J31" s="92">
        <f t="shared" si="6"/>
        <v>0</v>
      </c>
      <c r="K31" s="92">
        <f t="shared" si="6"/>
        <v>0</v>
      </c>
      <c r="L31" s="92">
        <f t="shared" si="6"/>
        <v>0</v>
      </c>
      <c r="M31" s="92">
        <f t="shared" si="6"/>
        <v>0</v>
      </c>
      <c r="N31" s="92">
        <f t="shared" si="6"/>
        <v>0</v>
      </c>
      <c r="O31" s="93">
        <f t="shared" si="5"/>
        <v>0</v>
      </c>
      <c r="P31" s="94"/>
      <c r="Q31" s="94"/>
      <c r="R31" s="95"/>
      <c r="S31" s="9"/>
      <c r="T31" s="99" t="s">
        <v>4</v>
      </c>
      <c r="U31" s="97">
        <f t="shared" si="7"/>
        <v>0</v>
      </c>
      <c r="V31" s="19"/>
    </row>
    <row r="32" spans="1:22" ht="15" customHeight="1" x14ac:dyDescent="0.25">
      <c r="B32" s="92" t="s">
        <v>5</v>
      </c>
      <c r="C32" s="92">
        <f t="shared" ref="C32:N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3">
        <f t="shared" si="5"/>
        <v>0</v>
      </c>
      <c r="P32" s="94"/>
      <c r="Q32" s="94"/>
      <c r="R32" s="95"/>
      <c r="S32" s="9"/>
      <c r="T32" s="99" t="s">
        <v>5</v>
      </c>
      <c r="U32" s="97">
        <f t="shared" si="7"/>
        <v>0</v>
      </c>
      <c r="V32" s="19"/>
    </row>
    <row r="33" spans="2:21" s="19" customFormat="1" ht="15" customHeight="1" x14ac:dyDescent="0.25">
      <c r="B33" s="92" t="s">
        <v>33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>
        <f t="shared" si="5"/>
        <v>0</v>
      </c>
      <c r="P33" s="94"/>
      <c r="Q33" s="94"/>
      <c r="R33" s="95"/>
      <c r="S33" s="9"/>
      <c r="T33" s="99"/>
      <c r="U33" s="97"/>
    </row>
    <row r="34" spans="2:21" s="19" customFormat="1" ht="15" customHeight="1" x14ac:dyDescent="0.25">
      <c r="B34" s="100" t="s">
        <v>21</v>
      </c>
      <c r="C34" s="100">
        <f t="shared" ref="C34:N35" si="9">C10/6000</f>
        <v>3250</v>
      </c>
      <c r="D34" s="100">
        <f t="shared" si="9"/>
        <v>518</v>
      </c>
      <c r="E34" s="100">
        <f t="shared" si="9"/>
        <v>3542</v>
      </c>
      <c r="F34" s="100">
        <f t="shared" si="9"/>
        <v>801</v>
      </c>
      <c r="G34" s="100">
        <f t="shared" si="9"/>
        <v>817</v>
      </c>
      <c r="H34" s="100">
        <f t="shared" si="9"/>
        <v>3326</v>
      </c>
      <c r="I34" s="100">
        <f t="shared" si="9"/>
        <v>0</v>
      </c>
      <c r="J34" s="100">
        <f t="shared" si="9"/>
        <v>0</v>
      </c>
      <c r="K34" s="100">
        <f t="shared" si="9"/>
        <v>0</v>
      </c>
      <c r="L34" s="100">
        <f t="shared" si="9"/>
        <v>0</v>
      </c>
      <c r="M34" s="100">
        <f t="shared" si="9"/>
        <v>0</v>
      </c>
      <c r="N34" s="100">
        <f t="shared" si="9"/>
        <v>0</v>
      </c>
      <c r="O34" s="93">
        <f t="shared" si="5"/>
        <v>12254</v>
      </c>
      <c r="P34" s="94"/>
      <c r="Q34" s="94"/>
      <c r="R34" s="95"/>
      <c r="S34" s="9"/>
      <c r="T34" s="99" t="s">
        <v>10</v>
      </c>
      <c r="U34" s="97">
        <f t="shared" si="7"/>
        <v>12254</v>
      </c>
    </row>
    <row r="35" spans="2:21" s="19" customFormat="1" ht="15" customHeight="1" thickBot="1" x14ac:dyDescent="0.3">
      <c r="B35" s="100" t="s">
        <v>22</v>
      </c>
      <c r="C35" s="100">
        <f t="shared" si="9"/>
        <v>1904</v>
      </c>
      <c r="D35" s="100">
        <f t="shared" si="9"/>
        <v>298</v>
      </c>
      <c r="E35" s="100">
        <f t="shared" si="9"/>
        <v>2645</v>
      </c>
      <c r="F35" s="100">
        <f t="shared" si="9"/>
        <v>377</v>
      </c>
      <c r="G35" s="100">
        <f t="shared" si="9"/>
        <v>542</v>
      </c>
      <c r="H35" s="100">
        <f t="shared" si="9"/>
        <v>1998</v>
      </c>
      <c r="I35" s="100">
        <f t="shared" si="9"/>
        <v>0</v>
      </c>
      <c r="J35" s="100">
        <f t="shared" si="9"/>
        <v>0</v>
      </c>
      <c r="K35" s="100">
        <f t="shared" si="9"/>
        <v>0</v>
      </c>
      <c r="L35" s="100">
        <f t="shared" si="9"/>
        <v>0</v>
      </c>
      <c r="M35" s="100">
        <f t="shared" si="9"/>
        <v>0</v>
      </c>
      <c r="N35" s="100">
        <f t="shared" si="9"/>
        <v>0</v>
      </c>
      <c r="O35" s="93">
        <f t="shared" si="5"/>
        <v>7764</v>
      </c>
      <c r="P35" s="94"/>
      <c r="Q35" s="94"/>
      <c r="R35" s="95"/>
      <c r="S35" s="9"/>
      <c r="T35" s="101" t="s">
        <v>15</v>
      </c>
      <c r="U35" s="97">
        <f t="shared" si="7"/>
        <v>7764</v>
      </c>
    </row>
    <row r="36" spans="2:21" s="9" customFormat="1" ht="15" customHeight="1" x14ac:dyDescent="0.25">
      <c r="B36" s="100" t="s">
        <v>24</v>
      </c>
      <c r="C36" s="100">
        <f t="shared" ref="C36:N37" si="10">C12/4500</f>
        <v>0</v>
      </c>
      <c r="D36" s="100">
        <f t="shared" si="10"/>
        <v>0</v>
      </c>
      <c r="E36" s="100">
        <f t="shared" si="10"/>
        <v>0</v>
      </c>
      <c r="F36" s="100">
        <f t="shared" si="10"/>
        <v>0</v>
      </c>
      <c r="G36" s="100">
        <f t="shared" si="10"/>
        <v>0</v>
      </c>
      <c r="H36" s="100">
        <f t="shared" si="10"/>
        <v>0</v>
      </c>
      <c r="I36" s="100">
        <f t="shared" si="10"/>
        <v>0</v>
      </c>
      <c r="J36" s="100">
        <f t="shared" si="10"/>
        <v>0</v>
      </c>
      <c r="K36" s="100">
        <f t="shared" si="10"/>
        <v>0</v>
      </c>
      <c r="L36" s="100">
        <f t="shared" si="10"/>
        <v>0</v>
      </c>
      <c r="M36" s="100">
        <f t="shared" si="10"/>
        <v>0</v>
      </c>
      <c r="N36" s="100">
        <f t="shared" si="10"/>
        <v>0</v>
      </c>
      <c r="O36" s="93">
        <f t="shared" si="5"/>
        <v>0</v>
      </c>
      <c r="P36" s="94"/>
      <c r="Q36" s="94"/>
      <c r="R36" s="95"/>
      <c r="T36" s="102" t="s">
        <v>34</v>
      </c>
      <c r="U36" s="97">
        <f t="shared" si="7"/>
        <v>0</v>
      </c>
    </row>
    <row r="37" spans="2:21" s="9" customFormat="1" ht="15" customHeight="1" x14ac:dyDescent="0.25">
      <c r="B37" s="100" t="s">
        <v>26</v>
      </c>
      <c r="C37" s="100">
        <f t="shared" si="10"/>
        <v>0</v>
      </c>
      <c r="D37" s="100">
        <f t="shared" si="10"/>
        <v>0</v>
      </c>
      <c r="E37" s="100">
        <f t="shared" si="10"/>
        <v>0</v>
      </c>
      <c r="F37" s="100">
        <f t="shared" si="10"/>
        <v>0</v>
      </c>
      <c r="G37" s="100">
        <f t="shared" si="10"/>
        <v>0</v>
      </c>
      <c r="H37" s="100">
        <f t="shared" si="10"/>
        <v>0</v>
      </c>
      <c r="I37" s="100">
        <f t="shared" si="10"/>
        <v>0</v>
      </c>
      <c r="J37" s="100">
        <f t="shared" si="10"/>
        <v>0</v>
      </c>
      <c r="K37" s="100">
        <f t="shared" si="10"/>
        <v>0</v>
      </c>
      <c r="L37" s="100">
        <f t="shared" si="10"/>
        <v>0</v>
      </c>
      <c r="M37" s="100">
        <f t="shared" si="10"/>
        <v>0</v>
      </c>
      <c r="N37" s="100">
        <f t="shared" si="10"/>
        <v>0</v>
      </c>
      <c r="O37" s="93">
        <f t="shared" si="5"/>
        <v>0</v>
      </c>
      <c r="P37" s="94"/>
      <c r="Q37" s="94"/>
      <c r="R37" s="95"/>
      <c r="T37" s="103" t="s">
        <v>35</v>
      </c>
      <c r="U37" s="97">
        <f t="shared" si="7"/>
        <v>0</v>
      </c>
    </row>
    <row r="38" spans="2:21" s="9" customFormat="1" ht="15" customHeight="1" x14ac:dyDescent="0.25">
      <c r="B38" s="104" t="s">
        <v>28</v>
      </c>
      <c r="C38" s="104">
        <f t="shared" ref="C38:N39" si="11">C14/7500</f>
        <v>12134</v>
      </c>
      <c r="D38" s="104">
        <f t="shared" si="11"/>
        <v>4841</v>
      </c>
      <c r="E38" s="104">
        <f t="shared" si="11"/>
        <v>12078</v>
      </c>
      <c r="F38" s="104">
        <f t="shared" si="11"/>
        <v>6550</v>
      </c>
      <c r="G38" s="104">
        <f t="shared" si="11"/>
        <v>12784</v>
      </c>
      <c r="H38" s="104">
        <f t="shared" si="11"/>
        <v>11404</v>
      </c>
      <c r="I38" s="104">
        <f t="shared" si="11"/>
        <v>0</v>
      </c>
      <c r="J38" s="104">
        <f t="shared" si="11"/>
        <v>0</v>
      </c>
      <c r="K38" s="104">
        <f t="shared" si="11"/>
        <v>0</v>
      </c>
      <c r="L38" s="104">
        <f t="shared" si="11"/>
        <v>0</v>
      </c>
      <c r="M38" s="104">
        <f t="shared" si="11"/>
        <v>0</v>
      </c>
      <c r="N38" s="104">
        <f t="shared" si="11"/>
        <v>0</v>
      </c>
      <c r="O38" s="93">
        <f t="shared" si="5"/>
        <v>59791</v>
      </c>
      <c r="P38" s="94"/>
      <c r="Q38" s="94"/>
      <c r="R38" s="95"/>
      <c r="T38" s="103" t="s">
        <v>36</v>
      </c>
      <c r="U38" s="97">
        <f t="shared" si="7"/>
        <v>59791</v>
      </c>
    </row>
    <row r="39" spans="2:21" s="9" customFormat="1" ht="15" customHeight="1" x14ac:dyDescent="0.25">
      <c r="B39" s="104" t="s">
        <v>30</v>
      </c>
      <c r="C39" s="104">
        <f t="shared" si="11"/>
        <v>10409</v>
      </c>
      <c r="D39" s="104">
        <f t="shared" si="11"/>
        <v>3859</v>
      </c>
      <c r="E39" s="104">
        <f t="shared" si="11"/>
        <v>9000</v>
      </c>
      <c r="F39" s="104">
        <f t="shared" si="11"/>
        <v>4828</v>
      </c>
      <c r="G39" s="104">
        <f t="shared" si="11"/>
        <v>8866</v>
      </c>
      <c r="H39" s="104">
        <f t="shared" si="11"/>
        <v>8213</v>
      </c>
      <c r="I39" s="104">
        <f t="shared" si="11"/>
        <v>0</v>
      </c>
      <c r="J39" s="104">
        <f t="shared" si="11"/>
        <v>0</v>
      </c>
      <c r="K39" s="104">
        <f t="shared" si="11"/>
        <v>0</v>
      </c>
      <c r="L39" s="104">
        <f t="shared" si="11"/>
        <v>0</v>
      </c>
      <c r="M39" s="104">
        <f t="shared" si="11"/>
        <v>0</v>
      </c>
      <c r="N39" s="104">
        <f t="shared" si="11"/>
        <v>0</v>
      </c>
      <c r="O39" s="93">
        <f t="shared" si="5"/>
        <v>45175</v>
      </c>
      <c r="P39" s="94"/>
      <c r="Q39" s="94"/>
      <c r="R39" s="95"/>
      <c r="T39" s="103" t="s">
        <v>37</v>
      </c>
      <c r="U39" s="97">
        <f t="shared" si="7"/>
        <v>45175</v>
      </c>
    </row>
    <row r="40" spans="2:21" s="9" customFormat="1" ht="15" customHeight="1" thickBot="1" x14ac:dyDescent="0.3">
      <c r="B40" s="104" t="s">
        <v>31</v>
      </c>
      <c r="C40" s="104">
        <f t="shared" ref="C40:N41" si="12">C16/5625</f>
        <v>0</v>
      </c>
      <c r="D40" s="104">
        <f t="shared" si="12"/>
        <v>0</v>
      </c>
      <c r="E40" s="104">
        <f t="shared" si="12"/>
        <v>0</v>
      </c>
      <c r="F40" s="104">
        <f t="shared" si="12"/>
        <v>0</v>
      </c>
      <c r="G40" s="104">
        <f t="shared" si="12"/>
        <v>0</v>
      </c>
      <c r="H40" s="104">
        <f t="shared" si="12"/>
        <v>0</v>
      </c>
      <c r="I40" s="104">
        <f t="shared" si="12"/>
        <v>0</v>
      </c>
      <c r="J40" s="104">
        <f t="shared" si="12"/>
        <v>0</v>
      </c>
      <c r="K40" s="104">
        <f t="shared" si="12"/>
        <v>0</v>
      </c>
      <c r="L40" s="104">
        <f t="shared" si="12"/>
        <v>0</v>
      </c>
      <c r="M40" s="104">
        <f t="shared" si="12"/>
        <v>0</v>
      </c>
      <c r="N40" s="104">
        <f t="shared" si="12"/>
        <v>0</v>
      </c>
      <c r="O40" s="93">
        <f t="shared" si="5"/>
        <v>0</v>
      </c>
      <c r="P40" s="94"/>
      <c r="Q40" s="94"/>
      <c r="R40" s="95"/>
      <c r="T40" s="101" t="s">
        <v>15</v>
      </c>
      <c r="U40" s="97">
        <f t="shared" si="7"/>
        <v>0</v>
      </c>
    </row>
    <row r="41" spans="2:21" s="19" customFormat="1" ht="15" customHeight="1" x14ac:dyDescent="0.25">
      <c r="B41" s="104" t="s">
        <v>32</v>
      </c>
      <c r="C41" s="104">
        <f t="shared" si="12"/>
        <v>0</v>
      </c>
      <c r="D41" s="104">
        <f t="shared" si="12"/>
        <v>0</v>
      </c>
      <c r="E41" s="104">
        <f t="shared" si="12"/>
        <v>0</v>
      </c>
      <c r="F41" s="104">
        <f t="shared" si="12"/>
        <v>0</v>
      </c>
      <c r="G41" s="104">
        <f t="shared" si="12"/>
        <v>0</v>
      </c>
      <c r="H41" s="104">
        <f t="shared" si="12"/>
        <v>0</v>
      </c>
      <c r="I41" s="104">
        <f t="shared" si="12"/>
        <v>0</v>
      </c>
      <c r="J41" s="104">
        <f t="shared" si="12"/>
        <v>0</v>
      </c>
      <c r="K41" s="104">
        <f t="shared" si="12"/>
        <v>0</v>
      </c>
      <c r="L41" s="104">
        <f t="shared" si="12"/>
        <v>0</v>
      </c>
      <c r="M41" s="104">
        <f t="shared" si="12"/>
        <v>0</v>
      </c>
      <c r="N41" s="104">
        <f t="shared" si="12"/>
        <v>0</v>
      </c>
      <c r="O41" s="93">
        <f t="shared" si="5"/>
        <v>0</v>
      </c>
      <c r="P41" s="105"/>
      <c r="Q41" s="105"/>
      <c r="R41" s="10"/>
      <c r="S41" s="9"/>
      <c r="U41" s="106"/>
    </row>
    <row r="42" spans="2:21" s="19" customFormat="1" ht="15" customHeight="1" x14ac:dyDescent="0.25">
      <c r="B42" s="92" t="s">
        <v>6</v>
      </c>
      <c r="C42" s="92">
        <f t="shared" ref="C42:N42" si="13">C18/15000</f>
        <v>0</v>
      </c>
      <c r="D42" s="92">
        <f t="shared" si="13"/>
        <v>0</v>
      </c>
      <c r="E42" s="92">
        <f t="shared" si="13"/>
        <v>0</v>
      </c>
      <c r="F42" s="92">
        <f t="shared" si="13"/>
        <v>0</v>
      </c>
      <c r="G42" s="92">
        <f t="shared" si="13"/>
        <v>0</v>
      </c>
      <c r="H42" s="92">
        <f t="shared" si="13"/>
        <v>0</v>
      </c>
      <c r="I42" s="92">
        <f t="shared" si="13"/>
        <v>0</v>
      </c>
      <c r="J42" s="92">
        <f t="shared" si="13"/>
        <v>0</v>
      </c>
      <c r="K42" s="92">
        <f t="shared" si="13"/>
        <v>0</v>
      </c>
      <c r="L42" s="92">
        <f t="shared" si="13"/>
        <v>0</v>
      </c>
      <c r="M42" s="92">
        <f t="shared" si="13"/>
        <v>0</v>
      </c>
      <c r="N42" s="92">
        <f t="shared" si="13"/>
        <v>0</v>
      </c>
      <c r="O42" s="93">
        <f t="shared" si="5"/>
        <v>0</v>
      </c>
      <c r="P42" s="105"/>
      <c r="Q42" s="105"/>
      <c r="R42" s="10"/>
      <c r="S42" s="9"/>
      <c r="U42" s="9"/>
    </row>
    <row r="43" spans="2:21" s="9" customFormat="1" ht="15" customHeight="1" x14ac:dyDescent="0.25">
      <c r="B43" s="92" t="s">
        <v>7</v>
      </c>
      <c r="C43" s="92">
        <f t="shared" ref="C43:N43" si="14">C19/12500</f>
        <v>0</v>
      </c>
      <c r="D43" s="92">
        <f t="shared" si="14"/>
        <v>0</v>
      </c>
      <c r="E43" s="92">
        <f t="shared" si="14"/>
        <v>0</v>
      </c>
      <c r="F43" s="92">
        <f t="shared" si="14"/>
        <v>0</v>
      </c>
      <c r="G43" s="92">
        <f t="shared" si="14"/>
        <v>0</v>
      </c>
      <c r="H43" s="92">
        <f t="shared" si="14"/>
        <v>0</v>
      </c>
      <c r="I43" s="92">
        <f t="shared" si="14"/>
        <v>0</v>
      </c>
      <c r="J43" s="92">
        <f t="shared" si="14"/>
        <v>0</v>
      </c>
      <c r="K43" s="92">
        <f t="shared" si="14"/>
        <v>0</v>
      </c>
      <c r="L43" s="92">
        <f t="shared" si="14"/>
        <v>0</v>
      </c>
      <c r="M43" s="92">
        <f t="shared" si="14"/>
        <v>0</v>
      </c>
      <c r="N43" s="92">
        <f t="shared" si="14"/>
        <v>0</v>
      </c>
      <c r="O43" s="93">
        <f t="shared" si="5"/>
        <v>0</v>
      </c>
      <c r="P43" s="105"/>
      <c r="Q43" s="105"/>
      <c r="R43" s="10"/>
    </row>
    <row r="44" spans="2:21" s="9" customFormat="1" ht="15" customHeight="1" x14ac:dyDescent="0.25">
      <c r="B44" s="92" t="s">
        <v>8</v>
      </c>
      <c r="C44" s="92">
        <f t="shared" ref="C44:N44" si="15">C20/6000</f>
        <v>0</v>
      </c>
      <c r="D44" s="92">
        <f t="shared" si="15"/>
        <v>0</v>
      </c>
      <c r="E44" s="92">
        <f t="shared" si="15"/>
        <v>0</v>
      </c>
      <c r="F44" s="92">
        <f t="shared" si="15"/>
        <v>0</v>
      </c>
      <c r="G44" s="92">
        <f t="shared" si="15"/>
        <v>0</v>
      </c>
      <c r="H44" s="92">
        <f t="shared" si="15"/>
        <v>0</v>
      </c>
      <c r="I44" s="92">
        <f t="shared" si="15"/>
        <v>0</v>
      </c>
      <c r="J44" s="92">
        <f t="shared" si="15"/>
        <v>0</v>
      </c>
      <c r="K44" s="92">
        <f t="shared" si="15"/>
        <v>0</v>
      </c>
      <c r="L44" s="92">
        <f t="shared" si="15"/>
        <v>0</v>
      </c>
      <c r="M44" s="92">
        <f t="shared" si="15"/>
        <v>0</v>
      </c>
      <c r="N44" s="92">
        <f t="shared" si="15"/>
        <v>0</v>
      </c>
      <c r="O44" s="93">
        <f t="shared" si="5"/>
        <v>0</v>
      </c>
      <c r="P44" s="105"/>
      <c r="Q44" s="105"/>
      <c r="R44" s="10"/>
    </row>
    <row r="45" spans="2:21" s="9" customFormat="1" ht="15" customHeight="1" x14ac:dyDescent="0.25">
      <c r="B45" s="92" t="s">
        <v>9</v>
      </c>
      <c r="C45" s="92">
        <f t="shared" ref="C45:N45" si="16">C21/3000</f>
        <v>0</v>
      </c>
      <c r="D45" s="92">
        <f t="shared" si="16"/>
        <v>0</v>
      </c>
      <c r="E45" s="92">
        <f t="shared" si="16"/>
        <v>0</v>
      </c>
      <c r="F45" s="92">
        <f t="shared" si="16"/>
        <v>0</v>
      </c>
      <c r="G45" s="92">
        <f t="shared" si="16"/>
        <v>0</v>
      </c>
      <c r="H45" s="92">
        <f t="shared" si="16"/>
        <v>0</v>
      </c>
      <c r="I45" s="92">
        <f t="shared" si="16"/>
        <v>0</v>
      </c>
      <c r="J45" s="92">
        <f t="shared" si="16"/>
        <v>0</v>
      </c>
      <c r="K45" s="92">
        <f t="shared" si="16"/>
        <v>0</v>
      </c>
      <c r="L45" s="92">
        <f t="shared" si="16"/>
        <v>0</v>
      </c>
      <c r="M45" s="92">
        <f t="shared" si="16"/>
        <v>0</v>
      </c>
      <c r="N45" s="92">
        <f t="shared" si="16"/>
        <v>0</v>
      </c>
      <c r="O45" s="93">
        <f t="shared" si="5"/>
        <v>0</v>
      </c>
      <c r="P45" s="105"/>
      <c r="Q45" s="105"/>
      <c r="R45" s="10"/>
    </row>
    <row r="46" spans="2:21" s="9" customFormat="1" ht="15" customHeight="1" x14ac:dyDescent="0.25">
      <c r="B46" s="92" t="s">
        <v>10</v>
      </c>
      <c r="C46" s="92">
        <f t="shared" ref="C46:N46" si="17">C22/1000</f>
        <v>0</v>
      </c>
      <c r="D46" s="92">
        <f t="shared" si="17"/>
        <v>0</v>
      </c>
      <c r="E46" s="92">
        <f t="shared" si="17"/>
        <v>0</v>
      </c>
      <c r="F46" s="92">
        <f t="shared" si="17"/>
        <v>0</v>
      </c>
      <c r="G46" s="92">
        <f t="shared" si="17"/>
        <v>0</v>
      </c>
      <c r="H46" s="92">
        <f t="shared" si="17"/>
        <v>0</v>
      </c>
      <c r="I46" s="92">
        <f t="shared" si="17"/>
        <v>0</v>
      </c>
      <c r="J46" s="92">
        <f t="shared" si="17"/>
        <v>0</v>
      </c>
      <c r="K46" s="92">
        <f t="shared" si="17"/>
        <v>0</v>
      </c>
      <c r="L46" s="92">
        <f t="shared" si="17"/>
        <v>0</v>
      </c>
      <c r="M46" s="92">
        <f t="shared" si="17"/>
        <v>0</v>
      </c>
      <c r="N46" s="92">
        <f t="shared" si="17"/>
        <v>0</v>
      </c>
      <c r="O46" s="93">
        <f t="shared" si="5"/>
        <v>0</v>
      </c>
      <c r="P46" s="105"/>
      <c r="Q46" s="105"/>
      <c r="R46" s="10"/>
    </row>
    <row r="47" spans="2:21" s="17" customFormat="1" ht="11.25" x14ac:dyDescent="0.2">
      <c r="B47" s="16"/>
      <c r="C47" s="1"/>
      <c r="D47" s="1"/>
      <c r="E47" s="4"/>
      <c r="F47" s="4"/>
      <c r="G47" s="1"/>
      <c r="H47" s="1"/>
      <c r="I47" s="1"/>
      <c r="J47" s="16"/>
      <c r="K47" s="1"/>
      <c r="L47" s="16"/>
      <c r="M47" s="1"/>
      <c r="N47" s="1"/>
      <c r="O47" s="2"/>
      <c r="P47" s="2"/>
      <c r="Q47" s="2"/>
      <c r="R47" s="14"/>
      <c r="S47" s="15"/>
      <c r="T47" s="16"/>
    </row>
    <row r="48" spans="2:21" s="17" customFormat="1" ht="11.25" x14ac:dyDescent="0.2">
      <c r="B48" s="16"/>
      <c r="C48" s="1"/>
      <c r="D48" s="1"/>
      <c r="E48" s="4"/>
      <c r="F48" s="4"/>
      <c r="G48" s="1"/>
      <c r="H48" s="1"/>
      <c r="I48" s="1"/>
      <c r="J48" s="16"/>
      <c r="K48" s="1"/>
      <c r="L48" s="16"/>
      <c r="M48" s="1"/>
      <c r="N48" s="1"/>
      <c r="O48" s="2"/>
      <c r="P48" s="2"/>
      <c r="Q48" s="2"/>
      <c r="R48" s="14"/>
      <c r="S48" s="15"/>
      <c r="T48" s="16"/>
    </row>
    <row r="49" spans="2:21" s="17" customFormat="1" ht="11.25" x14ac:dyDescent="0.2">
      <c r="B49" s="16"/>
      <c r="C49" s="1"/>
      <c r="D49" s="1"/>
      <c r="E49" s="4"/>
      <c r="F49" s="4"/>
      <c r="G49" s="1"/>
      <c r="H49" s="1"/>
      <c r="I49" s="1"/>
      <c r="J49" s="16"/>
      <c r="K49" s="1"/>
      <c r="L49" s="16"/>
      <c r="M49" s="1"/>
      <c r="N49" s="1"/>
      <c r="O49" s="2"/>
      <c r="P49" s="2"/>
      <c r="Q49" s="2"/>
      <c r="R49" s="14"/>
      <c r="S49" s="15"/>
      <c r="T49" s="16"/>
    </row>
    <row r="50" spans="2:21" s="18" customFormat="1" ht="11.25" x14ac:dyDescent="0.2">
      <c r="B50" s="81"/>
      <c r="C50" s="1"/>
      <c r="D50" s="1"/>
      <c r="E50" s="4"/>
      <c r="F50" s="4"/>
      <c r="G50" s="1"/>
      <c r="H50" s="1"/>
      <c r="I50" s="1"/>
      <c r="J50" s="16"/>
      <c r="K50" s="1"/>
      <c r="L50" s="16"/>
      <c r="M50" s="1"/>
      <c r="N50" s="1"/>
      <c r="O50" s="2"/>
      <c r="P50" s="2"/>
      <c r="Q50" s="2"/>
      <c r="R50" s="14"/>
      <c r="S50" s="15"/>
      <c r="T50" s="81"/>
      <c r="U50" s="17"/>
    </row>
    <row r="51" spans="2:21" s="18" customFormat="1" ht="11.25" x14ac:dyDescent="0.2">
      <c r="B51" s="81"/>
      <c r="C51" s="1"/>
      <c r="D51" s="1"/>
      <c r="E51" s="4"/>
      <c r="F51" s="4"/>
      <c r="G51" s="1"/>
      <c r="H51" s="1"/>
      <c r="I51" s="1"/>
      <c r="J51" s="16"/>
      <c r="K51" s="1"/>
      <c r="L51" s="16"/>
      <c r="M51" s="1"/>
      <c r="N51" s="1"/>
      <c r="O51" s="2"/>
      <c r="P51" s="2"/>
      <c r="Q51" s="2"/>
      <c r="R51" s="14"/>
      <c r="S51" s="15"/>
      <c r="T51" s="81"/>
      <c r="U51" s="17"/>
    </row>
    <row r="52" spans="2:21" s="18" customFormat="1" ht="11.25" x14ac:dyDescent="0.2">
      <c r="B52" s="81"/>
      <c r="C52" s="1"/>
      <c r="D52" s="1"/>
      <c r="E52" s="4"/>
      <c r="F52" s="4"/>
      <c r="G52" s="1"/>
      <c r="H52" s="1"/>
      <c r="I52" s="1"/>
      <c r="J52" s="16"/>
      <c r="K52" s="1"/>
      <c r="L52" s="16"/>
      <c r="M52" s="1"/>
      <c r="N52" s="1"/>
      <c r="O52" s="2"/>
      <c r="P52" s="2"/>
      <c r="Q52" s="2"/>
      <c r="R52" s="14"/>
      <c r="S52" s="15"/>
      <c r="T52" s="81"/>
      <c r="U52" s="17"/>
    </row>
    <row r="53" spans="2:21" s="18" customFormat="1" ht="11.25" x14ac:dyDescent="0.2">
      <c r="B53" s="81"/>
      <c r="C53" s="1"/>
      <c r="D53" s="1"/>
      <c r="E53" s="4"/>
      <c r="F53" s="4"/>
      <c r="G53" s="1"/>
      <c r="H53" s="1"/>
      <c r="I53" s="1"/>
      <c r="J53" s="16"/>
      <c r="K53" s="1"/>
      <c r="L53" s="16"/>
      <c r="M53" s="1"/>
      <c r="N53" s="1"/>
      <c r="O53" s="2"/>
      <c r="P53" s="2"/>
      <c r="Q53" s="2"/>
      <c r="R53" s="14"/>
      <c r="S53" s="15"/>
      <c r="T53" s="81"/>
      <c r="U53" s="17"/>
    </row>
    <row r="54" spans="2:21" s="18" customFormat="1" ht="11.25" x14ac:dyDescent="0.2">
      <c r="B54" s="81"/>
      <c r="C54" s="1"/>
      <c r="D54" s="1"/>
      <c r="E54" s="4"/>
      <c r="F54" s="4"/>
      <c r="G54" s="1"/>
      <c r="H54" s="1"/>
      <c r="I54" s="1"/>
      <c r="J54" s="16"/>
      <c r="K54" s="1"/>
      <c r="L54" s="16"/>
      <c r="M54" s="1"/>
      <c r="N54" s="1"/>
      <c r="O54" s="2"/>
      <c r="P54" s="2"/>
      <c r="Q54" s="2"/>
      <c r="R54" s="14"/>
      <c r="S54" s="15"/>
      <c r="T54" s="81"/>
      <c r="U54" s="17"/>
    </row>
    <row r="55" spans="2:21" s="18" customFormat="1" ht="11.25" x14ac:dyDescent="0.2">
      <c r="B55" s="81"/>
      <c r="C55" s="1"/>
      <c r="D55" s="1"/>
      <c r="E55" s="4"/>
      <c r="F55" s="4"/>
      <c r="G55" s="1"/>
      <c r="H55" s="1"/>
      <c r="I55" s="1"/>
      <c r="J55" s="16"/>
      <c r="K55" s="1"/>
      <c r="L55" s="16"/>
      <c r="M55" s="1"/>
      <c r="N55" s="1"/>
      <c r="O55" s="2"/>
      <c r="P55" s="2"/>
      <c r="Q55" s="2"/>
      <c r="R55" s="14"/>
      <c r="S55" s="15"/>
      <c r="T55" s="81"/>
      <c r="U55" s="17"/>
    </row>
    <row r="56" spans="2:21" s="18" customFormat="1" ht="11.25" x14ac:dyDescent="0.2">
      <c r="B56" s="81"/>
      <c r="C56" s="1"/>
      <c r="D56" s="1"/>
      <c r="E56" s="4"/>
      <c r="F56" s="4"/>
      <c r="G56" s="1"/>
      <c r="H56" s="1"/>
      <c r="I56" s="1"/>
      <c r="J56" s="16"/>
      <c r="K56" s="1"/>
      <c r="L56" s="16"/>
      <c r="M56" s="1"/>
      <c r="N56" s="1"/>
      <c r="O56" s="2"/>
      <c r="P56" s="2"/>
      <c r="Q56" s="2"/>
      <c r="R56" s="14"/>
      <c r="S56" s="15"/>
      <c r="T56" s="81"/>
      <c r="U56" s="17"/>
    </row>
    <row r="57" spans="2:21" s="18" customFormat="1" ht="11.25" x14ac:dyDescent="0.2">
      <c r="B57" s="81"/>
      <c r="C57" s="1"/>
      <c r="D57" s="1"/>
      <c r="E57" s="4"/>
      <c r="F57" s="4"/>
      <c r="G57" s="1"/>
      <c r="H57" s="1"/>
      <c r="I57" s="1"/>
      <c r="J57" s="16"/>
      <c r="K57" s="1"/>
      <c r="L57" s="16"/>
      <c r="M57" s="1"/>
      <c r="N57" s="1"/>
      <c r="O57" s="2"/>
      <c r="P57" s="2"/>
      <c r="Q57" s="2"/>
      <c r="R57" s="14"/>
      <c r="S57" s="15"/>
      <c r="T57" s="81"/>
      <c r="U57" s="17"/>
    </row>
    <row r="58" spans="2:21" s="18" customFormat="1" ht="11.25" x14ac:dyDescent="0.2">
      <c r="B58" s="81"/>
      <c r="C58" s="1"/>
      <c r="D58" s="1"/>
      <c r="E58" s="4"/>
      <c r="F58" s="4"/>
      <c r="G58" s="1"/>
      <c r="H58" s="1"/>
      <c r="I58" s="1"/>
      <c r="J58" s="16"/>
      <c r="K58" s="1"/>
      <c r="L58" s="16"/>
      <c r="M58" s="1"/>
      <c r="N58" s="1"/>
      <c r="O58" s="2"/>
      <c r="P58" s="2"/>
      <c r="Q58" s="2"/>
      <c r="R58" s="14"/>
      <c r="S58" s="15"/>
      <c r="T58" s="81"/>
      <c r="U58" s="17"/>
    </row>
    <row r="59" spans="2:21" s="18" customFormat="1" ht="11.25" x14ac:dyDescent="0.2">
      <c r="B59" s="81"/>
      <c r="C59" s="1"/>
      <c r="D59" s="1"/>
      <c r="E59" s="4"/>
      <c r="F59" s="4"/>
      <c r="G59" s="1"/>
      <c r="H59" s="1"/>
      <c r="I59" s="1"/>
      <c r="J59" s="16"/>
      <c r="K59" s="1"/>
      <c r="L59" s="16"/>
      <c r="M59" s="1"/>
      <c r="N59" s="1"/>
      <c r="O59" s="2"/>
      <c r="P59" s="2"/>
      <c r="Q59" s="2"/>
      <c r="R59" s="14"/>
      <c r="S59" s="15"/>
      <c r="T59" s="81"/>
      <c r="U59" s="17"/>
    </row>
    <row r="60" spans="2:21" s="18" customFormat="1" ht="11.25" x14ac:dyDescent="0.2">
      <c r="B60" s="81"/>
      <c r="C60" s="1"/>
      <c r="D60" s="1"/>
      <c r="E60" s="4"/>
      <c r="F60" s="4"/>
      <c r="G60" s="1"/>
      <c r="H60" s="1"/>
      <c r="I60" s="1"/>
      <c r="J60" s="16"/>
      <c r="K60" s="1"/>
      <c r="L60" s="16"/>
      <c r="M60" s="1"/>
      <c r="N60" s="1"/>
      <c r="O60" s="2"/>
      <c r="P60" s="2"/>
      <c r="Q60" s="2"/>
      <c r="R60" s="14"/>
      <c r="S60" s="15"/>
      <c r="T60" s="81"/>
      <c r="U60" s="17"/>
    </row>
    <row r="61" spans="2:21" s="18" customFormat="1" ht="11.25" x14ac:dyDescent="0.2">
      <c r="B61" s="81"/>
      <c r="C61" s="1"/>
      <c r="D61" s="1"/>
      <c r="E61" s="4"/>
      <c r="F61" s="4"/>
      <c r="G61" s="1"/>
      <c r="H61" s="1"/>
      <c r="I61" s="1"/>
      <c r="J61" s="16"/>
      <c r="K61" s="1"/>
      <c r="L61" s="16"/>
      <c r="M61" s="1"/>
      <c r="N61" s="1"/>
      <c r="O61" s="2"/>
      <c r="P61" s="2"/>
      <c r="Q61" s="2"/>
      <c r="R61" s="14"/>
      <c r="S61" s="15"/>
      <c r="T61" s="81"/>
      <c r="U61" s="17"/>
    </row>
    <row r="62" spans="2:21" s="18" customFormat="1" ht="11.25" x14ac:dyDescent="0.2">
      <c r="B62" s="81"/>
      <c r="C62" s="1"/>
      <c r="D62" s="1"/>
      <c r="E62" s="4"/>
      <c r="F62" s="4"/>
      <c r="G62" s="1"/>
      <c r="H62" s="1"/>
      <c r="I62" s="1"/>
      <c r="J62" s="16"/>
      <c r="K62" s="1"/>
      <c r="L62" s="16"/>
      <c r="M62" s="1"/>
      <c r="N62" s="1"/>
      <c r="O62" s="2"/>
      <c r="P62" s="2"/>
      <c r="Q62" s="2"/>
      <c r="R62" s="14"/>
      <c r="S62" s="15"/>
      <c r="T62" s="81"/>
      <c r="U62" s="17"/>
    </row>
    <row r="63" spans="2:21" s="18" customFormat="1" ht="11.25" x14ac:dyDescent="0.2">
      <c r="B63" s="81"/>
      <c r="C63" s="1"/>
      <c r="D63" s="1"/>
      <c r="E63" s="4"/>
      <c r="F63" s="4"/>
      <c r="G63" s="1"/>
      <c r="H63" s="1"/>
      <c r="I63" s="1"/>
      <c r="J63" s="16"/>
      <c r="K63" s="1"/>
      <c r="L63" s="16"/>
      <c r="M63" s="1"/>
      <c r="N63" s="1"/>
      <c r="O63" s="2"/>
      <c r="P63" s="2"/>
      <c r="Q63" s="2"/>
      <c r="R63" s="14"/>
      <c r="S63" s="15"/>
      <c r="T63" s="81"/>
      <c r="U63" s="17"/>
    </row>
    <row r="64" spans="2:21" s="18" customFormat="1" ht="11.25" x14ac:dyDescent="0.2">
      <c r="B64" s="81"/>
      <c r="C64" s="1"/>
      <c r="D64" s="1"/>
      <c r="E64" s="4"/>
      <c r="F64" s="4"/>
      <c r="G64" s="1"/>
      <c r="H64" s="1"/>
      <c r="I64" s="1"/>
      <c r="J64" s="16"/>
      <c r="K64" s="1"/>
      <c r="L64" s="16"/>
      <c r="M64" s="1"/>
      <c r="N64" s="1"/>
      <c r="O64" s="2"/>
      <c r="P64" s="2"/>
      <c r="Q64" s="2"/>
      <c r="R64" s="14"/>
      <c r="S64" s="15"/>
      <c r="T64" s="81"/>
      <c r="U64" s="17"/>
    </row>
    <row r="65" spans="2:21" s="18" customFormat="1" ht="11.25" x14ac:dyDescent="0.2">
      <c r="B65" s="81"/>
      <c r="C65" s="1"/>
      <c r="D65" s="1"/>
      <c r="E65" s="4"/>
      <c r="F65" s="4"/>
      <c r="G65" s="1"/>
      <c r="H65" s="1"/>
      <c r="I65" s="1"/>
      <c r="J65" s="16"/>
      <c r="K65" s="1"/>
      <c r="L65" s="16"/>
      <c r="M65" s="1"/>
      <c r="N65" s="1"/>
      <c r="O65" s="2"/>
      <c r="P65" s="2"/>
      <c r="Q65" s="2"/>
      <c r="R65" s="14"/>
      <c r="S65" s="15"/>
      <c r="T65" s="81"/>
      <c r="U65" s="17"/>
    </row>
    <row r="66" spans="2:21" s="18" customFormat="1" ht="11.25" x14ac:dyDescent="0.2">
      <c r="B66" s="81"/>
      <c r="C66" s="1"/>
      <c r="D66" s="1"/>
      <c r="E66" s="4"/>
      <c r="F66" s="4"/>
      <c r="G66" s="1"/>
      <c r="H66" s="1"/>
      <c r="I66" s="1"/>
      <c r="J66" s="16"/>
      <c r="K66" s="1"/>
      <c r="L66" s="16"/>
      <c r="M66" s="1"/>
      <c r="N66" s="1"/>
      <c r="O66" s="2"/>
      <c r="P66" s="2"/>
      <c r="Q66" s="2"/>
      <c r="R66" s="14"/>
      <c r="S66" s="15"/>
      <c r="T66" s="81"/>
      <c r="U66" s="17"/>
    </row>
    <row r="67" spans="2:21" s="18" customFormat="1" ht="11.25" x14ac:dyDescent="0.2">
      <c r="B67" s="81"/>
      <c r="C67" s="1"/>
      <c r="D67" s="1"/>
      <c r="E67" s="4"/>
      <c r="F67" s="4"/>
      <c r="G67" s="1"/>
      <c r="H67" s="1"/>
      <c r="I67" s="1"/>
      <c r="J67" s="16"/>
      <c r="K67" s="1"/>
      <c r="L67" s="16"/>
      <c r="M67" s="1"/>
      <c r="N67" s="1"/>
      <c r="O67" s="2"/>
      <c r="P67" s="2"/>
      <c r="Q67" s="2"/>
      <c r="R67" s="14"/>
      <c r="S67" s="15"/>
      <c r="T67" s="81"/>
      <c r="U67" s="17"/>
    </row>
    <row r="68" spans="2:21" s="18" customFormat="1" ht="11.25" x14ac:dyDescent="0.2">
      <c r="B68" s="81"/>
      <c r="C68" s="1"/>
      <c r="D68" s="1"/>
      <c r="E68" s="4"/>
      <c r="F68" s="4"/>
      <c r="G68" s="1"/>
      <c r="H68" s="1"/>
      <c r="I68" s="1"/>
      <c r="J68" s="16"/>
      <c r="K68" s="1"/>
      <c r="L68" s="16"/>
      <c r="M68" s="1"/>
      <c r="N68" s="1"/>
      <c r="O68" s="2"/>
      <c r="P68" s="2"/>
      <c r="Q68" s="2"/>
      <c r="R68" s="14"/>
      <c r="S68" s="15"/>
      <c r="T68" s="81"/>
      <c r="U68" s="17"/>
    </row>
    <row r="69" spans="2:21" s="18" customFormat="1" ht="11.25" x14ac:dyDescent="0.2">
      <c r="B69" s="81"/>
      <c r="C69" s="1"/>
      <c r="D69" s="1"/>
      <c r="E69" s="4"/>
      <c r="F69" s="4"/>
      <c r="G69" s="1"/>
      <c r="H69" s="1"/>
      <c r="I69" s="1"/>
      <c r="J69" s="16"/>
      <c r="K69" s="1"/>
      <c r="L69" s="16"/>
      <c r="M69" s="1"/>
      <c r="N69" s="1"/>
      <c r="O69" s="2"/>
      <c r="P69" s="2"/>
      <c r="Q69" s="2"/>
      <c r="R69" s="14"/>
      <c r="S69" s="15"/>
      <c r="T69" s="81"/>
      <c r="U69" s="17"/>
    </row>
    <row r="70" spans="2:21" s="18" customFormat="1" ht="11.25" x14ac:dyDescent="0.2">
      <c r="B70" s="81"/>
      <c r="C70" s="1"/>
      <c r="D70" s="1"/>
      <c r="E70" s="4"/>
      <c r="F70" s="4"/>
      <c r="G70" s="1"/>
      <c r="H70" s="1"/>
      <c r="I70" s="1"/>
      <c r="J70" s="16"/>
      <c r="K70" s="1"/>
      <c r="L70" s="16"/>
      <c r="M70" s="1"/>
      <c r="N70" s="1"/>
      <c r="O70" s="2"/>
      <c r="P70" s="2"/>
      <c r="Q70" s="2"/>
      <c r="R70" s="14"/>
      <c r="S70" s="15"/>
      <c r="T70" s="81"/>
      <c r="U70" s="17"/>
    </row>
    <row r="71" spans="2:21" s="18" customFormat="1" ht="11.25" x14ac:dyDescent="0.2">
      <c r="B71" s="81"/>
      <c r="C71" s="1"/>
      <c r="D71" s="1"/>
      <c r="E71" s="4"/>
      <c r="F71" s="4"/>
      <c r="G71" s="1"/>
      <c r="H71" s="1"/>
      <c r="I71" s="1"/>
      <c r="J71" s="16"/>
      <c r="K71" s="1"/>
      <c r="L71" s="16"/>
      <c r="M71" s="1"/>
      <c r="N71" s="1"/>
      <c r="O71" s="2"/>
      <c r="P71" s="2"/>
      <c r="Q71" s="2"/>
      <c r="R71" s="14"/>
      <c r="S71" s="15"/>
      <c r="T71" s="81"/>
      <c r="U71" s="17"/>
    </row>
    <row r="72" spans="2:21" s="18" customFormat="1" ht="11.25" x14ac:dyDescent="0.2">
      <c r="B72" s="81"/>
      <c r="C72" s="1"/>
      <c r="D72" s="1"/>
      <c r="E72" s="4"/>
      <c r="F72" s="4"/>
      <c r="G72" s="1"/>
      <c r="H72" s="1"/>
      <c r="I72" s="1"/>
      <c r="J72" s="16"/>
      <c r="K72" s="1"/>
      <c r="L72" s="16"/>
      <c r="M72" s="1"/>
      <c r="N72" s="1"/>
      <c r="O72" s="2"/>
      <c r="P72" s="2"/>
      <c r="Q72" s="2"/>
      <c r="R72" s="14"/>
      <c r="S72" s="15"/>
      <c r="T72" s="81"/>
      <c r="U72" s="17"/>
    </row>
    <row r="73" spans="2:21" s="18" customFormat="1" ht="11.25" x14ac:dyDescent="0.2">
      <c r="B73" s="81"/>
      <c r="C73" s="1"/>
      <c r="D73" s="1"/>
      <c r="E73" s="4"/>
      <c r="F73" s="4"/>
      <c r="G73" s="1"/>
      <c r="H73" s="1"/>
      <c r="I73" s="1"/>
      <c r="J73" s="16"/>
      <c r="K73" s="1"/>
      <c r="L73" s="16"/>
      <c r="M73" s="1"/>
      <c r="N73" s="1"/>
      <c r="O73" s="2"/>
      <c r="P73" s="2"/>
      <c r="Q73" s="2"/>
      <c r="R73" s="14"/>
      <c r="S73" s="15"/>
      <c r="T73" s="81"/>
      <c r="U73" s="17"/>
    </row>
    <row r="74" spans="2:21" s="18" customFormat="1" ht="11.25" x14ac:dyDescent="0.2">
      <c r="B74" s="81"/>
      <c r="C74" s="1"/>
      <c r="D74" s="1"/>
      <c r="E74" s="4"/>
      <c r="F74" s="4"/>
      <c r="G74" s="1"/>
      <c r="H74" s="1"/>
      <c r="I74" s="1"/>
      <c r="J74" s="16"/>
      <c r="K74" s="1"/>
      <c r="L74" s="16"/>
      <c r="M74" s="1"/>
      <c r="N74" s="1"/>
      <c r="O74" s="2"/>
      <c r="P74" s="2"/>
      <c r="Q74" s="2"/>
      <c r="R74" s="14"/>
      <c r="S74" s="15"/>
      <c r="T74" s="81"/>
      <c r="U74" s="17"/>
    </row>
    <row r="75" spans="2:21" s="18" customFormat="1" ht="11.25" x14ac:dyDescent="0.2">
      <c r="B75" s="81"/>
      <c r="C75" s="1"/>
      <c r="D75" s="1"/>
      <c r="E75" s="4"/>
      <c r="F75" s="4"/>
      <c r="G75" s="1"/>
      <c r="H75" s="1"/>
      <c r="I75" s="1"/>
      <c r="J75" s="16"/>
      <c r="K75" s="1"/>
      <c r="L75" s="16"/>
      <c r="M75" s="1"/>
      <c r="N75" s="1"/>
      <c r="O75" s="2"/>
      <c r="P75" s="2"/>
      <c r="Q75" s="2"/>
      <c r="R75" s="14"/>
      <c r="S75" s="15"/>
      <c r="T75" s="81"/>
      <c r="U75" s="17"/>
    </row>
    <row r="76" spans="2:21" s="18" customFormat="1" ht="11.25" x14ac:dyDescent="0.2">
      <c r="B76" s="81"/>
      <c r="C76" s="1"/>
      <c r="D76" s="1"/>
      <c r="E76" s="4"/>
      <c r="F76" s="4"/>
      <c r="G76" s="1"/>
      <c r="H76" s="1"/>
      <c r="I76" s="1"/>
      <c r="J76" s="16"/>
      <c r="K76" s="1"/>
      <c r="L76" s="16"/>
      <c r="M76" s="1"/>
      <c r="N76" s="1"/>
      <c r="O76" s="2"/>
      <c r="P76" s="2"/>
      <c r="Q76" s="2"/>
      <c r="R76" s="14"/>
      <c r="S76" s="15"/>
      <c r="T76" s="81"/>
      <c r="U76" s="17"/>
    </row>
    <row r="77" spans="2:21" s="18" customFormat="1" ht="11.25" x14ac:dyDescent="0.2">
      <c r="B77" s="81"/>
      <c r="C77" s="1"/>
      <c r="D77" s="1"/>
      <c r="E77" s="4"/>
      <c r="F77" s="4"/>
      <c r="G77" s="1"/>
      <c r="H77" s="1"/>
      <c r="I77" s="1"/>
      <c r="J77" s="16"/>
      <c r="K77" s="1"/>
      <c r="L77" s="16"/>
      <c r="M77" s="1"/>
      <c r="N77" s="1"/>
      <c r="O77" s="2"/>
      <c r="P77" s="2"/>
      <c r="Q77" s="2"/>
      <c r="R77" s="14"/>
      <c r="S77" s="15"/>
      <c r="T77" s="81"/>
      <c r="U77" s="17"/>
    </row>
    <row r="78" spans="2:21" s="18" customFormat="1" ht="11.25" x14ac:dyDescent="0.2">
      <c r="B78" s="81"/>
      <c r="C78" s="1"/>
      <c r="D78" s="1"/>
      <c r="E78" s="4"/>
      <c r="F78" s="4"/>
      <c r="G78" s="1"/>
      <c r="H78" s="1"/>
      <c r="I78" s="1"/>
      <c r="J78" s="16"/>
      <c r="K78" s="1"/>
      <c r="L78" s="16"/>
      <c r="M78" s="1"/>
      <c r="N78" s="1"/>
      <c r="O78" s="2"/>
      <c r="P78" s="2"/>
      <c r="Q78" s="2"/>
      <c r="R78" s="14"/>
      <c r="S78" s="15"/>
      <c r="T78" s="81"/>
      <c r="U78" s="17"/>
    </row>
    <row r="79" spans="2:21" s="18" customFormat="1" ht="11.25" x14ac:dyDescent="0.2">
      <c r="B79" s="81"/>
      <c r="C79" s="1"/>
      <c r="D79" s="1"/>
      <c r="E79" s="4"/>
      <c r="F79" s="4"/>
      <c r="G79" s="1"/>
      <c r="H79" s="1"/>
      <c r="I79" s="1"/>
      <c r="J79" s="16"/>
      <c r="K79" s="1"/>
      <c r="L79" s="16"/>
      <c r="M79" s="1"/>
      <c r="N79" s="1"/>
      <c r="O79" s="2"/>
      <c r="P79" s="2"/>
      <c r="Q79" s="2"/>
      <c r="R79" s="14"/>
      <c r="S79" s="15"/>
      <c r="T79" s="81"/>
      <c r="U79" s="17"/>
    </row>
    <row r="80" spans="2:21" s="18" customFormat="1" ht="11.25" x14ac:dyDescent="0.2">
      <c r="B80" s="81"/>
      <c r="C80" s="1"/>
      <c r="D80" s="1"/>
      <c r="E80" s="4"/>
      <c r="F80" s="4"/>
      <c r="G80" s="1"/>
      <c r="H80" s="1"/>
      <c r="I80" s="1"/>
      <c r="J80" s="16"/>
      <c r="K80" s="1"/>
      <c r="L80" s="16"/>
      <c r="M80" s="1"/>
      <c r="N80" s="1"/>
      <c r="O80" s="2"/>
      <c r="P80" s="2"/>
      <c r="Q80" s="2"/>
      <c r="R80" s="14"/>
      <c r="S80" s="15"/>
      <c r="T80" s="81"/>
      <c r="U80" s="17"/>
    </row>
    <row r="81" spans="2:22" s="18" customFormat="1" ht="11.25" x14ac:dyDescent="0.2">
      <c r="B81" s="81"/>
      <c r="C81" s="1"/>
      <c r="D81" s="1"/>
      <c r="E81" s="4"/>
      <c r="F81" s="4"/>
      <c r="G81" s="1"/>
      <c r="H81" s="1"/>
      <c r="I81" s="1"/>
      <c r="J81" s="16"/>
      <c r="K81" s="1"/>
      <c r="L81" s="16"/>
      <c r="M81" s="1"/>
      <c r="N81" s="1"/>
      <c r="O81" s="2"/>
      <c r="P81" s="2"/>
      <c r="Q81" s="2"/>
      <c r="R81" s="14"/>
      <c r="S81" s="15"/>
      <c r="T81" s="81"/>
      <c r="U81" s="17"/>
    </row>
    <row r="82" spans="2:22" s="18" customFormat="1" ht="11.25" x14ac:dyDescent="0.2">
      <c r="B82" s="81"/>
      <c r="C82" s="1"/>
      <c r="D82" s="1"/>
      <c r="E82" s="4"/>
      <c r="F82" s="4"/>
      <c r="G82" s="1"/>
      <c r="H82" s="1"/>
      <c r="I82" s="1"/>
      <c r="J82" s="16"/>
      <c r="K82" s="1"/>
      <c r="L82" s="16"/>
      <c r="M82" s="1"/>
      <c r="N82" s="1"/>
      <c r="O82" s="2"/>
      <c r="P82" s="2"/>
      <c r="Q82" s="2"/>
      <c r="R82" s="14"/>
      <c r="S82" s="15"/>
      <c r="T82" s="81"/>
      <c r="U82" s="17"/>
    </row>
    <row r="83" spans="2:22" s="18" customFormat="1" ht="11.25" x14ac:dyDescent="0.2">
      <c r="B83" s="81"/>
      <c r="C83" s="1"/>
      <c r="D83" s="1"/>
      <c r="E83" s="4"/>
      <c r="F83" s="4"/>
      <c r="G83" s="1"/>
      <c r="H83" s="1"/>
      <c r="I83" s="1"/>
      <c r="J83" s="16"/>
      <c r="K83" s="1"/>
      <c r="L83" s="16"/>
      <c r="M83" s="1"/>
      <c r="N83" s="1"/>
      <c r="O83" s="2"/>
      <c r="P83" s="2"/>
      <c r="Q83" s="2"/>
      <c r="R83" s="14"/>
      <c r="S83" s="15"/>
      <c r="T83" s="81"/>
      <c r="U83" s="17"/>
    </row>
    <row r="84" spans="2:22" s="18" customFormat="1" ht="11.25" x14ac:dyDescent="0.2">
      <c r="B84" s="81"/>
      <c r="C84" s="1"/>
      <c r="D84" s="1"/>
      <c r="E84" s="4"/>
      <c r="F84" s="4"/>
      <c r="G84" s="1"/>
      <c r="H84" s="1"/>
      <c r="I84" s="1"/>
      <c r="J84" s="16"/>
      <c r="K84" s="1"/>
      <c r="L84" s="16"/>
      <c r="M84" s="1"/>
      <c r="N84" s="1"/>
      <c r="O84" s="2"/>
      <c r="P84" s="2"/>
      <c r="Q84" s="2"/>
      <c r="R84" s="14"/>
      <c r="S84" s="15"/>
      <c r="T84" s="81"/>
      <c r="U84" s="17"/>
    </row>
    <row r="85" spans="2:22" s="18" customFormat="1" ht="11.25" x14ac:dyDescent="0.2">
      <c r="B85" s="81"/>
      <c r="C85" s="1"/>
      <c r="D85" s="1"/>
      <c r="E85" s="4"/>
      <c r="F85" s="4"/>
      <c r="G85" s="1"/>
      <c r="H85" s="1"/>
      <c r="I85" s="1"/>
      <c r="J85" s="16"/>
      <c r="K85" s="1"/>
      <c r="L85" s="16"/>
      <c r="M85" s="1"/>
      <c r="N85" s="1"/>
      <c r="O85" s="2"/>
      <c r="P85" s="2"/>
      <c r="Q85" s="2"/>
      <c r="R85" s="14"/>
      <c r="S85" s="15"/>
      <c r="T85" s="81"/>
      <c r="U85" s="17"/>
    </row>
    <row r="86" spans="2:22" s="18" customFormat="1" ht="11.25" x14ac:dyDescent="0.2">
      <c r="B86" s="81"/>
      <c r="C86" s="1"/>
      <c r="D86" s="1"/>
      <c r="E86" s="4"/>
      <c r="F86" s="4"/>
      <c r="G86" s="1"/>
      <c r="H86" s="1"/>
      <c r="I86" s="1"/>
      <c r="J86" s="16"/>
      <c r="K86" s="1"/>
      <c r="L86" s="16"/>
      <c r="M86" s="1"/>
      <c r="N86" s="1"/>
      <c r="O86" s="2"/>
      <c r="P86" s="2"/>
      <c r="Q86" s="2"/>
      <c r="R86" s="14"/>
      <c r="S86" s="15"/>
      <c r="T86" s="81"/>
      <c r="U86" s="17"/>
    </row>
    <row r="87" spans="2:22" s="18" customFormat="1" ht="11.25" x14ac:dyDescent="0.2">
      <c r="B87" s="81"/>
      <c r="C87" s="1"/>
      <c r="D87" s="1"/>
      <c r="E87" s="4"/>
      <c r="F87" s="4"/>
      <c r="G87" s="1"/>
      <c r="H87" s="1"/>
      <c r="I87" s="1"/>
      <c r="J87" s="16"/>
      <c r="K87" s="1"/>
      <c r="L87" s="16"/>
      <c r="M87" s="1"/>
      <c r="N87" s="1"/>
      <c r="O87" s="2"/>
      <c r="P87" s="2"/>
      <c r="Q87" s="2"/>
      <c r="R87" s="14"/>
      <c r="S87" s="15"/>
      <c r="T87" s="81"/>
      <c r="U87" s="17"/>
    </row>
    <row r="88" spans="2:22" s="18" customFormat="1" ht="11.25" x14ac:dyDescent="0.2">
      <c r="B88" s="81"/>
      <c r="C88" s="1"/>
      <c r="D88" s="1"/>
      <c r="E88" s="4"/>
      <c r="F88" s="4"/>
      <c r="G88" s="1"/>
      <c r="H88" s="1"/>
      <c r="I88" s="1"/>
      <c r="J88" s="16"/>
      <c r="K88" s="1"/>
      <c r="L88" s="16"/>
      <c r="M88" s="1"/>
      <c r="N88" s="1"/>
      <c r="O88" s="2"/>
      <c r="P88" s="2"/>
      <c r="Q88" s="2"/>
      <c r="R88" s="14"/>
      <c r="S88" s="15"/>
      <c r="T88" s="81"/>
      <c r="U88" s="17"/>
    </row>
    <row r="89" spans="2:22" s="18" customFormat="1" ht="11.25" x14ac:dyDescent="0.2">
      <c r="B89" s="81"/>
      <c r="C89" s="1"/>
      <c r="D89" s="1"/>
      <c r="E89" s="4"/>
      <c r="F89" s="4"/>
      <c r="G89" s="1"/>
      <c r="H89" s="1"/>
      <c r="I89" s="1"/>
      <c r="J89" s="16"/>
      <c r="K89" s="1"/>
      <c r="L89" s="16"/>
      <c r="M89" s="1"/>
      <c r="N89" s="1"/>
      <c r="O89" s="2"/>
      <c r="P89" s="2"/>
      <c r="Q89" s="2"/>
      <c r="R89" s="14"/>
      <c r="S89" s="15"/>
      <c r="T89" s="81"/>
      <c r="U89" s="17"/>
    </row>
    <row r="90" spans="2:22" s="18" customFormat="1" ht="11.25" x14ac:dyDescent="0.2">
      <c r="B90" s="81"/>
      <c r="C90" s="1"/>
      <c r="D90" s="1"/>
      <c r="E90" s="4"/>
      <c r="F90" s="4"/>
      <c r="G90" s="1"/>
      <c r="H90" s="1"/>
      <c r="I90" s="1"/>
      <c r="J90" s="16"/>
      <c r="K90" s="1"/>
      <c r="L90" s="16"/>
      <c r="M90" s="1"/>
      <c r="N90" s="1"/>
      <c r="O90" s="2"/>
      <c r="P90" s="2"/>
      <c r="Q90" s="2"/>
      <c r="R90" s="14"/>
      <c r="S90" s="15"/>
      <c r="T90" s="81"/>
      <c r="U90" s="17"/>
    </row>
    <row r="91" spans="2:22" s="18" customFormat="1" ht="11.25" x14ac:dyDescent="0.2">
      <c r="B91" s="81"/>
      <c r="C91" s="1"/>
      <c r="D91" s="1"/>
      <c r="E91" s="4"/>
      <c r="F91" s="4"/>
      <c r="G91" s="1"/>
      <c r="H91" s="1"/>
      <c r="I91" s="1"/>
      <c r="J91" s="16"/>
      <c r="K91" s="1"/>
      <c r="L91" s="16"/>
      <c r="M91" s="1"/>
      <c r="N91" s="1"/>
      <c r="O91" s="2"/>
      <c r="P91" s="2"/>
      <c r="Q91" s="2"/>
      <c r="R91" s="14"/>
      <c r="S91" s="15"/>
      <c r="T91" s="81"/>
      <c r="U91" s="17"/>
    </row>
    <row r="92" spans="2:22" x14ac:dyDescent="0.2">
      <c r="V92" s="19"/>
    </row>
  </sheetData>
  <mergeCells count="5">
    <mergeCell ref="A1:O1"/>
    <mergeCell ref="A3:A4"/>
    <mergeCell ref="B3:B4"/>
    <mergeCell ref="C3:N3"/>
    <mergeCell ref="O3:O4"/>
  </mergeCells>
  <phoneticPr fontId="7" type="noConversion"/>
  <pageMargins left="0.75" right="0.75" top="1" bottom="1" header="0.5" footer="0.5"/>
  <pageSetup paperSize="122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A7BA-AE9D-4A4C-AAE7-61EAAEC44CB9}">
  <dimension ref="A1:V92"/>
  <sheetViews>
    <sheetView zoomScaleNormal="100" workbookViewId="0">
      <pane xSplit="2" topLeftCell="J1" activePane="topRight" state="frozen"/>
      <selection pane="topRight" activeCell="H6" sqref="H6"/>
    </sheetView>
  </sheetViews>
  <sheetFormatPr defaultRowHeight="15" x14ac:dyDescent="0.2"/>
  <cols>
    <col min="1" max="1" width="5.109375" style="19" customWidth="1"/>
    <col min="2" max="2" width="49.33203125" style="16" customWidth="1"/>
    <col min="3" max="4" width="15.77734375" style="16" customWidth="1"/>
    <col min="5" max="6" width="15.77734375" style="69" customWidth="1"/>
    <col min="7" max="10" width="15.77734375" style="16" customWidth="1"/>
    <col min="11" max="11" width="15.77734375" style="1" customWidth="1"/>
    <col min="12" max="13" width="15.77734375" style="16" customWidth="1"/>
    <col min="14" max="14" width="15.77734375" style="1" customWidth="1"/>
    <col min="15" max="15" width="15.77734375" style="2" customWidth="1"/>
    <col min="16" max="17" width="10.5546875" style="2" customWidth="1"/>
    <col min="18" max="18" width="11" style="14" customWidth="1"/>
    <col min="19" max="19" width="13.109375" style="15" bestFit="1" customWidth="1"/>
    <col min="20" max="20" width="27.21875" style="16" customWidth="1"/>
    <col min="21" max="21" width="14.44140625" style="17" bestFit="1" customWidth="1"/>
    <col min="22" max="22" width="11.77734375" style="18" bestFit="1" customWidth="1"/>
    <col min="23" max="25" width="8.88671875" style="19"/>
    <col min="26" max="26" width="13.44140625" style="19" bestFit="1" customWidth="1"/>
    <col min="27" max="237" width="8.88671875" style="19"/>
    <col min="238" max="238" width="5.109375" style="19" customWidth="1"/>
    <col min="239" max="239" width="49.33203125" style="19" customWidth="1"/>
    <col min="240" max="271" width="15.77734375" style="19" customWidth="1"/>
    <col min="272" max="273" width="10.5546875" style="19" customWidth="1"/>
    <col min="274" max="274" width="11" style="19" customWidth="1"/>
    <col min="275" max="275" width="13.109375" style="19" bestFit="1" customWidth="1"/>
    <col min="276" max="276" width="27.21875" style="19" customWidth="1"/>
    <col min="277" max="277" width="14.44140625" style="19" bestFit="1" customWidth="1"/>
    <col min="278" max="278" width="11.77734375" style="19" bestFit="1" customWidth="1"/>
    <col min="279" max="281" width="8.88671875" style="19"/>
    <col min="282" max="282" width="13.44140625" style="19" bestFit="1" customWidth="1"/>
    <col min="283" max="493" width="8.88671875" style="19"/>
    <col min="494" max="494" width="5.109375" style="19" customWidth="1"/>
    <col min="495" max="495" width="49.33203125" style="19" customWidth="1"/>
    <col min="496" max="527" width="15.77734375" style="19" customWidth="1"/>
    <col min="528" max="529" width="10.5546875" style="19" customWidth="1"/>
    <col min="530" max="530" width="11" style="19" customWidth="1"/>
    <col min="531" max="531" width="13.109375" style="19" bestFit="1" customWidth="1"/>
    <col min="532" max="532" width="27.21875" style="19" customWidth="1"/>
    <col min="533" max="533" width="14.44140625" style="19" bestFit="1" customWidth="1"/>
    <col min="534" max="534" width="11.77734375" style="19" bestFit="1" customWidth="1"/>
    <col min="535" max="537" width="8.88671875" style="19"/>
    <col min="538" max="538" width="13.44140625" style="19" bestFit="1" customWidth="1"/>
    <col min="539" max="749" width="8.88671875" style="19"/>
    <col min="750" max="750" width="5.109375" style="19" customWidth="1"/>
    <col min="751" max="751" width="49.33203125" style="19" customWidth="1"/>
    <col min="752" max="783" width="15.77734375" style="19" customWidth="1"/>
    <col min="784" max="785" width="10.5546875" style="19" customWidth="1"/>
    <col min="786" max="786" width="11" style="19" customWidth="1"/>
    <col min="787" max="787" width="13.109375" style="19" bestFit="1" customWidth="1"/>
    <col min="788" max="788" width="27.21875" style="19" customWidth="1"/>
    <col min="789" max="789" width="14.44140625" style="19" bestFit="1" customWidth="1"/>
    <col min="790" max="790" width="11.77734375" style="19" bestFit="1" customWidth="1"/>
    <col min="791" max="793" width="8.88671875" style="19"/>
    <col min="794" max="794" width="13.44140625" style="19" bestFit="1" customWidth="1"/>
    <col min="795" max="1005" width="8.88671875" style="19"/>
    <col min="1006" max="1006" width="5.109375" style="19" customWidth="1"/>
    <col min="1007" max="1007" width="49.33203125" style="19" customWidth="1"/>
    <col min="1008" max="1039" width="15.77734375" style="19" customWidth="1"/>
    <col min="1040" max="1041" width="10.5546875" style="19" customWidth="1"/>
    <col min="1042" max="1042" width="11" style="19" customWidth="1"/>
    <col min="1043" max="1043" width="13.109375" style="19" bestFit="1" customWidth="1"/>
    <col min="1044" max="1044" width="27.21875" style="19" customWidth="1"/>
    <col min="1045" max="1045" width="14.44140625" style="19" bestFit="1" customWidth="1"/>
    <col min="1046" max="1046" width="11.77734375" style="19" bestFit="1" customWidth="1"/>
    <col min="1047" max="1049" width="8.88671875" style="19"/>
    <col min="1050" max="1050" width="13.44140625" style="19" bestFit="1" customWidth="1"/>
    <col min="1051" max="1261" width="8.88671875" style="19"/>
    <col min="1262" max="1262" width="5.109375" style="19" customWidth="1"/>
    <col min="1263" max="1263" width="49.33203125" style="19" customWidth="1"/>
    <col min="1264" max="1295" width="15.77734375" style="19" customWidth="1"/>
    <col min="1296" max="1297" width="10.5546875" style="19" customWidth="1"/>
    <col min="1298" max="1298" width="11" style="19" customWidth="1"/>
    <col min="1299" max="1299" width="13.109375" style="19" bestFit="1" customWidth="1"/>
    <col min="1300" max="1300" width="27.21875" style="19" customWidth="1"/>
    <col min="1301" max="1301" width="14.44140625" style="19" bestFit="1" customWidth="1"/>
    <col min="1302" max="1302" width="11.77734375" style="19" bestFit="1" customWidth="1"/>
    <col min="1303" max="1305" width="8.88671875" style="19"/>
    <col min="1306" max="1306" width="13.44140625" style="19" bestFit="1" customWidth="1"/>
    <col min="1307" max="1517" width="8.88671875" style="19"/>
    <col min="1518" max="1518" width="5.109375" style="19" customWidth="1"/>
    <col min="1519" max="1519" width="49.33203125" style="19" customWidth="1"/>
    <col min="1520" max="1551" width="15.77734375" style="19" customWidth="1"/>
    <col min="1552" max="1553" width="10.5546875" style="19" customWidth="1"/>
    <col min="1554" max="1554" width="11" style="19" customWidth="1"/>
    <col min="1555" max="1555" width="13.109375" style="19" bestFit="1" customWidth="1"/>
    <col min="1556" max="1556" width="27.21875" style="19" customWidth="1"/>
    <col min="1557" max="1557" width="14.44140625" style="19" bestFit="1" customWidth="1"/>
    <col min="1558" max="1558" width="11.77734375" style="19" bestFit="1" customWidth="1"/>
    <col min="1559" max="1561" width="8.88671875" style="19"/>
    <col min="1562" max="1562" width="13.44140625" style="19" bestFit="1" customWidth="1"/>
    <col min="1563" max="1773" width="8.88671875" style="19"/>
    <col min="1774" max="1774" width="5.109375" style="19" customWidth="1"/>
    <col min="1775" max="1775" width="49.33203125" style="19" customWidth="1"/>
    <col min="1776" max="1807" width="15.77734375" style="19" customWidth="1"/>
    <col min="1808" max="1809" width="10.5546875" style="19" customWidth="1"/>
    <col min="1810" max="1810" width="11" style="19" customWidth="1"/>
    <col min="1811" max="1811" width="13.109375" style="19" bestFit="1" customWidth="1"/>
    <col min="1812" max="1812" width="27.21875" style="19" customWidth="1"/>
    <col min="1813" max="1813" width="14.44140625" style="19" bestFit="1" customWidth="1"/>
    <col min="1814" max="1814" width="11.77734375" style="19" bestFit="1" customWidth="1"/>
    <col min="1815" max="1817" width="8.88671875" style="19"/>
    <col min="1818" max="1818" width="13.44140625" style="19" bestFit="1" customWidth="1"/>
    <col min="1819" max="2029" width="8.88671875" style="19"/>
    <col min="2030" max="2030" width="5.109375" style="19" customWidth="1"/>
    <col min="2031" max="2031" width="49.33203125" style="19" customWidth="1"/>
    <col min="2032" max="2063" width="15.77734375" style="19" customWidth="1"/>
    <col min="2064" max="2065" width="10.5546875" style="19" customWidth="1"/>
    <col min="2066" max="2066" width="11" style="19" customWidth="1"/>
    <col min="2067" max="2067" width="13.109375" style="19" bestFit="1" customWidth="1"/>
    <col min="2068" max="2068" width="27.21875" style="19" customWidth="1"/>
    <col min="2069" max="2069" width="14.44140625" style="19" bestFit="1" customWidth="1"/>
    <col min="2070" max="2070" width="11.77734375" style="19" bestFit="1" customWidth="1"/>
    <col min="2071" max="2073" width="8.88671875" style="19"/>
    <col min="2074" max="2074" width="13.44140625" style="19" bestFit="1" customWidth="1"/>
    <col min="2075" max="2285" width="8.88671875" style="19"/>
    <col min="2286" max="2286" width="5.109375" style="19" customWidth="1"/>
    <col min="2287" max="2287" width="49.33203125" style="19" customWidth="1"/>
    <col min="2288" max="2319" width="15.77734375" style="19" customWidth="1"/>
    <col min="2320" max="2321" width="10.5546875" style="19" customWidth="1"/>
    <col min="2322" max="2322" width="11" style="19" customWidth="1"/>
    <col min="2323" max="2323" width="13.109375" style="19" bestFit="1" customWidth="1"/>
    <col min="2324" max="2324" width="27.21875" style="19" customWidth="1"/>
    <col min="2325" max="2325" width="14.44140625" style="19" bestFit="1" customWidth="1"/>
    <col min="2326" max="2326" width="11.77734375" style="19" bestFit="1" customWidth="1"/>
    <col min="2327" max="2329" width="8.88671875" style="19"/>
    <col min="2330" max="2330" width="13.44140625" style="19" bestFit="1" customWidth="1"/>
    <col min="2331" max="2541" width="8.88671875" style="19"/>
    <col min="2542" max="2542" width="5.109375" style="19" customWidth="1"/>
    <col min="2543" max="2543" width="49.33203125" style="19" customWidth="1"/>
    <col min="2544" max="2575" width="15.77734375" style="19" customWidth="1"/>
    <col min="2576" max="2577" width="10.5546875" style="19" customWidth="1"/>
    <col min="2578" max="2578" width="11" style="19" customWidth="1"/>
    <col min="2579" max="2579" width="13.109375" style="19" bestFit="1" customWidth="1"/>
    <col min="2580" max="2580" width="27.21875" style="19" customWidth="1"/>
    <col min="2581" max="2581" width="14.44140625" style="19" bestFit="1" customWidth="1"/>
    <col min="2582" max="2582" width="11.77734375" style="19" bestFit="1" customWidth="1"/>
    <col min="2583" max="2585" width="8.88671875" style="19"/>
    <col min="2586" max="2586" width="13.44140625" style="19" bestFit="1" customWidth="1"/>
    <col min="2587" max="2797" width="8.88671875" style="19"/>
    <col min="2798" max="2798" width="5.109375" style="19" customWidth="1"/>
    <col min="2799" max="2799" width="49.33203125" style="19" customWidth="1"/>
    <col min="2800" max="2831" width="15.77734375" style="19" customWidth="1"/>
    <col min="2832" max="2833" width="10.5546875" style="19" customWidth="1"/>
    <col min="2834" max="2834" width="11" style="19" customWidth="1"/>
    <col min="2835" max="2835" width="13.109375" style="19" bestFit="1" customWidth="1"/>
    <col min="2836" max="2836" width="27.21875" style="19" customWidth="1"/>
    <col min="2837" max="2837" width="14.44140625" style="19" bestFit="1" customWidth="1"/>
    <col min="2838" max="2838" width="11.77734375" style="19" bestFit="1" customWidth="1"/>
    <col min="2839" max="2841" width="8.88671875" style="19"/>
    <col min="2842" max="2842" width="13.44140625" style="19" bestFit="1" customWidth="1"/>
    <col min="2843" max="3053" width="8.88671875" style="19"/>
    <col min="3054" max="3054" width="5.109375" style="19" customWidth="1"/>
    <col min="3055" max="3055" width="49.33203125" style="19" customWidth="1"/>
    <col min="3056" max="3087" width="15.77734375" style="19" customWidth="1"/>
    <col min="3088" max="3089" width="10.5546875" style="19" customWidth="1"/>
    <col min="3090" max="3090" width="11" style="19" customWidth="1"/>
    <col min="3091" max="3091" width="13.109375" style="19" bestFit="1" customWidth="1"/>
    <col min="3092" max="3092" width="27.21875" style="19" customWidth="1"/>
    <col min="3093" max="3093" width="14.44140625" style="19" bestFit="1" customWidth="1"/>
    <col min="3094" max="3094" width="11.77734375" style="19" bestFit="1" customWidth="1"/>
    <col min="3095" max="3097" width="8.88671875" style="19"/>
    <col min="3098" max="3098" width="13.44140625" style="19" bestFit="1" customWidth="1"/>
    <col min="3099" max="3309" width="8.88671875" style="19"/>
    <col min="3310" max="3310" width="5.109375" style="19" customWidth="1"/>
    <col min="3311" max="3311" width="49.33203125" style="19" customWidth="1"/>
    <col min="3312" max="3343" width="15.77734375" style="19" customWidth="1"/>
    <col min="3344" max="3345" width="10.5546875" style="19" customWidth="1"/>
    <col min="3346" max="3346" width="11" style="19" customWidth="1"/>
    <col min="3347" max="3347" width="13.109375" style="19" bestFit="1" customWidth="1"/>
    <col min="3348" max="3348" width="27.21875" style="19" customWidth="1"/>
    <col min="3349" max="3349" width="14.44140625" style="19" bestFit="1" customWidth="1"/>
    <col min="3350" max="3350" width="11.77734375" style="19" bestFit="1" customWidth="1"/>
    <col min="3351" max="3353" width="8.88671875" style="19"/>
    <col min="3354" max="3354" width="13.44140625" style="19" bestFit="1" customWidth="1"/>
    <col min="3355" max="3565" width="8.88671875" style="19"/>
    <col min="3566" max="3566" width="5.109375" style="19" customWidth="1"/>
    <col min="3567" max="3567" width="49.33203125" style="19" customWidth="1"/>
    <col min="3568" max="3599" width="15.77734375" style="19" customWidth="1"/>
    <col min="3600" max="3601" width="10.5546875" style="19" customWidth="1"/>
    <col min="3602" max="3602" width="11" style="19" customWidth="1"/>
    <col min="3603" max="3603" width="13.109375" style="19" bestFit="1" customWidth="1"/>
    <col min="3604" max="3604" width="27.21875" style="19" customWidth="1"/>
    <col min="3605" max="3605" width="14.44140625" style="19" bestFit="1" customWidth="1"/>
    <col min="3606" max="3606" width="11.77734375" style="19" bestFit="1" customWidth="1"/>
    <col min="3607" max="3609" width="8.88671875" style="19"/>
    <col min="3610" max="3610" width="13.44140625" style="19" bestFit="1" customWidth="1"/>
    <col min="3611" max="3821" width="8.88671875" style="19"/>
    <col min="3822" max="3822" width="5.109375" style="19" customWidth="1"/>
    <col min="3823" max="3823" width="49.33203125" style="19" customWidth="1"/>
    <col min="3824" max="3855" width="15.77734375" style="19" customWidth="1"/>
    <col min="3856" max="3857" width="10.5546875" style="19" customWidth="1"/>
    <col min="3858" max="3858" width="11" style="19" customWidth="1"/>
    <col min="3859" max="3859" width="13.109375" style="19" bestFit="1" customWidth="1"/>
    <col min="3860" max="3860" width="27.21875" style="19" customWidth="1"/>
    <col min="3861" max="3861" width="14.44140625" style="19" bestFit="1" customWidth="1"/>
    <col min="3862" max="3862" width="11.77734375" style="19" bestFit="1" customWidth="1"/>
    <col min="3863" max="3865" width="8.88671875" style="19"/>
    <col min="3866" max="3866" width="13.44140625" style="19" bestFit="1" customWidth="1"/>
    <col min="3867" max="4077" width="8.88671875" style="19"/>
    <col min="4078" max="4078" width="5.109375" style="19" customWidth="1"/>
    <col min="4079" max="4079" width="49.33203125" style="19" customWidth="1"/>
    <col min="4080" max="4111" width="15.77734375" style="19" customWidth="1"/>
    <col min="4112" max="4113" width="10.5546875" style="19" customWidth="1"/>
    <col min="4114" max="4114" width="11" style="19" customWidth="1"/>
    <col min="4115" max="4115" width="13.109375" style="19" bestFit="1" customWidth="1"/>
    <col min="4116" max="4116" width="27.21875" style="19" customWidth="1"/>
    <col min="4117" max="4117" width="14.44140625" style="19" bestFit="1" customWidth="1"/>
    <col min="4118" max="4118" width="11.77734375" style="19" bestFit="1" customWidth="1"/>
    <col min="4119" max="4121" width="8.88671875" style="19"/>
    <col min="4122" max="4122" width="13.44140625" style="19" bestFit="1" customWidth="1"/>
    <col min="4123" max="4333" width="8.88671875" style="19"/>
    <col min="4334" max="4334" width="5.109375" style="19" customWidth="1"/>
    <col min="4335" max="4335" width="49.33203125" style="19" customWidth="1"/>
    <col min="4336" max="4367" width="15.77734375" style="19" customWidth="1"/>
    <col min="4368" max="4369" width="10.5546875" style="19" customWidth="1"/>
    <col min="4370" max="4370" width="11" style="19" customWidth="1"/>
    <col min="4371" max="4371" width="13.109375" style="19" bestFit="1" customWidth="1"/>
    <col min="4372" max="4372" width="27.21875" style="19" customWidth="1"/>
    <col min="4373" max="4373" width="14.44140625" style="19" bestFit="1" customWidth="1"/>
    <col min="4374" max="4374" width="11.77734375" style="19" bestFit="1" customWidth="1"/>
    <col min="4375" max="4377" width="8.88671875" style="19"/>
    <col min="4378" max="4378" width="13.44140625" style="19" bestFit="1" customWidth="1"/>
    <col min="4379" max="4589" width="8.88671875" style="19"/>
    <col min="4590" max="4590" width="5.109375" style="19" customWidth="1"/>
    <col min="4591" max="4591" width="49.33203125" style="19" customWidth="1"/>
    <col min="4592" max="4623" width="15.77734375" style="19" customWidth="1"/>
    <col min="4624" max="4625" width="10.5546875" style="19" customWidth="1"/>
    <col min="4626" max="4626" width="11" style="19" customWidth="1"/>
    <col min="4627" max="4627" width="13.109375" style="19" bestFit="1" customWidth="1"/>
    <col min="4628" max="4628" width="27.21875" style="19" customWidth="1"/>
    <col min="4629" max="4629" width="14.44140625" style="19" bestFit="1" customWidth="1"/>
    <col min="4630" max="4630" width="11.77734375" style="19" bestFit="1" customWidth="1"/>
    <col min="4631" max="4633" width="8.88671875" style="19"/>
    <col min="4634" max="4634" width="13.44140625" style="19" bestFit="1" customWidth="1"/>
    <col min="4635" max="4845" width="8.88671875" style="19"/>
    <col min="4846" max="4846" width="5.109375" style="19" customWidth="1"/>
    <col min="4847" max="4847" width="49.33203125" style="19" customWidth="1"/>
    <col min="4848" max="4879" width="15.77734375" style="19" customWidth="1"/>
    <col min="4880" max="4881" width="10.5546875" style="19" customWidth="1"/>
    <col min="4882" max="4882" width="11" style="19" customWidth="1"/>
    <col min="4883" max="4883" width="13.109375" style="19" bestFit="1" customWidth="1"/>
    <col min="4884" max="4884" width="27.21875" style="19" customWidth="1"/>
    <col min="4885" max="4885" width="14.44140625" style="19" bestFit="1" customWidth="1"/>
    <col min="4886" max="4886" width="11.77734375" style="19" bestFit="1" customWidth="1"/>
    <col min="4887" max="4889" width="8.88671875" style="19"/>
    <col min="4890" max="4890" width="13.44140625" style="19" bestFit="1" customWidth="1"/>
    <col min="4891" max="5101" width="8.88671875" style="19"/>
    <col min="5102" max="5102" width="5.109375" style="19" customWidth="1"/>
    <col min="5103" max="5103" width="49.33203125" style="19" customWidth="1"/>
    <col min="5104" max="5135" width="15.77734375" style="19" customWidth="1"/>
    <col min="5136" max="5137" width="10.5546875" style="19" customWidth="1"/>
    <col min="5138" max="5138" width="11" style="19" customWidth="1"/>
    <col min="5139" max="5139" width="13.109375" style="19" bestFit="1" customWidth="1"/>
    <col min="5140" max="5140" width="27.21875" style="19" customWidth="1"/>
    <col min="5141" max="5141" width="14.44140625" style="19" bestFit="1" customWidth="1"/>
    <col min="5142" max="5142" width="11.77734375" style="19" bestFit="1" customWidth="1"/>
    <col min="5143" max="5145" width="8.88671875" style="19"/>
    <col min="5146" max="5146" width="13.44140625" style="19" bestFit="1" customWidth="1"/>
    <col min="5147" max="5357" width="8.88671875" style="19"/>
    <col min="5358" max="5358" width="5.109375" style="19" customWidth="1"/>
    <col min="5359" max="5359" width="49.33203125" style="19" customWidth="1"/>
    <col min="5360" max="5391" width="15.77734375" style="19" customWidth="1"/>
    <col min="5392" max="5393" width="10.5546875" style="19" customWidth="1"/>
    <col min="5394" max="5394" width="11" style="19" customWidth="1"/>
    <col min="5395" max="5395" width="13.109375" style="19" bestFit="1" customWidth="1"/>
    <col min="5396" max="5396" width="27.21875" style="19" customWidth="1"/>
    <col min="5397" max="5397" width="14.44140625" style="19" bestFit="1" customWidth="1"/>
    <col min="5398" max="5398" width="11.77734375" style="19" bestFit="1" customWidth="1"/>
    <col min="5399" max="5401" width="8.88671875" style="19"/>
    <col min="5402" max="5402" width="13.44140625" style="19" bestFit="1" customWidth="1"/>
    <col min="5403" max="5613" width="8.88671875" style="19"/>
    <col min="5614" max="5614" width="5.109375" style="19" customWidth="1"/>
    <col min="5615" max="5615" width="49.33203125" style="19" customWidth="1"/>
    <col min="5616" max="5647" width="15.77734375" style="19" customWidth="1"/>
    <col min="5648" max="5649" width="10.5546875" style="19" customWidth="1"/>
    <col min="5650" max="5650" width="11" style="19" customWidth="1"/>
    <col min="5651" max="5651" width="13.109375" style="19" bestFit="1" customWidth="1"/>
    <col min="5652" max="5652" width="27.21875" style="19" customWidth="1"/>
    <col min="5653" max="5653" width="14.44140625" style="19" bestFit="1" customWidth="1"/>
    <col min="5654" max="5654" width="11.77734375" style="19" bestFit="1" customWidth="1"/>
    <col min="5655" max="5657" width="8.88671875" style="19"/>
    <col min="5658" max="5658" width="13.44140625" style="19" bestFit="1" customWidth="1"/>
    <col min="5659" max="5869" width="8.88671875" style="19"/>
    <col min="5870" max="5870" width="5.109375" style="19" customWidth="1"/>
    <col min="5871" max="5871" width="49.33203125" style="19" customWidth="1"/>
    <col min="5872" max="5903" width="15.77734375" style="19" customWidth="1"/>
    <col min="5904" max="5905" width="10.5546875" style="19" customWidth="1"/>
    <col min="5906" max="5906" width="11" style="19" customWidth="1"/>
    <col min="5907" max="5907" width="13.109375" style="19" bestFit="1" customWidth="1"/>
    <col min="5908" max="5908" width="27.21875" style="19" customWidth="1"/>
    <col min="5909" max="5909" width="14.44140625" style="19" bestFit="1" customWidth="1"/>
    <col min="5910" max="5910" width="11.77734375" style="19" bestFit="1" customWidth="1"/>
    <col min="5911" max="5913" width="8.88671875" style="19"/>
    <col min="5914" max="5914" width="13.44140625" style="19" bestFit="1" customWidth="1"/>
    <col min="5915" max="6125" width="8.88671875" style="19"/>
    <col min="6126" max="6126" width="5.109375" style="19" customWidth="1"/>
    <col min="6127" max="6127" width="49.33203125" style="19" customWidth="1"/>
    <col min="6128" max="6159" width="15.77734375" style="19" customWidth="1"/>
    <col min="6160" max="6161" width="10.5546875" style="19" customWidth="1"/>
    <col min="6162" max="6162" width="11" style="19" customWidth="1"/>
    <col min="6163" max="6163" width="13.109375" style="19" bestFit="1" customWidth="1"/>
    <col min="6164" max="6164" width="27.21875" style="19" customWidth="1"/>
    <col min="6165" max="6165" width="14.44140625" style="19" bestFit="1" customWidth="1"/>
    <col min="6166" max="6166" width="11.77734375" style="19" bestFit="1" customWidth="1"/>
    <col min="6167" max="6169" width="8.88671875" style="19"/>
    <col min="6170" max="6170" width="13.44140625" style="19" bestFit="1" customWidth="1"/>
    <col min="6171" max="6381" width="8.88671875" style="19"/>
    <col min="6382" max="6382" width="5.109375" style="19" customWidth="1"/>
    <col min="6383" max="6383" width="49.33203125" style="19" customWidth="1"/>
    <col min="6384" max="6415" width="15.77734375" style="19" customWidth="1"/>
    <col min="6416" max="6417" width="10.5546875" style="19" customWidth="1"/>
    <col min="6418" max="6418" width="11" style="19" customWidth="1"/>
    <col min="6419" max="6419" width="13.109375" style="19" bestFit="1" customWidth="1"/>
    <col min="6420" max="6420" width="27.21875" style="19" customWidth="1"/>
    <col min="6421" max="6421" width="14.44140625" style="19" bestFit="1" customWidth="1"/>
    <col min="6422" max="6422" width="11.77734375" style="19" bestFit="1" customWidth="1"/>
    <col min="6423" max="6425" width="8.88671875" style="19"/>
    <col min="6426" max="6426" width="13.44140625" style="19" bestFit="1" customWidth="1"/>
    <col min="6427" max="6637" width="8.88671875" style="19"/>
    <col min="6638" max="6638" width="5.109375" style="19" customWidth="1"/>
    <col min="6639" max="6639" width="49.33203125" style="19" customWidth="1"/>
    <col min="6640" max="6671" width="15.77734375" style="19" customWidth="1"/>
    <col min="6672" max="6673" width="10.5546875" style="19" customWidth="1"/>
    <col min="6674" max="6674" width="11" style="19" customWidth="1"/>
    <col min="6675" max="6675" width="13.109375" style="19" bestFit="1" customWidth="1"/>
    <col min="6676" max="6676" width="27.21875" style="19" customWidth="1"/>
    <col min="6677" max="6677" width="14.44140625" style="19" bestFit="1" customWidth="1"/>
    <col min="6678" max="6678" width="11.77734375" style="19" bestFit="1" customWidth="1"/>
    <col min="6679" max="6681" width="8.88671875" style="19"/>
    <col min="6682" max="6682" width="13.44140625" style="19" bestFit="1" customWidth="1"/>
    <col min="6683" max="6893" width="8.88671875" style="19"/>
    <col min="6894" max="6894" width="5.109375" style="19" customWidth="1"/>
    <col min="6895" max="6895" width="49.33203125" style="19" customWidth="1"/>
    <col min="6896" max="6927" width="15.77734375" style="19" customWidth="1"/>
    <col min="6928" max="6929" width="10.5546875" style="19" customWidth="1"/>
    <col min="6930" max="6930" width="11" style="19" customWidth="1"/>
    <col min="6931" max="6931" width="13.109375" style="19" bestFit="1" customWidth="1"/>
    <col min="6932" max="6932" width="27.21875" style="19" customWidth="1"/>
    <col min="6933" max="6933" width="14.44140625" style="19" bestFit="1" customWidth="1"/>
    <col min="6934" max="6934" width="11.77734375" style="19" bestFit="1" customWidth="1"/>
    <col min="6935" max="6937" width="8.88671875" style="19"/>
    <col min="6938" max="6938" width="13.44140625" style="19" bestFit="1" customWidth="1"/>
    <col min="6939" max="7149" width="8.88671875" style="19"/>
    <col min="7150" max="7150" width="5.109375" style="19" customWidth="1"/>
    <col min="7151" max="7151" width="49.33203125" style="19" customWidth="1"/>
    <col min="7152" max="7183" width="15.77734375" style="19" customWidth="1"/>
    <col min="7184" max="7185" width="10.5546875" style="19" customWidth="1"/>
    <col min="7186" max="7186" width="11" style="19" customWidth="1"/>
    <col min="7187" max="7187" width="13.109375" style="19" bestFit="1" customWidth="1"/>
    <col min="7188" max="7188" width="27.21875" style="19" customWidth="1"/>
    <col min="7189" max="7189" width="14.44140625" style="19" bestFit="1" customWidth="1"/>
    <col min="7190" max="7190" width="11.77734375" style="19" bestFit="1" customWidth="1"/>
    <col min="7191" max="7193" width="8.88671875" style="19"/>
    <col min="7194" max="7194" width="13.44140625" style="19" bestFit="1" customWidth="1"/>
    <col min="7195" max="7405" width="8.88671875" style="19"/>
    <col min="7406" max="7406" width="5.109375" style="19" customWidth="1"/>
    <col min="7407" max="7407" width="49.33203125" style="19" customWidth="1"/>
    <col min="7408" max="7439" width="15.77734375" style="19" customWidth="1"/>
    <col min="7440" max="7441" width="10.5546875" style="19" customWidth="1"/>
    <col min="7442" max="7442" width="11" style="19" customWidth="1"/>
    <col min="7443" max="7443" width="13.109375" style="19" bestFit="1" customWidth="1"/>
    <col min="7444" max="7444" width="27.21875" style="19" customWidth="1"/>
    <col min="7445" max="7445" width="14.44140625" style="19" bestFit="1" customWidth="1"/>
    <col min="7446" max="7446" width="11.77734375" style="19" bestFit="1" customWidth="1"/>
    <col min="7447" max="7449" width="8.88671875" style="19"/>
    <col min="7450" max="7450" width="13.44140625" style="19" bestFit="1" customWidth="1"/>
    <col min="7451" max="7661" width="8.88671875" style="19"/>
    <col min="7662" max="7662" width="5.109375" style="19" customWidth="1"/>
    <col min="7663" max="7663" width="49.33203125" style="19" customWidth="1"/>
    <col min="7664" max="7695" width="15.77734375" style="19" customWidth="1"/>
    <col min="7696" max="7697" width="10.5546875" style="19" customWidth="1"/>
    <col min="7698" max="7698" width="11" style="19" customWidth="1"/>
    <col min="7699" max="7699" width="13.109375" style="19" bestFit="1" customWidth="1"/>
    <col min="7700" max="7700" width="27.21875" style="19" customWidth="1"/>
    <col min="7701" max="7701" width="14.44140625" style="19" bestFit="1" customWidth="1"/>
    <col min="7702" max="7702" width="11.77734375" style="19" bestFit="1" customWidth="1"/>
    <col min="7703" max="7705" width="8.88671875" style="19"/>
    <col min="7706" max="7706" width="13.44140625" style="19" bestFit="1" customWidth="1"/>
    <col min="7707" max="7917" width="8.88671875" style="19"/>
    <col min="7918" max="7918" width="5.109375" style="19" customWidth="1"/>
    <col min="7919" max="7919" width="49.33203125" style="19" customWidth="1"/>
    <col min="7920" max="7951" width="15.77734375" style="19" customWidth="1"/>
    <col min="7952" max="7953" width="10.5546875" style="19" customWidth="1"/>
    <col min="7954" max="7954" width="11" style="19" customWidth="1"/>
    <col min="7955" max="7955" width="13.109375" style="19" bestFit="1" customWidth="1"/>
    <col min="7956" max="7956" width="27.21875" style="19" customWidth="1"/>
    <col min="7957" max="7957" width="14.44140625" style="19" bestFit="1" customWidth="1"/>
    <col min="7958" max="7958" width="11.77734375" style="19" bestFit="1" customWidth="1"/>
    <col min="7959" max="7961" width="8.88671875" style="19"/>
    <col min="7962" max="7962" width="13.44140625" style="19" bestFit="1" customWidth="1"/>
    <col min="7963" max="8173" width="8.88671875" style="19"/>
    <col min="8174" max="8174" width="5.109375" style="19" customWidth="1"/>
    <col min="8175" max="8175" width="49.33203125" style="19" customWidth="1"/>
    <col min="8176" max="8207" width="15.77734375" style="19" customWidth="1"/>
    <col min="8208" max="8209" width="10.5546875" style="19" customWidth="1"/>
    <col min="8210" max="8210" width="11" style="19" customWidth="1"/>
    <col min="8211" max="8211" width="13.109375" style="19" bestFit="1" customWidth="1"/>
    <col min="8212" max="8212" width="27.21875" style="19" customWidth="1"/>
    <col min="8213" max="8213" width="14.44140625" style="19" bestFit="1" customWidth="1"/>
    <col min="8214" max="8214" width="11.77734375" style="19" bestFit="1" customWidth="1"/>
    <col min="8215" max="8217" width="8.88671875" style="19"/>
    <col min="8218" max="8218" width="13.44140625" style="19" bestFit="1" customWidth="1"/>
    <col min="8219" max="8429" width="8.88671875" style="19"/>
    <col min="8430" max="8430" width="5.109375" style="19" customWidth="1"/>
    <col min="8431" max="8431" width="49.33203125" style="19" customWidth="1"/>
    <col min="8432" max="8463" width="15.77734375" style="19" customWidth="1"/>
    <col min="8464" max="8465" width="10.5546875" style="19" customWidth="1"/>
    <col min="8466" max="8466" width="11" style="19" customWidth="1"/>
    <col min="8467" max="8467" width="13.109375" style="19" bestFit="1" customWidth="1"/>
    <col min="8468" max="8468" width="27.21875" style="19" customWidth="1"/>
    <col min="8469" max="8469" width="14.44140625" style="19" bestFit="1" customWidth="1"/>
    <col min="8470" max="8470" width="11.77734375" style="19" bestFit="1" customWidth="1"/>
    <col min="8471" max="8473" width="8.88671875" style="19"/>
    <col min="8474" max="8474" width="13.44140625" style="19" bestFit="1" customWidth="1"/>
    <col min="8475" max="8685" width="8.88671875" style="19"/>
    <col min="8686" max="8686" width="5.109375" style="19" customWidth="1"/>
    <col min="8687" max="8687" width="49.33203125" style="19" customWidth="1"/>
    <col min="8688" max="8719" width="15.77734375" style="19" customWidth="1"/>
    <col min="8720" max="8721" width="10.5546875" style="19" customWidth="1"/>
    <col min="8722" max="8722" width="11" style="19" customWidth="1"/>
    <col min="8723" max="8723" width="13.109375" style="19" bestFit="1" customWidth="1"/>
    <col min="8724" max="8724" width="27.21875" style="19" customWidth="1"/>
    <col min="8725" max="8725" width="14.44140625" style="19" bestFit="1" customWidth="1"/>
    <col min="8726" max="8726" width="11.77734375" style="19" bestFit="1" customWidth="1"/>
    <col min="8727" max="8729" width="8.88671875" style="19"/>
    <col min="8730" max="8730" width="13.44140625" style="19" bestFit="1" customWidth="1"/>
    <col min="8731" max="8941" width="8.88671875" style="19"/>
    <col min="8942" max="8942" width="5.109375" style="19" customWidth="1"/>
    <col min="8943" max="8943" width="49.33203125" style="19" customWidth="1"/>
    <col min="8944" max="8975" width="15.77734375" style="19" customWidth="1"/>
    <col min="8976" max="8977" width="10.5546875" style="19" customWidth="1"/>
    <col min="8978" max="8978" width="11" style="19" customWidth="1"/>
    <col min="8979" max="8979" width="13.109375" style="19" bestFit="1" customWidth="1"/>
    <col min="8980" max="8980" width="27.21875" style="19" customWidth="1"/>
    <col min="8981" max="8981" width="14.44140625" style="19" bestFit="1" customWidth="1"/>
    <col min="8982" max="8982" width="11.77734375" style="19" bestFit="1" customWidth="1"/>
    <col min="8983" max="8985" width="8.88671875" style="19"/>
    <col min="8986" max="8986" width="13.44140625" style="19" bestFit="1" customWidth="1"/>
    <col min="8987" max="9197" width="8.88671875" style="19"/>
    <col min="9198" max="9198" width="5.109375" style="19" customWidth="1"/>
    <col min="9199" max="9199" width="49.33203125" style="19" customWidth="1"/>
    <col min="9200" max="9231" width="15.77734375" style="19" customWidth="1"/>
    <col min="9232" max="9233" width="10.5546875" style="19" customWidth="1"/>
    <col min="9234" max="9234" width="11" style="19" customWidth="1"/>
    <col min="9235" max="9235" width="13.109375" style="19" bestFit="1" customWidth="1"/>
    <col min="9236" max="9236" width="27.21875" style="19" customWidth="1"/>
    <col min="9237" max="9237" width="14.44140625" style="19" bestFit="1" customWidth="1"/>
    <col min="9238" max="9238" width="11.77734375" style="19" bestFit="1" customWidth="1"/>
    <col min="9239" max="9241" width="8.88671875" style="19"/>
    <col min="9242" max="9242" width="13.44140625" style="19" bestFit="1" customWidth="1"/>
    <col min="9243" max="9453" width="8.88671875" style="19"/>
    <col min="9454" max="9454" width="5.109375" style="19" customWidth="1"/>
    <col min="9455" max="9455" width="49.33203125" style="19" customWidth="1"/>
    <col min="9456" max="9487" width="15.77734375" style="19" customWidth="1"/>
    <col min="9488" max="9489" width="10.5546875" style="19" customWidth="1"/>
    <col min="9490" max="9490" width="11" style="19" customWidth="1"/>
    <col min="9491" max="9491" width="13.109375" style="19" bestFit="1" customWidth="1"/>
    <col min="9492" max="9492" width="27.21875" style="19" customWidth="1"/>
    <col min="9493" max="9493" width="14.44140625" style="19" bestFit="1" customWidth="1"/>
    <col min="9494" max="9494" width="11.77734375" style="19" bestFit="1" customWidth="1"/>
    <col min="9495" max="9497" width="8.88671875" style="19"/>
    <col min="9498" max="9498" width="13.44140625" style="19" bestFit="1" customWidth="1"/>
    <col min="9499" max="9709" width="8.88671875" style="19"/>
    <col min="9710" max="9710" width="5.109375" style="19" customWidth="1"/>
    <col min="9711" max="9711" width="49.33203125" style="19" customWidth="1"/>
    <col min="9712" max="9743" width="15.77734375" style="19" customWidth="1"/>
    <col min="9744" max="9745" width="10.5546875" style="19" customWidth="1"/>
    <col min="9746" max="9746" width="11" style="19" customWidth="1"/>
    <col min="9747" max="9747" width="13.109375" style="19" bestFit="1" customWidth="1"/>
    <col min="9748" max="9748" width="27.21875" style="19" customWidth="1"/>
    <col min="9749" max="9749" width="14.44140625" style="19" bestFit="1" customWidth="1"/>
    <col min="9750" max="9750" width="11.77734375" style="19" bestFit="1" customWidth="1"/>
    <col min="9751" max="9753" width="8.88671875" style="19"/>
    <col min="9754" max="9754" width="13.44140625" style="19" bestFit="1" customWidth="1"/>
    <col min="9755" max="9965" width="8.88671875" style="19"/>
    <col min="9966" max="9966" width="5.109375" style="19" customWidth="1"/>
    <col min="9967" max="9967" width="49.33203125" style="19" customWidth="1"/>
    <col min="9968" max="9999" width="15.77734375" style="19" customWidth="1"/>
    <col min="10000" max="10001" width="10.5546875" style="19" customWidth="1"/>
    <col min="10002" max="10002" width="11" style="19" customWidth="1"/>
    <col min="10003" max="10003" width="13.109375" style="19" bestFit="1" customWidth="1"/>
    <col min="10004" max="10004" width="27.21875" style="19" customWidth="1"/>
    <col min="10005" max="10005" width="14.44140625" style="19" bestFit="1" customWidth="1"/>
    <col min="10006" max="10006" width="11.77734375" style="19" bestFit="1" customWidth="1"/>
    <col min="10007" max="10009" width="8.88671875" style="19"/>
    <col min="10010" max="10010" width="13.44140625" style="19" bestFit="1" customWidth="1"/>
    <col min="10011" max="10221" width="8.88671875" style="19"/>
    <col min="10222" max="10222" width="5.109375" style="19" customWidth="1"/>
    <col min="10223" max="10223" width="49.33203125" style="19" customWidth="1"/>
    <col min="10224" max="10255" width="15.77734375" style="19" customWidth="1"/>
    <col min="10256" max="10257" width="10.5546875" style="19" customWidth="1"/>
    <col min="10258" max="10258" width="11" style="19" customWidth="1"/>
    <col min="10259" max="10259" width="13.109375" style="19" bestFit="1" customWidth="1"/>
    <col min="10260" max="10260" width="27.21875" style="19" customWidth="1"/>
    <col min="10261" max="10261" width="14.44140625" style="19" bestFit="1" customWidth="1"/>
    <col min="10262" max="10262" width="11.77734375" style="19" bestFit="1" customWidth="1"/>
    <col min="10263" max="10265" width="8.88671875" style="19"/>
    <col min="10266" max="10266" width="13.44140625" style="19" bestFit="1" customWidth="1"/>
    <col min="10267" max="10477" width="8.88671875" style="19"/>
    <col min="10478" max="10478" width="5.109375" style="19" customWidth="1"/>
    <col min="10479" max="10479" width="49.33203125" style="19" customWidth="1"/>
    <col min="10480" max="10511" width="15.77734375" style="19" customWidth="1"/>
    <col min="10512" max="10513" width="10.5546875" style="19" customWidth="1"/>
    <col min="10514" max="10514" width="11" style="19" customWidth="1"/>
    <col min="10515" max="10515" width="13.109375" style="19" bestFit="1" customWidth="1"/>
    <col min="10516" max="10516" width="27.21875" style="19" customWidth="1"/>
    <col min="10517" max="10517" width="14.44140625" style="19" bestFit="1" customWidth="1"/>
    <col min="10518" max="10518" width="11.77734375" style="19" bestFit="1" customWidth="1"/>
    <col min="10519" max="10521" width="8.88671875" style="19"/>
    <col min="10522" max="10522" width="13.44140625" style="19" bestFit="1" customWidth="1"/>
    <col min="10523" max="10733" width="8.88671875" style="19"/>
    <col min="10734" max="10734" width="5.109375" style="19" customWidth="1"/>
    <col min="10735" max="10735" width="49.33203125" style="19" customWidth="1"/>
    <col min="10736" max="10767" width="15.77734375" style="19" customWidth="1"/>
    <col min="10768" max="10769" width="10.5546875" style="19" customWidth="1"/>
    <col min="10770" max="10770" width="11" style="19" customWidth="1"/>
    <col min="10771" max="10771" width="13.109375" style="19" bestFit="1" customWidth="1"/>
    <col min="10772" max="10772" width="27.21875" style="19" customWidth="1"/>
    <col min="10773" max="10773" width="14.44140625" style="19" bestFit="1" customWidth="1"/>
    <col min="10774" max="10774" width="11.77734375" style="19" bestFit="1" customWidth="1"/>
    <col min="10775" max="10777" width="8.88671875" style="19"/>
    <col min="10778" max="10778" width="13.44140625" style="19" bestFit="1" customWidth="1"/>
    <col min="10779" max="10989" width="8.88671875" style="19"/>
    <col min="10990" max="10990" width="5.109375" style="19" customWidth="1"/>
    <col min="10991" max="10991" width="49.33203125" style="19" customWidth="1"/>
    <col min="10992" max="11023" width="15.77734375" style="19" customWidth="1"/>
    <col min="11024" max="11025" width="10.5546875" style="19" customWidth="1"/>
    <col min="11026" max="11026" width="11" style="19" customWidth="1"/>
    <col min="11027" max="11027" width="13.109375" style="19" bestFit="1" customWidth="1"/>
    <col min="11028" max="11028" width="27.21875" style="19" customWidth="1"/>
    <col min="11029" max="11029" width="14.44140625" style="19" bestFit="1" customWidth="1"/>
    <col min="11030" max="11030" width="11.77734375" style="19" bestFit="1" customWidth="1"/>
    <col min="11031" max="11033" width="8.88671875" style="19"/>
    <col min="11034" max="11034" width="13.44140625" style="19" bestFit="1" customWidth="1"/>
    <col min="11035" max="11245" width="8.88671875" style="19"/>
    <col min="11246" max="11246" width="5.109375" style="19" customWidth="1"/>
    <col min="11247" max="11247" width="49.33203125" style="19" customWidth="1"/>
    <col min="11248" max="11279" width="15.77734375" style="19" customWidth="1"/>
    <col min="11280" max="11281" width="10.5546875" style="19" customWidth="1"/>
    <col min="11282" max="11282" width="11" style="19" customWidth="1"/>
    <col min="11283" max="11283" width="13.109375" style="19" bestFit="1" customWidth="1"/>
    <col min="11284" max="11284" width="27.21875" style="19" customWidth="1"/>
    <col min="11285" max="11285" width="14.44140625" style="19" bestFit="1" customWidth="1"/>
    <col min="11286" max="11286" width="11.77734375" style="19" bestFit="1" customWidth="1"/>
    <col min="11287" max="11289" width="8.88671875" style="19"/>
    <col min="11290" max="11290" width="13.44140625" style="19" bestFit="1" customWidth="1"/>
    <col min="11291" max="11501" width="8.88671875" style="19"/>
    <col min="11502" max="11502" width="5.109375" style="19" customWidth="1"/>
    <col min="11503" max="11503" width="49.33203125" style="19" customWidth="1"/>
    <col min="11504" max="11535" width="15.77734375" style="19" customWidth="1"/>
    <col min="11536" max="11537" width="10.5546875" style="19" customWidth="1"/>
    <col min="11538" max="11538" width="11" style="19" customWidth="1"/>
    <col min="11539" max="11539" width="13.109375" style="19" bestFit="1" customWidth="1"/>
    <col min="11540" max="11540" width="27.21875" style="19" customWidth="1"/>
    <col min="11541" max="11541" width="14.44140625" style="19" bestFit="1" customWidth="1"/>
    <col min="11542" max="11542" width="11.77734375" style="19" bestFit="1" customWidth="1"/>
    <col min="11543" max="11545" width="8.88671875" style="19"/>
    <col min="11546" max="11546" width="13.44140625" style="19" bestFit="1" customWidth="1"/>
    <col min="11547" max="11757" width="8.88671875" style="19"/>
    <col min="11758" max="11758" width="5.109375" style="19" customWidth="1"/>
    <col min="11759" max="11759" width="49.33203125" style="19" customWidth="1"/>
    <col min="11760" max="11791" width="15.77734375" style="19" customWidth="1"/>
    <col min="11792" max="11793" width="10.5546875" style="19" customWidth="1"/>
    <col min="11794" max="11794" width="11" style="19" customWidth="1"/>
    <col min="11795" max="11795" width="13.109375" style="19" bestFit="1" customWidth="1"/>
    <col min="11796" max="11796" width="27.21875" style="19" customWidth="1"/>
    <col min="11797" max="11797" width="14.44140625" style="19" bestFit="1" customWidth="1"/>
    <col min="11798" max="11798" width="11.77734375" style="19" bestFit="1" customWidth="1"/>
    <col min="11799" max="11801" width="8.88671875" style="19"/>
    <col min="11802" max="11802" width="13.44140625" style="19" bestFit="1" customWidth="1"/>
    <col min="11803" max="12013" width="8.88671875" style="19"/>
    <col min="12014" max="12014" width="5.109375" style="19" customWidth="1"/>
    <col min="12015" max="12015" width="49.33203125" style="19" customWidth="1"/>
    <col min="12016" max="12047" width="15.77734375" style="19" customWidth="1"/>
    <col min="12048" max="12049" width="10.5546875" style="19" customWidth="1"/>
    <col min="12050" max="12050" width="11" style="19" customWidth="1"/>
    <col min="12051" max="12051" width="13.109375" style="19" bestFit="1" customWidth="1"/>
    <col min="12052" max="12052" width="27.21875" style="19" customWidth="1"/>
    <col min="12053" max="12053" width="14.44140625" style="19" bestFit="1" customWidth="1"/>
    <col min="12054" max="12054" width="11.77734375" style="19" bestFit="1" customWidth="1"/>
    <col min="12055" max="12057" width="8.88671875" style="19"/>
    <col min="12058" max="12058" width="13.44140625" style="19" bestFit="1" customWidth="1"/>
    <col min="12059" max="12269" width="8.88671875" style="19"/>
    <col min="12270" max="12270" width="5.109375" style="19" customWidth="1"/>
    <col min="12271" max="12271" width="49.33203125" style="19" customWidth="1"/>
    <col min="12272" max="12303" width="15.77734375" style="19" customWidth="1"/>
    <col min="12304" max="12305" width="10.5546875" style="19" customWidth="1"/>
    <col min="12306" max="12306" width="11" style="19" customWidth="1"/>
    <col min="12307" max="12307" width="13.109375" style="19" bestFit="1" customWidth="1"/>
    <col min="12308" max="12308" width="27.21875" style="19" customWidth="1"/>
    <col min="12309" max="12309" width="14.44140625" style="19" bestFit="1" customWidth="1"/>
    <col min="12310" max="12310" width="11.77734375" style="19" bestFit="1" customWidth="1"/>
    <col min="12311" max="12313" width="8.88671875" style="19"/>
    <col min="12314" max="12314" width="13.44140625" style="19" bestFit="1" customWidth="1"/>
    <col min="12315" max="12525" width="8.88671875" style="19"/>
    <col min="12526" max="12526" width="5.109375" style="19" customWidth="1"/>
    <col min="12527" max="12527" width="49.33203125" style="19" customWidth="1"/>
    <col min="12528" max="12559" width="15.77734375" style="19" customWidth="1"/>
    <col min="12560" max="12561" width="10.5546875" style="19" customWidth="1"/>
    <col min="12562" max="12562" width="11" style="19" customWidth="1"/>
    <col min="12563" max="12563" width="13.109375" style="19" bestFit="1" customWidth="1"/>
    <col min="12564" max="12564" width="27.21875" style="19" customWidth="1"/>
    <col min="12565" max="12565" width="14.44140625" style="19" bestFit="1" customWidth="1"/>
    <col min="12566" max="12566" width="11.77734375" style="19" bestFit="1" customWidth="1"/>
    <col min="12567" max="12569" width="8.88671875" style="19"/>
    <col min="12570" max="12570" width="13.44140625" style="19" bestFit="1" customWidth="1"/>
    <col min="12571" max="12781" width="8.88671875" style="19"/>
    <col min="12782" max="12782" width="5.109375" style="19" customWidth="1"/>
    <col min="12783" max="12783" width="49.33203125" style="19" customWidth="1"/>
    <col min="12784" max="12815" width="15.77734375" style="19" customWidth="1"/>
    <col min="12816" max="12817" width="10.5546875" style="19" customWidth="1"/>
    <col min="12818" max="12818" width="11" style="19" customWidth="1"/>
    <col min="12819" max="12819" width="13.109375" style="19" bestFit="1" customWidth="1"/>
    <col min="12820" max="12820" width="27.21875" style="19" customWidth="1"/>
    <col min="12821" max="12821" width="14.44140625" style="19" bestFit="1" customWidth="1"/>
    <col min="12822" max="12822" width="11.77734375" style="19" bestFit="1" customWidth="1"/>
    <col min="12823" max="12825" width="8.88671875" style="19"/>
    <col min="12826" max="12826" width="13.44140625" style="19" bestFit="1" customWidth="1"/>
    <col min="12827" max="13037" width="8.88671875" style="19"/>
    <col min="13038" max="13038" width="5.109375" style="19" customWidth="1"/>
    <col min="13039" max="13039" width="49.33203125" style="19" customWidth="1"/>
    <col min="13040" max="13071" width="15.77734375" style="19" customWidth="1"/>
    <col min="13072" max="13073" width="10.5546875" style="19" customWidth="1"/>
    <col min="13074" max="13074" width="11" style="19" customWidth="1"/>
    <col min="13075" max="13075" width="13.109375" style="19" bestFit="1" customWidth="1"/>
    <col min="13076" max="13076" width="27.21875" style="19" customWidth="1"/>
    <col min="13077" max="13077" width="14.44140625" style="19" bestFit="1" customWidth="1"/>
    <col min="13078" max="13078" width="11.77734375" style="19" bestFit="1" customWidth="1"/>
    <col min="13079" max="13081" width="8.88671875" style="19"/>
    <col min="13082" max="13082" width="13.44140625" style="19" bestFit="1" customWidth="1"/>
    <col min="13083" max="13293" width="8.88671875" style="19"/>
    <col min="13294" max="13294" width="5.109375" style="19" customWidth="1"/>
    <col min="13295" max="13295" width="49.33203125" style="19" customWidth="1"/>
    <col min="13296" max="13327" width="15.77734375" style="19" customWidth="1"/>
    <col min="13328" max="13329" width="10.5546875" style="19" customWidth="1"/>
    <col min="13330" max="13330" width="11" style="19" customWidth="1"/>
    <col min="13331" max="13331" width="13.109375" style="19" bestFit="1" customWidth="1"/>
    <col min="13332" max="13332" width="27.21875" style="19" customWidth="1"/>
    <col min="13333" max="13333" width="14.44140625" style="19" bestFit="1" customWidth="1"/>
    <col min="13334" max="13334" width="11.77734375" style="19" bestFit="1" customWidth="1"/>
    <col min="13335" max="13337" width="8.88671875" style="19"/>
    <col min="13338" max="13338" width="13.44140625" style="19" bestFit="1" customWidth="1"/>
    <col min="13339" max="13549" width="8.88671875" style="19"/>
    <col min="13550" max="13550" width="5.109375" style="19" customWidth="1"/>
    <col min="13551" max="13551" width="49.33203125" style="19" customWidth="1"/>
    <col min="13552" max="13583" width="15.77734375" style="19" customWidth="1"/>
    <col min="13584" max="13585" width="10.5546875" style="19" customWidth="1"/>
    <col min="13586" max="13586" width="11" style="19" customWidth="1"/>
    <col min="13587" max="13587" width="13.109375" style="19" bestFit="1" customWidth="1"/>
    <col min="13588" max="13588" width="27.21875" style="19" customWidth="1"/>
    <col min="13589" max="13589" width="14.44140625" style="19" bestFit="1" customWidth="1"/>
    <col min="13590" max="13590" width="11.77734375" style="19" bestFit="1" customWidth="1"/>
    <col min="13591" max="13593" width="8.88671875" style="19"/>
    <col min="13594" max="13594" width="13.44140625" style="19" bestFit="1" customWidth="1"/>
    <col min="13595" max="13805" width="8.88671875" style="19"/>
    <col min="13806" max="13806" width="5.109375" style="19" customWidth="1"/>
    <col min="13807" max="13807" width="49.33203125" style="19" customWidth="1"/>
    <col min="13808" max="13839" width="15.77734375" style="19" customWidth="1"/>
    <col min="13840" max="13841" width="10.5546875" style="19" customWidth="1"/>
    <col min="13842" max="13842" width="11" style="19" customWidth="1"/>
    <col min="13843" max="13843" width="13.109375" style="19" bestFit="1" customWidth="1"/>
    <col min="13844" max="13844" width="27.21875" style="19" customWidth="1"/>
    <col min="13845" max="13845" width="14.44140625" style="19" bestFit="1" customWidth="1"/>
    <col min="13846" max="13846" width="11.77734375" style="19" bestFit="1" customWidth="1"/>
    <col min="13847" max="13849" width="8.88671875" style="19"/>
    <col min="13850" max="13850" width="13.44140625" style="19" bestFit="1" customWidth="1"/>
    <col min="13851" max="14061" width="8.88671875" style="19"/>
    <col min="14062" max="14062" width="5.109375" style="19" customWidth="1"/>
    <col min="14063" max="14063" width="49.33203125" style="19" customWidth="1"/>
    <col min="14064" max="14095" width="15.77734375" style="19" customWidth="1"/>
    <col min="14096" max="14097" width="10.5546875" style="19" customWidth="1"/>
    <col min="14098" max="14098" width="11" style="19" customWidth="1"/>
    <col min="14099" max="14099" width="13.109375" style="19" bestFit="1" customWidth="1"/>
    <col min="14100" max="14100" width="27.21875" style="19" customWidth="1"/>
    <col min="14101" max="14101" width="14.44140625" style="19" bestFit="1" customWidth="1"/>
    <col min="14102" max="14102" width="11.77734375" style="19" bestFit="1" customWidth="1"/>
    <col min="14103" max="14105" width="8.88671875" style="19"/>
    <col min="14106" max="14106" width="13.44140625" style="19" bestFit="1" customWidth="1"/>
    <col min="14107" max="14317" width="8.88671875" style="19"/>
    <col min="14318" max="14318" width="5.109375" style="19" customWidth="1"/>
    <col min="14319" max="14319" width="49.33203125" style="19" customWidth="1"/>
    <col min="14320" max="14351" width="15.77734375" style="19" customWidth="1"/>
    <col min="14352" max="14353" width="10.5546875" style="19" customWidth="1"/>
    <col min="14354" max="14354" width="11" style="19" customWidth="1"/>
    <col min="14355" max="14355" width="13.109375" style="19" bestFit="1" customWidth="1"/>
    <col min="14356" max="14356" width="27.21875" style="19" customWidth="1"/>
    <col min="14357" max="14357" width="14.44140625" style="19" bestFit="1" customWidth="1"/>
    <col min="14358" max="14358" width="11.77734375" style="19" bestFit="1" customWidth="1"/>
    <col min="14359" max="14361" width="8.88671875" style="19"/>
    <col min="14362" max="14362" width="13.44140625" style="19" bestFit="1" customWidth="1"/>
    <col min="14363" max="14573" width="8.88671875" style="19"/>
    <col min="14574" max="14574" width="5.109375" style="19" customWidth="1"/>
    <col min="14575" max="14575" width="49.33203125" style="19" customWidth="1"/>
    <col min="14576" max="14607" width="15.77734375" style="19" customWidth="1"/>
    <col min="14608" max="14609" width="10.5546875" style="19" customWidth="1"/>
    <col min="14610" max="14610" width="11" style="19" customWidth="1"/>
    <col min="14611" max="14611" width="13.109375" style="19" bestFit="1" customWidth="1"/>
    <col min="14612" max="14612" width="27.21875" style="19" customWidth="1"/>
    <col min="14613" max="14613" width="14.44140625" style="19" bestFit="1" customWidth="1"/>
    <col min="14614" max="14614" width="11.77734375" style="19" bestFit="1" customWidth="1"/>
    <col min="14615" max="14617" width="8.88671875" style="19"/>
    <col min="14618" max="14618" width="13.44140625" style="19" bestFit="1" customWidth="1"/>
    <col min="14619" max="14829" width="8.88671875" style="19"/>
    <col min="14830" max="14830" width="5.109375" style="19" customWidth="1"/>
    <col min="14831" max="14831" width="49.33203125" style="19" customWidth="1"/>
    <col min="14832" max="14863" width="15.77734375" style="19" customWidth="1"/>
    <col min="14864" max="14865" width="10.5546875" style="19" customWidth="1"/>
    <col min="14866" max="14866" width="11" style="19" customWidth="1"/>
    <col min="14867" max="14867" width="13.109375" style="19" bestFit="1" customWidth="1"/>
    <col min="14868" max="14868" width="27.21875" style="19" customWidth="1"/>
    <col min="14869" max="14869" width="14.44140625" style="19" bestFit="1" customWidth="1"/>
    <col min="14870" max="14870" width="11.77734375" style="19" bestFit="1" customWidth="1"/>
    <col min="14871" max="14873" width="8.88671875" style="19"/>
    <col min="14874" max="14874" width="13.44140625" style="19" bestFit="1" customWidth="1"/>
    <col min="14875" max="15085" width="8.88671875" style="19"/>
    <col min="15086" max="15086" width="5.109375" style="19" customWidth="1"/>
    <col min="15087" max="15087" width="49.33203125" style="19" customWidth="1"/>
    <col min="15088" max="15119" width="15.77734375" style="19" customWidth="1"/>
    <col min="15120" max="15121" width="10.5546875" style="19" customWidth="1"/>
    <col min="15122" max="15122" width="11" style="19" customWidth="1"/>
    <col min="15123" max="15123" width="13.109375" style="19" bestFit="1" customWidth="1"/>
    <col min="15124" max="15124" width="27.21875" style="19" customWidth="1"/>
    <col min="15125" max="15125" width="14.44140625" style="19" bestFit="1" customWidth="1"/>
    <col min="15126" max="15126" width="11.77734375" style="19" bestFit="1" customWidth="1"/>
    <col min="15127" max="15129" width="8.88671875" style="19"/>
    <col min="15130" max="15130" width="13.44140625" style="19" bestFit="1" customWidth="1"/>
    <col min="15131" max="15341" width="8.88671875" style="19"/>
    <col min="15342" max="15342" width="5.109375" style="19" customWidth="1"/>
    <col min="15343" max="15343" width="49.33203125" style="19" customWidth="1"/>
    <col min="15344" max="15375" width="15.77734375" style="19" customWidth="1"/>
    <col min="15376" max="15377" width="10.5546875" style="19" customWidth="1"/>
    <col min="15378" max="15378" width="11" style="19" customWidth="1"/>
    <col min="15379" max="15379" width="13.109375" style="19" bestFit="1" customWidth="1"/>
    <col min="15380" max="15380" width="27.21875" style="19" customWidth="1"/>
    <col min="15381" max="15381" width="14.44140625" style="19" bestFit="1" customWidth="1"/>
    <col min="15382" max="15382" width="11.77734375" style="19" bestFit="1" customWidth="1"/>
    <col min="15383" max="15385" width="8.88671875" style="19"/>
    <col min="15386" max="15386" width="13.44140625" style="19" bestFit="1" customWidth="1"/>
    <col min="15387" max="15597" width="8.88671875" style="19"/>
    <col min="15598" max="15598" width="5.109375" style="19" customWidth="1"/>
    <col min="15599" max="15599" width="49.33203125" style="19" customWidth="1"/>
    <col min="15600" max="15631" width="15.77734375" style="19" customWidth="1"/>
    <col min="15632" max="15633" width="10.5546875" style="19" customWidth="1"/>
    <col min="15634" max="15634" width="11" style="19" customWidth="1"/>
    <col min="15635" max="15635" width="13.109375" style="19" bestFit="1" customWidth="1"/>
    <col min="15636" max="15636" width="27.21875" style="19" customWidth="1"/>
    <col min="15637" max="15637" width="14.44140625" style="19" bestFit="1" customWidth="1"/>
    <col min="15638" max="15638" width="11.77734375" style="19" bestFit="1" customWidth="1"/>
    <col min="15639" max="15641" width="8.88671875" style="19"/>
    <col min="15642" max="15642" width="13.44140625" style="19" bestFit="1" customWidth="1"/>
    <col min="15643" max="15853" width="8.88671875" style="19"/>
    <col min="15854" max="15854" width="5.109375" style="19" customWidth="1"/>
    <col min="15855" max="15855" width="49.33203125" style="19" customWidth="1"/>
    <col min="15856" max="15887" width="15.77734375" style="19" customWidth="1"/>
    <col min="15888" max="15889" width="10.5546875" style="19" customWidth="1"/>
    <col min="15890" max="15890" width="11" style="19" customWidth="1"/>
    <col min="15891" max="15891" width="13.109375" style="19" bestFit="1" customWidth="1"/>
    <col min="15892" max="15892" width="27.21875" style="19" customWidth="1"/>
    <col min="15893" max="15893" width="14.44140625" style="19" bestFit="1" customWidth="1"/>
    <col min="15894" max="15894" width="11.77734375" style="19" bestFit="1" customWidth="1"/>
    <col min="15895" max="15897" width="8.88671875" style="19"/>
    <col min="15898" max="15898" width="13.44140625" style="19" bestFit="1" customWidth="1"/>
    <col min="15899" max="16109" width="8.88671875" style="19"/>
    <col min="16110" max="16110" width="5.109375" style="19" customWidth="1"/>
    <col min="16111" max="16111" width="49.33203125" style="19" customWidth="1"/>
    <col min="16112" max="16143" width="15.77734375" style="19" customWidth="1"/>
    <col min="16144" max="16145" width="10.5546875" style="19" customWidth="1"/>
    <col min="16146" max="16146" width="11" style="19" customWidth="1"/>
    <col min="16147" max="16147" width="13.109375" style="19" bestFit="1" customWidth="1"/>
    <col min="16148" max="16148" width="27.21875" style="19" customWidth="1"/>
    <col min="16149" max="16149" width="14.44140625" style="19" bestFit="1" customWidth="1"/>
    <col min="16150" max="16150" width="11.77734375" style="19" bestFit="1" customWidth="1"/>
    <col min="16151" max="16153" width="8.88671875" style="19"/>
    <col min="16154" max="16154" width="13.44140625" style="19" bestFit="1" customWidth="1"/>
    <col min="16155" max="16384" width="8.88671875" style="19"/>
  </cols>
  <sheetData>
    <row r="1" spans="1:22" ht="15.75" customHeight="1" x14ac:dyDescent="0.2">
      <c r="A1" s="115" t="s">
        <v>38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2" x14ac:dyDescent="0.2">
      <c r="B2" s="9"/>
      <c r="C2" s="9"/>
      <c r="D2" s="9"/>
      <c r="E2" s="11"/>
      <c r="F2" s="11"/>
      <c r="G2" s="9"/>
      <c r="H2" s="9"/>
      <c r="I2" s="9"/>
      <c r="J2" s="9"/>
      <c r="K2" s="12"/>
      <c r="L2" s="9"/>
      <c r="M2" s="9"/>
      <c r="N2" s="12"/>
      <c r="O2" s="13"/>
    </row>
    <row r="3" spans="1:22" s="25" customFormat="1" ht="18" customHeight="1" x14ac:dyDescent="0.2">
      <c r="A3" s="116" t="s">
        <v>16</v>
      </c>
      <c r="B3" s="118" t="s">
        <v>17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2" t="s">
        <v>18</v>
      </c>
      <c r="P3" s="20"/>
      <c r="Q3" s="20"/>
      <c r="R3" s="21"/>
      <c r="S3" s="22"/>
      <c r="T3" s="23" t="s">
        <v>0</v>
      </c>
      <c r="U3" s="24"/>
      <c r="V3" s="24"/>
    </row>
    <row r="4" spans="1:22" s="25" customFormat="1" ht="18" customHeight="1" x14ac:dyDescent="0.2">
      <c r="A4" s="117"/>
      <c r="B4" s="119"/>
      <c r="C4" s="26" t="s">
        <v>39</v>
      </c>
      <c r="D4" s="26" t="s">
        <v>40</v>
      </c>
      <c r="E4" s="26" t="s">
        <v>41</v>
      </c>
      <c r="F4" s="26" t="s">
        <v>42</v>
      </c>
      <c r="G4" s="26" t="s">
        <v>43</v>
      </c>
      <c r="H4" s="26" t="s">
        <v>44</v>
      </c>
      <c r="I4" s="26" t="s">
        <v>45</v>
      </c>
      <c r="J4" s="26" t="s">
        <v>46</v>
      </c>
      <c r="K4" s="26" t="s">
        <v>47</v>
      </c>
      <c r="L4" s="26" t="s">
        <v>48</v>
      </c>
      <c r="M4" s="26" t="s">
        <v>49</v>
      </c>
      <c r="N4" s="26" t="s">
        <v>50</v>
      </c>
      <c r="O4" s="122"/>
      <c r="P4" s="27"/>
      <c r="Q4" s="27"/>
      <c r="R4" s="14"/>
      <c r="S4" s="28"/>
      <c r="T4" s="23" t="s">
        <v>19</v>
      </c>
      <c r="U4" s="29"/>
      <c r="V4" s="30"/>
    </row>
    <row r="5" spans="1:22" s="25" customFormat="1" ht="18" customHeight="1" x14ac:dyDescent="0.2">
      <c r="A5" s="31">
        <v>1</v>
      </c>
      <c r="B5" s="32" t="s">
        <v>2</v>
      </c>
      <c r="C5" s="32">
        <v>480324000</v>
      </c>
      <c r="D5" s="32">
        <v>259568000</v>
      </c>
      <c r="E5" s="32">
        <v>68272000</v>
      </c>
      <c r="F5" s="34">
        <v>495156000</v>
      </c>
      <c r="G5" s="34">
        <v>423500000</v>
      </c>
      <c r="H5" s="32">
        <v>407112000</v>
      </c>
      <c r="I5" s="32">
        <v>524044000</v>
      </c>
      <c r="J5" s="32">
        <v>332736000</v>
      </c>
      <c r="K5" s="32">
        <v>291588000</v>
      </c>
      <c r="L5" s="32">
        <v>345480000</v>
      </c>
      <c r="M5" s="32"/>
      <c r="N5" s="32">
        <v>305820000</v>
      </c>
      <c r="O5" s="35">
        <f t="shared" ref="O5:O22" si="0">SUM(C5:N5)</f>
        <v>3933600000</v>
      </c>
      <c r="P5" s="36">
        <f>O5/4000</f>
        <v>983400</v>
      </c>
      <c r="Q5" s="36"/>
      <c r="R5" s="37">
        <f>SUM(O5+Q5)</f>
        <v>3933600000</v>
      </c>
      <c r="S5" s="38"/>
      <c r="T5" s="3" t="s">
        <v>2</v>
      </c>
      <c r="U5" s="39">
        <f t="shared" ref="U5:U23" si="1">O5</f>
        <v>3933600000</v>
      </c>
      <c r="V5" s="30"/>
    </row>
    <row r="6" spans="1:22" s="25" customFormat="1" ht="18" customHeight="1" x14ac:dyDescent="0.2">
      <c r="A6" s="40">
        <v>2</v>
      </c>
      <c r="B6" s="41" t="s">
        <v>3</v>
      </c>
      <c r="C6" s="41">
        <v>113556000</v>
      </c>
      <c r="D6" s="41">
        <v>48726000</v>
      </c>
      <c r="E6" s="41">
        <v>13485000</v>
      </c>
      <c r="F6" s="41">
        <v>125466000</v>
      </c>
      <c r="G6" s="41">
        <v>90957000</v>
      </c>
      <c r="H6" s="41">
        <v>97599000</v>
      </c>
      <c r="I6" s="41">
        <v>140838000</v>
      </c>
      <c r="J6" s="41">
        <v>59325000</v>
      </c>
      <c r="K6" s="41">
        <v>53982000</v>
      </c>
      <c r="L6" s="41">
        <v>67077000</v>
      </c>
      <c r="M6" s="41"/>
      <c r="N6" s="41">
        <v>89472000</v>
      </c>
      <c r="O6" s="84">
        <f t="shared" si="0"/>
        <v>900483000</v>
      </c>
      <c r="P6" s="36">
        <f>O6/3000</f>
        <v>300161</v>
      </c>
      <c r="Q6" s="36"/>
      <c r="R6" s="37">
        <f t="shared" ref="R6:R22" si="2">SUM(O6+Q6)</f>
        <v>900483000</v>
      </c>
      <c r="S6" s="38"/>
      <c r="T6" s="3" t="s">
        <v>3</v>
      </c>
      <c r="U6" s="39">
        <f t="shared" si="1"/>
        <v>900483000</v>
      </c>
      <c r="V6" s="30"/>
    </row>
    <row r="7" spans="1:22" s="25" customFormat="1" ht="18" customHeight="1" x14ac:dyDescent="0.2">
      <c r="A7" s="40">
        <v>3</v>
      </c>
      <c r="B7" s="41" t="s">
        <v>4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>
        <v>0</v>
      </c>
      <c r="O7" s="84">
        <f t="shared" si="0"/>
        <v>0</v>
      </c>
      <c r="P7" s="36">
        <f>O7/3000</f>
        <v>0</v>
      </c>
      <c r="Q7" s="36"/>
      <c r="R7" s="37">
        <f t="shared" si="2"/>
        <v>0</v>
      </c>
      <c r="S7" s="38"/>
      <c r="T7" s="3" t="s">
        <v>4</v>
      </c>
      <c r="U7" s="39">
        <f t="shared" si="1"/>
        <v>0</v>
      </c>
      <c r="V7" s="30"/>
    </row>
    <row r="8" spans="1:22" s="25" customFormat="1" ht="18" customHeight="1" x14ac:dyDescent="0.2">
      <c r="A8" s="40">
        <v>4</v>
      </c>
      <c r="B8" s="41" t="s">
        <v>5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>
        <v>0</v>
      </c>
      <c r="O8" s="84">
        <f t="shared" si="0"/>
        <v>0</v>
      </c>
      <c r="P8" s="36">
        <f>O8/2250</f>
        <v>0</v>
      </c>
      <c r="Q8" s="36"/>
      <c r="R8" s="37">
        <f t="shared" si="2"/>
        <v>0</v>
      </c>
      <c r="S8" s="38"/>
      <c r="T8" s="3" t="s">
        <v>5</v>
      </c>
      <c r="U8" s="39">
        <f t="shared" si="1"/>
        <v>0</v>
      </c>
      <c r="V8" s="30"/>
    </row>
    <row r="9" spans="1:22" s="25" customFormat="1" ht="18" customHeight="1" x14ac:dyDescent="0.2">
      <c r="A9" s="40">
        <v>5</v>
      </c>
      <c r="B9" s="43" t="s">
        <v>20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>
        <v>7425000</v>
      </c>
      <c r="O9" s="84">
        <f t="shared" si="0"/>
        <v>7425000</v>
      </c>
      <c r="P9" s="36"/>
      <c r="Q9" s="36"/>
      <c r="R9" s="37"/>
      <c r="S9" s="38"/>
      <c r="T9" s="3"/>
      <c r="U9" s="39"/>
      <c r="V9" s="30"/>
    </row>
    <row r="10" spans="1:22" s="25" customFormat="1" ht="18" customHeight="1" x14ac:dyDescent="0.2">
      <c r="A10" s="40">
        <v>6</v>
      </c>
      <c r="B10" s="44" t="s">
        <v>21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5"/>
      <c r="N10" s="45">
        <v>14886000</v>
      </c>
      <c r="O10" s="84">
        <f t="shared" si="0"/>
        <v>14886000</v>
      </c>
      <c r="P10" s="36">
        <f>O10/6000</f>
        <v>2481</v>
      </c>
      <c r="Q10" s="36"/>
      <c r="R10" s="37">
        <f t="shared" si="2"/>
        <v>14886000</v>
      </c>
      <c r="S10" s="38"/>
      <c r="T10" s="3" t="s">
        <v>10</v>
      </c>
      <c r="U10" s="39">
        <f t="shared" si="1"/>
        <v>14886000</v>
      </c>
      <c r="V10" s="30"/>
    </row>
    <row r="11" spans="1:22" s="50" customFormat="1" ht="18" customHeight="1" x14ac:dyDescent="0.2">
      <c r="A11" s="40">
        <v>7</v>
      </c>
      <c r="B11" s="44" t="s">
        <v>22</v>
      </c>
      <c r="C11" s="44"/>
      <c r="D11" s="44"/>
      <c r="E11" s="44"/>
      <c r="F11" s="46"/>
      <c r="G11" s="46"/>
      <c r="H11" s="44"/>
      <c r="I11" s="44"/>
      <c r="J11" s="44"/>
      <c r="K11" s="44"/>
      <c r="L11" s="44"/>
      <c r="M11" s="45"/>
      <c r="N11" s="45">
        <v>23562000</v>
      </c>
      <c r="O11" s="84">
        <f t="shared" si="0"/>
        <v>23562000</v>
      </c>
      <c r="P11" s="36">
        <f>O11/6000</f>
        <v>3927</v>
      </c>
      <c r="Q11" s="36"/>
      <c r="R11" s="37">
        <f t="shared" si="2"/>
        <v>23562000</v>
      </c>
      <c r="S11" s="47"/>
      <c r="T11" s="48" t="s">
        <v>23</v>
      </c>
      <c r="U11" s="39">
        <f t="shared" si="1"/>
        <v>23562000</v>
      </c>
      <c r="V11" s="49"/>
    </row>
    <row r="12" spans="1:22" s="50" customFormat="1" ht="18" customHeight="1" x14ac:dyDescent="0.2">
      <c r="A12" s="40">
        <v>8</v>
      </c>
      <c r="B12" s="44" t="s">
        <v>24</v>
      </c>
      <c r="C12" s="44"/>
      <c r="D12" s="51"/>
      <c r="E12" s="51"/>
      <c r="F12" s="44"/>
      <c r="G12" s="44"/>
      <c r="H12" s="44"/>
      <c r="I12" s="44"/>
      <c r="J12" s="44"/>
      <c r="K12" s="44"/>
      <c r="L12" s="44"/>
      <c r="M12" s="45"/>
      <c r="N12" s="45">
        <v>0</v>
      </c>
      <c r="O12" s="84">
        <f t="shared" si="0"/>
        <v>0</v>
      </c>
      <c r="P12" s="36">
        <f>O12/4500</f>
        <v>0</v>
      </c>
      <c r="Q12" s="36"/>
      <c r="R12" s="37">
        <f t="shared" si="2"/>
        <v>0</v>
      </c>
      <c r="S12" s="47"/>
      <c r="T12" s="48" t="s">
        <v>25</v>
      </c>
      <c r="U12" s="39">
        <f t="shared" si="1"/>
        <v>0</v>
      </c>
      <c r="V12" s="49"/>
    </row>
    <row r="13" spans="1:22" s="50" customFormat="1" ht="18" customHeight="1" x14ac:dyDescent="0.2">
      <c r="A13" s="40">
        <v>9</v>
      </c>
      <c r="B13" s="44" t="s">
        <v>26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5"/>
      <c r="N13" s="45">
        <v>0</v>
      </c>
      <c r="O13" s="84">
        <f t="shared" si="0"/>
        <v>0</v>
      </c>
      <c r="P13" s="36">
        <f>O13/4500</f>
        <v>0</v>
      </c>
      <c r="Q13" s="36"/>
      <c r="R13" s="37">
        <f t="shared" si="2"/>
        <v>0</v>
      </c>
      <c r="S13" s="47"/>
      <c r="T13" s="48" t="s">
        <v>27</v>
      </c>
      <c r="U13" s="39">
        <f t="shared" si="1"/>
        <v>0</v>
      </c>
      <c r="V13" s="49"/>
    </row>
    <row r="14" spans="1:22" s="50" customFormat="1" ht="18" customHeight="1" x14ac:dyDescent="0.2">
      <c r="A14" s="40">
        <v>10</v>
      </c>
      <c r="B14" s="52" t="s">
        <v>28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3"/>
      <c r="N14" s="53">
        <v>27127500</v>
      </c>
      <c r="O14" s="84">
        <f t="shared" si="0"/>
        <v>27127500</v>
      </c>
      <c r="P14" s="36">
        <f>O14/7500</f>
        <v>3617</v>
      </c>
      <c r="Q14" s="36"/>
      <c r="R14" s="37">
        <f t="shared" si="2"/>
        <v>27127500</v>
      </c>
      <c r="S14" s="47"/>
      <c r="T14" s="48" t="s">
        <v>29</v>
      </c>
      <c r="U14" s="39">
        <f t="shared" si="1"/>
        <v>27127500</v>
      </c>
      <c r="V14" s="49"/>
    </row>
    <row r="15" spans="1:22" s="11" customFormat="1" ht="18" customHeight="1" x14ac:dyDescent="0.2">
      <c r="A15" s="40">
        <v>11</v>
      </c>
      <c r="B15" s="52" t="s">
        <v>30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3"/>
      <c r="N15" s="53">
        <v>70020000</v>
      </c>
      <c r="O15" s="84">
        <f t="shared" si="0"/>
        <v>70020000</v>
      </c>
      <c r="P15" s="36">
        <f>O15/7500</f>
        <v>9336</v>
      </c>
      <c r="Q15" s="36"/>
      <c r="R15" s="37">
        <f t="shared" si="2"/>
        <v>70020000</v>
      </c>
      <c r="S15" s="38"/>
      <c r="T15" s="54" t="s">
        <v>21</v>
      </c>
      <c r="U15" s="39">
        <f t="shared" si="1"/>
        <v>70020000</v>
      </c>
      <c r="V15" s="29"/>
    </row>
    <row r="16" spans="1:22" s="11" customFormat="1" ht="18" customHeight="1" x14ac:dyDescent="0.2">
      <c r="A16" s="40">
        <v>12</v>
      </c>
      <c r="B16" s="55" t="s">
        <v>31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6"/>
      <c r="N16" s="56">
        <v>0</v>
      </c>
      <c r="O16" s="84">
        <f t="shared" si="0"/>
        <v>0</v>
      </c>
      <c r="P16" s="36">
        <f>O16/5625</f>
        <v>0</v>
      </c>
      <c r="Q16" s="36"/>
      <c r="R16" s="37">
        <f t="shared" si="2"/>
        <v>0</v>
      </c>
      <c r="S16" s="38"/>
      <c r="T16" s="54" t="s">
        <v>22</v>
      </c>
      <c r="U16" s="39">
        <f t="shared" si="1"/>
        <v>0</v>
      </c>
      <c r="V16" s="29"/>
    </row>
    <row r="17" spans="1:22" s="11" customFormat="1" ht="18" customHeight="1" x14ac:dyDescent="0.2">
      <c r="A17" s="40">
        <v>13</v>
      </c>
      <c r="B17" s="52" t="s">
        <v>32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6"/>
      <c r="N17" s="56">
        <v>0</v>
      </c>
      <c r="O17" s="84">
        <f t="shared" si="0"/>
        <v>0</v>
      </c>
      <c r="P17" s="36">
        <f>O17/5625</f>
        <v>0</v>
      </c>
      <c r="Q17" s="36"/>
      <c r="R17" s="37">
        <f t="shared" si="2"/>
        <v>0</v>
      </c>
      <c r="S17" s="38"/>
      <c r="T17" s="54" t="s">
        <v>24</v>
      </c>
      <c r="U17" s="39">
        <f t="shared" si="1"/>
        <v>0</v>
      </c>
      <c r="V17" s="29"/>
    </row>
    <row r="18" spans="1:22" s="11" customFormat="1" ht="18" customHeight="1" x14ac:dyDescent="0.2">
      <c r="A18" s="40">
        <v>14</v>
      </c>
      <c r="B18" s="41" t="s">
        <v>6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57"/>
      <c r="N18" s="57">
        <v>0</v>
      </c>
      <c r="O18" s="84">
        <f t="shared" si="0"/>
        <v>0</v>
      </c>
      <c r="P18" s="36">
        <f>O18/15000</f>
        <v>0</v>
      </c>
      <c r="Q18" s="37"/>
      <c r="R18" s="37">
        <f t="shared" si="2"/>
        <v>0</v>
      </c>
      <c r="S18" s="38"/>
      <c r="T18" s="54" t="s">
        <v>26</v>
      </c>
      <c r="U18" s="39">
        <f t="shared" si="1"/>
        <v>0</v>
      </c>
      <c r="V18" s="29"/>
    </row>
    <row r="19" spans="1:22" s="11" customFormat="1" ht="18" customHeight="1" x14ac:dyDescent="0.2">
      <c r="A19" s="40">
        <v>15</v>
      </c>
      <c r="B19" s="41" t="s">
        <v>7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57"/>
      <c r="N19" s="57">
        <v>0</v>
      </c>
      <c r="O19" s="84">
        <f t="shared" si="0"/>
        <v>0</v>
      </c>
      <c r="P19" s="36">
        <f>O19/12500</f>
        <v>0</v>
      </c>
      <c r="Q19" s="37"/>
      <c r="R19" s="37">
        <f t="shared" si="2"/>
        <v>0</v>
      </c>
      <c r="S19" s="38"/>
      <c r="T19" s="58" t="s">
        <v>28</v>
      </c>
      <c r="U19" s="39">
        <f t="shared" si="1"/>
        <v>0</v>
      </c>
      <c r="V19" s="29"/>
    </row>
    <row r="20" spans="1:22" s="11" customFormat="1" ht="18" customHeight="1" x14ac:dyDescent="0.2">
      <c r="A20" s="40">
        <v>16</v>
      </c>
      <c r="B20" s="41" t="s">
        <v>8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57"/>
      <c r="N20" s="57">
        <v>0</v>
      </c>
      <c r="O20" s="84">
        <f t="shared" si="0"/>
        <v>0</v>
      </c>
      <c r="P20" s="36">
        <f>O20/6000</f>
        <v>0</v>
      </c>
      <c r="Q20" s="37"/>
      <c r="R20" s="37">
        <f t="shared" si="2"/>
        <v>0</v>
      </c>
      <c r="S20" s="38"/>
      <c r="T20" s="58" t="s">
        <v>30</v>
      </c>
      <c r="U20" s="39">
        <f t="shared" si="1"/>
        <v>0</v>
      </c>
      <c r="V20" s="29"/>
    </row>
    <row r="21" spans="1:22" s="11" customFormat="1" ht="18" customHeight="1" x14ac:dyDescent="0.2">
      <c r="A21" s="40">
        <v>17</v>
      </c>
      <c r="B21" s="41" t="s">
        <v>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57"/>
      <c r="N21" s="57">
        <v>0</v>
      </c>
      <c r="O21" s="84">
        <f t="shared" si="0"/>
        <v>0</v>
      </c>
      <c r="P21" s="36">
        <f>O21/3000</f>
        <v>0</v>
      </c>
      <c r="Q21" s="37"/>
      <c r="R21" s="37">
        <f t="shared" si="2"/>
        <v>0</v>
      </c>
      <c r="S21" s="38"/>
      <c r="T21" s="58" t="s">
        <v>31</v>
      </c>
      <c r="U21" s="39">
        <f t="shared" si="1"/>
        <v>0</v>
      </c>
      <c r="V21" s="29"/>
    </row>
    <row r="22" spans="1:22" s="11" customFormat="1" ht="18" customHeight="1" thickBot="1" x14ac:dyDescent="0.25">
      <c r="A22" s="40">
        <v>18</v>
      </c>
      <c r="B22" s="59" t="s">
        <v>10</v>
      </c>
      <c r="C22" s="59"/>
      <c r="D22" s="59"/>
      <c r="E22" s="59"/>
      <c r="F22" s="61"/>
      <c r="G22" s="61"/>
      <c r="H22" s="59"/>
      <c r="I22" s="59"/>
      <c r="J22" s="59"/>
      <c r="K22" s="59"/>
      <c r="L22" s="59"/>
      <c r="M22" s="62"/>
      <c r="N22" s="62">
        <v>0</v>
      </c>
      <c r="O22" s="83">
        <f t="shared" si="0"/>
        <v>0</v>
      </c>
      <c r="P22" s="36">
        <f>O22/1000</f>
        <v>0</v>
      </c>
      <c r="Q22" s="37"/>
      <c r="R22" s="37">
        <f t="shared" si="2"/>
        <v>0</v>
      </c>
      <c r="S22" s="38"/>
      <c r="T22" s="58" t="s">
        <v>32</v>
      </c>
      <c r="U22" s="39">
        <f t="shared" si="1"/>
        <v>0</v>
      </c>
      <c r="V22" s="29"/>
    </row>
    <row r="23" spans="1:22" s="67" customFormat="1" ht="18" customHeight="1" x14ac:dyDescent="0.25">
      <c r="A23" s="63"/>
      <c r="B23" s="64" t="s">
        <v>11</v>
      </c>
      <c r="C23" s="65">
        <f t="shared" ref="C23:O23" si="3">SUM(C5:C22)</f>
        <v>593880000</v>
      </c>
      <c r="D23" s="65">
        <f t="shared" si="3"/>
        <v>308294000</v>
      </c>
      <c r="E23" s="65">
        <f t="shared" si="3"/>
        <v>81757000</v>
      </c>
      <c r="F23" s="65">
        <f t="shared" si="3"/>
        <v>620622000</v>
      </c>
      <c r="G23" s="65">
        <f t="shared" si="3"/>
        <v>514457000</v>
      </c>
      <c r="H23" s="65">
        <f t="shared" si="3"/>
        <v>504711000</v>
      </c>
      <c r="I23" s="65">
        <f t="shared" si="3"/>
        <v>664882000</v>
      </c>
      <c r="J23" s="65">
        <f t="shared" si="3"/>
        <v>392061000</v>
      </c>
      <c r="K23" s="65">
        <f t="shared" si="3"/>
        <v>345570000</v>
      </c>
      <c r="L23" s="65">
        <f t="shared" si="3"/>
        <v>412557000</v>
      </c>
      <c r="M23" s="65">
        <f t="shared" si="3"/>
        <v>0</v>
      </c>
      <c r="N23" s="65">
        <f t="shared" si="3"/>
        <v>538312500</v>
      </c>
      <c r="O23" s="65">
        <f t="shared" si="3"/>
        <v>4977103500</v>
      </c>
      <c r="P23" s="37"/>
      <c r="Q23" s="37"/>
      <c r="R23" s="37"/>
      <c r="S23" s="38"/>
      <c r="T23" s="66" t="s">
        <v>11</v>
      </c>
      <c r="U23" s="39">
        <f t="shared" si="1"/>
        <v>4977103500</v>
      </c>
    </row>
    <row r="24" spans="1:22" s="68" customFormat="1" ht="12" customHeight="1" x14ac:dyDescent="0.2">
      <c r="B24" s="69"/>
      <c r="C24" s="4"/>
      <c r="D24" s="4"/>
      <c r="E24" s="4"/>
      <c r="F24" s="4"/>
      <c r="G24" s="4"/>
      <c r="H24" s="4"/>
      <c r="I24" s="69"/>
      <c r="J24" s="4"/>
      <c r="K24" s="69"/>
      <c r="L24" s="5"/>
      <c r="M24" s="4"/>
      <c r="N24" s="4"/>
      <c r="O24" s="6"/>
      <c r="P24" s="6"/>
      <c r="Q24" s="6"/>
      <c r="R24" s="7"/>
      <c r="S24" s="28"/>
      <c r="T24" s="69"/>
      <c r="U24" s="29"/>
      <c r="V24" s="39"/>
    </row>
    <row r="25" spans="1:22" s="68" customFormat="1" ht="12" customHeight="1" x14ac:dyDescent="0.2">
      <c r="B25" s="69"/>
      <c r="C25" s="4"/>
      <c r="D25" s="4"/>
      <c r="E25" s="4"/>
      <c r="F25" s="4"/>
      <c r="G25" s="4"/>
      <c r="H25" s="4"/>
      <c r="I25" s="69"/>
      <c r="J25" s="4"/>
      <c r="K25" s="69"/>
      <c r="L25" s="5"/>
      <c r="M25" s="4"/>
      <c r="N25" s="4"/>
      <c r="O25" s="6"/>
      <c r="P25" s="6"/>
      <c r="Q25" s="6"/>
      <c r="R25" s="7"/>
      <c r="S25" s="28"/>
      <c r="T25" s="69"/>
      <c r="U25" s="29"/>
      <c r="V25" s="39"/>
    </row>
    <row r="26" spans="1:22" s="68" customFormat="1" ht="12" customHeight="1" x14ac:dyDescent="0.2">
      <c r="B26" s="69"/>
      <c r="C26" s="4"/>
      <c r="D26" s="4"/>
      <c r="E26" s="4"/>
      <c r="F26" s="4"/>
      <c r="G26" s="4"/>
      <c r="H26" s="4"/>
      <c r="I26" s="69"/>
      <c r="J26" s="4"/>
      <c r="K26" s="69"/>
      <c r="L26" s="5"/>
      <c r="M26" s="4"/>
      <c r="N26" s="4"/>
      <c r="O26" s="6"/>
      <c r="P26" s="6"/>
      <c r="Q26" s="6"/>
      <c r="R26" s="37"/>
      <c r="S26" s="28"/>
      <c r="T26" s="69"/>
      <c r="U26" s="29"/>
      <c r="V26" s="30"/>
    </row>
    <row r="27" spans="1:22" s="68" customFormat="1" ht="12" customHeight="1" thickBot="1" x14ac:dyDescent="0.25">
      <c r="B27" s="70" t="s">
        <v>12</v>
      </c>
      <c r="C27" s="4"/>
      <c r="D27" s="4"/>
      <c r="E27" s="4"/>
      <c r="F27" s="4"/>
      <c r="G27" s="4"/>
      <c r="H27" s="4"/>
      <c r="I27" s="69"/>
      <c r="J27" s="4"/>
      <c r="K27" s="69"/>
      <c r="L27" s="5"/>
      <c r="M27" s="4"/>
      <c r="N27" s="4"/>
      <c r="O27" s="6"/>
      <c r="P27" s="6"/>
      <c r="Q27" s="6"/>
      <c r="R27" s="14"/>
      <c r="S27" s="28"/>
      <c r="T27" s="70" t="s">
        <v>13</v>
      </c>
      <c r="U27" s="29"/>
      <c r="V27" s="30"/>
    </row>
    <row r="28" spans="1:22" ht="15" customHeight="1" x14ac:dyDescent="0.25">
      <c r="B28" s="85" t="s">
        <v>14</v>
      </c>
      <c r="C28" s="86" t="s">
        <v>39</v>
      </c>
      <c r="D28" s="86" t="s">
        <v>40</v>
      </c>
      <c r="E28" s="86" t="s">
        <v>41</v>
      </c>
      <c r="F28" s="86" t="s">
        <v>42</v>
      </c>
      <c r="G28" s="86" t="s">
        <v>43</v>
      </c>
      <c r="H28" s="86" t="s">
        <v>44</v>
      </c>
      <c r="I28" s="86" t="s">
        <v>45</v>
      </c>
      <c r="J28" s="86" t="s">
        <v>46</v>
      </c>
      <c r="K28" s="86" t="s">
        <v>47</v>
      </c>
      <c r="L28" s="86" t="s">
        <v>48</v>
      </c>
      <c r="M28" s="86" t="s">
        <v>49</v>
      </c>
      <c r="N28" s="86" t="s">
        <v>50</v>
      </c>
      <c r="O28" s="87" t="s">
        <v>1</v>
      </c>
      <c r="P28" s="88"/>
      <c r="Q28" s="88"/>
      <c r="R28" s="89"/>
      <c r="S28" s="9"/>
      <c r="T28" s="90" t="s">
        <v>14</v>
      </c>
      <c r="U28" s="91"/>
      <c r="V28" s="19"/>
    </row>
    <row r="29" spans="1:22" ht="15" customHeight="1" x14ac:dyDescent="0.25">
      <c r="B29" s="92" t="s">
        <v>2</v>
      </c>
      <c r="C29" s="92">
        <f t="shared" ref="C29:N29" si="4">C5/4000</f>
        <v>120081</v>
      </c>
      <c r="D29" s="92">
        <f t="shared" si="4"/>
        <v>64892</v>
      </c>
      <c r="E29" s="92">
        <f t="shared" si="4"/>
        <v>17068</v>
      </c>
      <c r="F29" s="92">
        <f t="shared" si="4"/>
        <v>123789</v>
      </c>
      <c r="G29" s="92">
        <f t="shared" si="4"/>
        <v>105875</v>
      </c>
      <c r="H29" s="92">
        <f t="shared" si="4"/>
        <v>101778</v>
      </c>
      <c r="I29" s="92">
        <f t="shared" si="4"/>
        <v>131011</v>
      </c>
      <c r="J29" s="92">
        <f t="shared" si="4"/>
        <v>83184</v>
      </c>
      <c r="K29" s="92">
        <f t="shared" si="4"/>
        <v>72897</v>
      </c>
      <c r="L29" s="92">
        <f t="shared" si="4"/>
        <v>86370</v>
      </c>
      <c r="M29" s="92">
        <f t="shared" si="4"/>
        <v>0</v>
      </c>
      <c r="N29" s="92">
        <f t="shared" si="4"/>
        <v>76455</v>
      </c>
      <c r="O29" s="93">
        <f t="shared" ref="O29:O46" si="5">SUM(C29:N29)</f>
        <v>983400</v>
      </c>
      <c r="P29" s="94"/>
      <c r="Q29" s="94"/>
      <c r="R29" s="95"/>
      <c r="S29" s="9"/>
      <c r="T29" s="96" t="s">
        <v>2</v>
      </c>
      <c r="U29" s="97">
        <f>O29</f>
        <v>983400</v>
      </c>
      <c r="V29" s="19"/>
    </row>
    <row r="30" spans="1:22" ht="15" customHeight="1" x14ac:dyDescent="0.25">
      <c r="B30" s="92" t="s">
        <v>3</v>
      </c>
      <c r="C30" s="92">
        <f t="shared" ref="C30:N31" si="6">C6/3000</f>
        <v>37852</v>
      </c>
      <c r="D30" s="92">
        <f t="shared" si="6"/>
        <v>16242</v>
      </c>
      <c r="E30" s="92">
        <f t="shared" si="6"/>
        <v>4495</v>
      </c>
      <c r="F30" s="92">
        <f t="shared" si="6"/>
        <v>41822</v>
      </c>
      <c r="G30" s="92">
        <f t="shared" si="6"/>
        <v>30319</v>
      </c>
      <c r="H30" s="92">
        <f t="shared" si="6"/>
        <v>32533</v>
      </c>
      <c r="I30" s="92">
        <f t="shared" si="6"/>
        <v>46946</v>
      </c>
      <c r="J30" s="92">
        <f t="shared" si="6"/>
        <v>19775</v>
      </c>
      <c r="K30" s="92">
        <f t="shared" si="6"/>
        <v>17994</v>
      </c>
      <c r="L30" s="92">
        <f t="shared" si="6"/>
        <v>22359</v>
      </c>
      <c r="M30" s="92">
        <f t="shared" si="6"/>
        <v>0</v>
      </c>
      <c r="N30" s="92">
        <f t="shared" si="6"/>
        <v>29824</v>
      </c>
      <c r="O30" s="93">
        <f t="shared" si="5"/>
        <v>300161</v>
      </c>
      <c r="P30" s="94"/>
      <c r="Q30" s="94"/>
      <c r="R30" s="95"/>
      <c r="S30" s="9"/>
      <c r="T30" s="96" t="s">
        <v>3</v>
      </c>
      <c r="U30" s="97">
        <f t="shared" ref="U30:U40" si="7">O30</f>
        <v>300161</v>
      </c>
      <c r="V30" s="98"/>
    </row>
    <row r="31" spans="1:22" ht="15" customHeight="1" x14ac:dyDescent="0.25">
      <c r="B31" s="92" t="s">
        <v>4</v>
      </c>
      <c r="C31" s="92">
        <f t="shared" si="6"/>
        <v>0</v>
      </c>
      <c r="D31" s="92">
        <f t="shared" si="6"/>
        <v>0</v>
      </c>
      <c r="E31" s="92">
        <f t="shared" si="6"/>
        <v>0</v>
      </c>
      <c r="F31" s="92">
        <f t="shared" si="6"/>
        <v>0</v>
      </c>
      <c r="G31" s="92">
        <f t="shared" si="6"/>
        <v>0</v>
      </c>
      <c r="H31" s="92">
        <f t="shared" si="6"/>
        <v>0</v>
      </c>
      <c r="I31" s="92">
        <f t="shared" si="6"/>
        <v>0</v>
      </c>
      <c r="J31" s="92">
        <f t="shared" si="6"/>
        <v>0</v>
      </c>
      <c r="K31" s="92">
        <f t="shared" si="6"/>
        <v>0</v>
      </c>
      <c r="L31" s="92">
        <f t="shared" si="6"/>
        <v>0</v>
      </c>
      <c r="M31" s="92">
        <f t="shared" si="6"/>
        <v>0</v>
      </c>
      <c r="N31" s="92">
        <f t="shared" si="6"/>
        <v>0</v>
      </c>
      <c r="O31" s="93">
        <f t="shared" si="5"/>
        <v>0</v>
      </c>
      <c r="P31" s="94"/>
      <c r="Q31" s="94"/>
      <c r="R31" s="95"/>
      <c r="S31" s="9"/>
      <c r="T31" s="99" t="s">
        <v>4</v>
      </c>
      <c r="U31" s="97">
        <f t="shared" si="7"/>
        <v>0</v>
      </c>
      <c r="V31" s="19"/>
    </row>
    <row r="32" spans="1:22" ht="15" customHeight="1" x14ac:dyDescent="0.25">
      <c r="B32" s="92" t="s">
        <v>5</v>
      </c>
      <c r="C32" s="92">
        <f t="shared" ref="C32:N32" si="8">C8/2250</f>
        <v>0</v>
      </c>
      <c r="D32" s="92">
        <f t="shared" si="8"/>
        <v>0</v>
      </c>
      <c r="E32" s="92">
        <f t="shared" si="8"/>
        <v>0</v>
      </c>
      <c r="F32" s="92">
        <f t="shared" si="8"/>
        <v>0</v>
      </c>
      <c r="G32" s="92">
        <f t="shared" si="8"/>
        <v>0</v>
      </c>
      <c r="H32" s="92">
        <f t="shared" si="8"/>
        <v>0</v>
      </c>
      <c r="I32" s="92">
        <f t="shared" si="8"/>
        <v>0</v>
      </c>
      <c r="J32" s="92">
        <f t="shared" si="8"/>
        <v>0</v>
      </c>
      <c r="K32" s="92">
        <f t="shared" si="8"/>
        <v>0</v>
      </c>
      <c r="L32" s="92">
        <f t="shared" si="8"/>
        <v>0</v>
      </c>
      <c r="M32" s="92">
        <f t="shared" si="8"/>
        <v>0</v>
      </c>
      <c r="N32" s="92">
        <f t="shared" si="8"/>
        <v>0</v>
      </c>
      <c r="O32" s="93">
        <f t="shared" si="5"/>
        <v>0</v>
      </c>
      <c r="P32" s="94"/>
      <c r="Q32" s="94"/>
      <c r="R32" s="95"/>
      <c r="S32" s="9"/>
      <c r="T32" s="99" t="s">
        <v>5</v>
      </c>
      <c r="U32" s="97">
        <f t="shared" si="7"/>
        <v>0</v>
      </c>
      <c r="V32" s="19"/>
    </row>
    <row r="33" spans="2:21" s="19" customFormat="1" ht="15" customHeight="1" x14ac:dyDescent="0.25">
      <c r="B33" s="92" t="s">
        <v>33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>
        <f t="shared" si="5"/>
        <v>0</v>
      </c>
      <c r="P33" s="94"/>
      <c r="Q33" s="94"/>
      <c r="R33" s="95"/>
      <c r="S33" s="9"/>
      <c r="T33" s="99"/>
      <c r="U33" s="97"/>
    </row>
    <row r="34" spans="2:21" s="19" customFormat="1" ht="15" customHeight="1" x14ac:dyDescent="0.25">
      <c r="B34" s="100" t="s">
        <v>21</v>
      </c>
      <c r="C34" s="100">
        <f t="shared" ref="C34:N35" si="9">C10/6000</f>
        <v>0</v>
      </c>
      <c r="D34" s="100">
        <f t="shared" si="9"/>
        <v>0</v>
      </c>
      <c r="E34" s="100">
        <f t="shared" si="9"/>
        <v>0</v>
      </c>
      <c r="F34" s="100">
        <f t="shared" si="9"/>
        <v>0</v>
      </c>
      <c r="G34" s="100">
        <f t="shared" si="9"/>
        <v>0</v>
      </c>
      <c r="H34" s="100">
        <f t="shared" si="9"/>
        <v>0</v>
      </c>
      <c r="I34" s="100">
        <f t="shared" si="9"/>
        <v>0</v>
      </c>
      <c r="J34" s="100">
        <f t="shared" si="9"/>
        <v>0</v>
      </c>
      <c r="K34" s="100">
        <f t="shared" si="9"/>
        <v>0</v>
      </c>
      <c r="L34" s="100">
        <f t="shared" si="9"/>
        <v>0</v>
      </c>
      <c r="M34" s="100">
        <f t="shared" si="9"/>
        <v>0</v>
      </c>
      <c r="N34" s="100">
        <f t="shared" si="9"/>
        <v>2481</v>
      </c>
      <c r="O34" s="93">
        <f t="shared" si="5"/>
        <v>2481</v>
      </c>
      <c r="P34" s="94"/>
      <c r="Q34" s="94"/>
      <c r="R34" s="95"/>
      <c r="S34" s="9"/>
      <c r="T34" s="99" t="s">
        <v>10</v>
      </c>
      <c r="U34" s="97">
        <f t="shared" si="7"/>
        <v>2481</v>
      </c>
    </row>
    <row r="35" spans="2:21" s="19" customFormat="1" ht="15" customHeight="1" thickBot="1" x14ac:dyDescent="0.3">
      <c r="B35" s="100" t="s">
        <v>22</v>
      </c>
      <c r="C35" s="100">
        <f t="shared" si="9"/>
        <v>0</v>
      </c>
      <c r="D35" s="100">
        <f t="shared" si="9"/>
        <v>0</v>
      </c>
      <c r="E35" s="100">
        <f t="shared" si="9"/>
        <v>0</v>
      </c>
      <c r="F35" s="100">
        <f t="shared" si="9"/>
        <v>0</v>
      </c>
      <c r="G35" s="100">
        <f t="shared" si="9"/>
        <v>0</v>
      </c>
      <c r="H35" s="100">
        <f t="shared" si="9"/>
        <v>0</v>
      </c>
      <c r="I35" s="100">
        <f t="shared" si="9"/>
        <v>0</v>
      </c>
      <c r="J35" s="100">
        <f t="shared" si="9"/>
        <v>0</v>
      </c>
      <c r="K35" s="100">
        <f t="shared" si="9"/>
        <v>0</v>
      </c>
      <c r="L35" s="100">
        <f t="shared" si="9"/>
        <v>0</v>
      </c>
      <c r="M35" s="100">
        <f t="shared" si="9"/>
        <v>0</v>
      </c>
      <c r="N35" s="100">
        <f t="shared" si="9"/>
        <v>3927</v>
      </c>
      <c r="O35" s="93">
        <f t="shared" si="5"/>
        <v>3927</v>
      </c>
      <c r="P35" s="94"/>
      <c r="Q35" s="94"/>
      <c r="R35" s="95"/>
      <c r="S35" s="9"/>
      <c r="T35" s="101" t="s">
        <v>15</v>
      </c>
      <c r="U35" s="97">
        <f t="shared" si="7"/>
        <v>3927</v>
      </c>
    </row>
    <row r="36" spans="2:21" s="9" customFormat="1" ht="15" customHeight="1" x14ac:dyDescent="0.25">
      <c r="B36" s="100" t="s">
        <v>24</v>
      </c>
      <c r="C36" s="100">
        <f t="shared" ref="C36:N37" si="10">C12/4500</f>
        <v>0</v>
      </c>
      <c r="D36" s="100">
        <f t="shared" si="10"/>
        <v>0</v>
      </c>
      <c r="E36" s="100">
        <f t="shared" si="10"/>
        <v>0</v>
      </c>
      <c r="F36" s="100">
        <f t="shared" si="10"/>
        <v>0</v>
      </c>
      <c r="G36" s="100">
        <f t="shared" si="10"/>
        <v>0</v>
      </c>
      <c r="H36" s="100">
        <f t="shared" si="10"/>
        <v>0</v>
      </c>
      <c r="I36" s="100">
        <f t="shared" si="10"/>
        <v>0</v>
      </c>
      <c r="J36" s="100">
        <f t="shared" si="10"/>
        <v>0</v>
      </c>
      <c r="K36" s="100">
        <f t="shared" si="10"/>
        <v>0</v>
      </c>
      <c r="L36" s="100">
        <f t="shared" si="10"/>
        <v>0</v>
      </c>
      <c r="M36" s="100">
        <f t="shared" si="10"/>
        <v>0</v>
      </c>
      <c r="N36" s="100">
        <f t="shared" si="10"/>
        <v>0</v>
      </c>
      <c r="O36" s="93">
        <f t="shared" si="5"/>
        <v>0</v>
      </c>
      <c r="P36" s="94"/>
      <c r="Q36" s="94"/>
      <c r="R36" s="95"/>
      <c r="T36" s="102" t="s">
        <v>34</v>
      </c>
      <c r="U36" s="97">
        <f t="shared" si="7"/>
        <v>0</v>
      </c>
    </row>
    <row r="37" spans="2:21" s="9" customFormat="1" ht="15" customHeight="1" x14ac:dyDescent="0.25">
      <c r="B37" s="100" t="s">
        <v>26</v>
      </c>
      <c r="C37" s="100">
        <f t="shared" si="10"/>
        <v>0</v>
      </c>
      <c r="D37" s="100">
        <f t="shared" si="10"/>
        <v>0</v>
      </c>
      <c r="E37" s="100">
        <f t="shared" si="10"/>
        <v>0</v>
      </c>
      <c r="F37" s="100">
        <f t="shared" si="10"/>
        <v>0</v>
      </c>
      <c r="G37" s="100">
        <f t="shared" si="10"/>
        <v>0</v>
      </c>
      <c r="H37" s="100">
        <f t="shared" si="10"/>
        <v>0</v>
      </c>
      <c r="I37" s="100">
        <f t="shared" si="10"/>
        <v>0</v>
      </c>
      <c r="J37" s="100">
        <f t="shared" si="10"/>
        <v>0</v>
      </c>
      <c r="K37" s="100">
        <f t="shared" si="10"/>
        <v>0</v>
      </c>
      <c r="L37" s="100">
        <f t="shared" si="10"/>
        <v>0</v>
      </c>
      <c r="M37" s="100">
        <f t="shared" si="10"/>
        <v>0</v>
      </c>
      <c r="N37" s="100">
        <f t="shared" si="10"/>
        <v>0</v>
      </c>
      <c r="O37" s="93">
        <f t="shared" si="5"/>
        <v>0</v>
      </c>
      <c r="P37" s="94"/>
      <c r="Q37" s="94"/>
      <c r="R37" s="95"/>
      <c r="T37" s="103" t="s">
        <v>35</v>
      </c>
      <c r="U37" s="97">
        <f t="shared" si="7"/>
        <v>0</v>
      </c>
    </row>
    <row r="38" spans="2:21" s="9" customFormat="1" ht="15" customHeight="1" x14ac:dyDescent="0.25">
      <c r="B38" s="104" t="s">
        <v>28</v>
      </c>
      <c r="C38" s="104">
        <f t="shared" ref="C38:N39" si="11">C14/7500</f>
        <v>0</v>
      </c>
      <c r="D38" s="104">
        <f t="shared" si="11"/>
        <v>0</v>
      </c>
      <c r="E38" s="104">
        <f t="shared" si="11"/>
        <v>0</v>
      </c>
      <c r="F38" s="104">
        <f t="shared" si="11"/>
        <v>0</v>
      </c>
      <c r="G38" s="104">
        <f t="shared" si="11"/>
        <v>0</v>
      </c>
      <c r="H38" s="104">
        <f t="shared" si="11"/>
        <v>0</v>
      </c>
      <c r="I38" s="104">
        <f t="shared" si="11"/>
        <v>0</v>
      </c>
      <c r="J38" s="104">
        <f t="shared" si="11"/>
        <v>0</v>
      </c>
      <c r="K38" s="104">
        <f t="shared" si="11"/>
        <v>0</v>
      </c>
      <c r="L38" s="104">
        <f t="shared" si="11"/>
        <v>0</v>
      </c>
      <c r="M38" s="104">
        <f t="shared" si="11"/>
        <v>0</v>
      </c>
      <c r="N38" s="104">
        <f t="shared" si="11"/>
        <v>3617</v>
      </c>
      <c r="O38" s="93">
        <f t="shared" si="5"/>
        <v>3617</v>
      </c>
      <c r="P38" s="94"/>
      <c r="Q38" s="94"/>
      <c r="R38" s="95"/>
      <c r="T38" s="103" t="s">
        <v>36</v>
      </c>
      <c r="U38" s="97">
        <f t="shared" si="7"/>
        <v>3617</v>
      </c>
    </row>
    <row r="39" spans="2:21" s="9" customFormat="1" ht="15" customHeight="1" x14ac:dyDescent="0.25">
      <c r="B39" s="104" t="s">
        <v>30</v>
      </c>
      <c r="C39" s="104">
        <f t="shared" si="11"/>
        <v>0</v>
      </c>
      <c r="D39" s="104">
        <f t="shared" si="11"/>
        <v>0</v>
      </c>
      <c r="E39" s="104">
        <f t="shared" si="11"/>
        <v>0</v>
      </c>
      <c r="F39" s="104">
        <f t="shared" si="11"/>
        <v>0</v>
      </c>
      <c r="G39" s="104">
        <f t="shared" si="11"/>
        <v>0</v>
      </c>
      <c r="H39" s="104">
        <f t="shared" si="11"/>
        <v>0</v>
      </c>
      <c r="I39" s="104">
        <f t="shared" si="11"/>
        <v>0</v>
      </c>
      <c r="J39" s="104">
        <f t="shared" si="11"/>
        <v>0</v>
      </c>
      <c r="K39" s="104">
        <f t="shared" si="11"/>
        <v>0</v>
      </c>
      <c r="L39" s="104">
        <f t="shared" si="11"/>
        <v>0</v>
      </c>
      <c r="M39" s="104">
        <f t="shared" si="11"/>
        <v>0</v>
      </c>
      <c r="N39" s="104">
        <f t="shared" si="11"/>
        <v>9336</v>
      </c>
      <c r="O39" s="93">
        <f t="shared" si="5"/>
        <v>9336</v>
      </c>
      <c r="P39" s="94"/>
      <c r="Q39" s="94"/>
      <c r="R39" s="95"/>
      <c r="T39" s="103" t="s">
        <v>37</v>
      </c>
      <c r="U39" s="97">
        <f t="shared" si="7"/>
        <v>9336</v>
      </c>
    </row>
    <row r="40" spans="2:21" s="9" customFormat="1" ht="15" customHeight="1" thickBot="1" x14ac:dyDescent="0.3">
      <c r="B40" s="104" t="s">
        <v>31</v>
      </c>
      <c r="C40" s="104">
        <f t="shared" ref="C40:N41" si="12">C16/5625</f>
        <v>0</v>
      </c>
      <c r="D40" s="104">
        <f t="shared" si="12"/>
        <v>0</v>
      </c>
      <c r="E40" s="104">
        <f t="shared" si="12"/>
        <v>0</v>
      </c>
      <c r="F40" s="104">
        <f t="shared" si="12"/>
        <v>0</v>
      </c>
      <c r="G40" s="104">
        <f t="shared" si="12"/>
        <v>0</v>
      </c>
      <c r="H40" s="104">
        <f t="shared" si="12"/>
        <v>0</v>
      </c>
      <c r="I40" s="104">
        <f t="shared" si="12"/>
        <v>0</v>
      </c>
      <c r="J40" s="104">
        <f t="shared" si="12"/>
        <v>0</v>
      </c>
      <c r="K40" s="104">
        <f t="shared" si="12"/>
        <v>0</v>
      </c>
      <c r="L40" s="104">
        <f t="shared" si="12"/>
        <v>0</v>
      </c>
      <c r="M40" s="104">
        <f t="shared" si="12"/>
        <v>0</v>
      </c>
      <c r="N40" s="104">
        <f t="shared" si="12"/>
        <v>0</v>
      </c>
      <c r="O40" s="93">
        <f t="shared" si="5"/>
        <v>0</v>
      </c>
      <c r="P40" s="94"/>
      <c r="Q40" s="94"/>
      <c r="R40" s="95"/>
      <c r="T40" s="101" t="s">
        <v>15</v>
      </c>
      <c r="U40" s="97">
        <f t="shared" si="7"/>
        <v>0</v>
      </c>
    </row>
    <row r="41" spans="2:21" s="19" customFormat="1" ht="15" customHeight="1" x14ac:dyDescent="0.25">
      <c r="B41" s="104" t="s">
        <v>32</v>
      </c>
      <c r="C41" s="104">
        <f t="shared" si="12"/>
        <v>0</v>
      </c>
      <c r="D41" s="104">
        <f t="shared" si="12"/>
        <v>0</v>
      </c>
      <c r="E41" s="104">
        <f t="shared" si="12"/>
        <v>0</v>
      </c>
      <c r="F41" s="104">
        <f t="shared" si="12"/>
        <v>0</v>
      </c>
      <c r="G41" s="104">
        <f t="shared" si="12"/>
        <v>0</v>
      </c>
      <c r="H41" s="104">
        <f t="shared" si="12"/>
        <v>0</v>
      </c>
      <c r="I41" s="104">
        <f t="shared" si="12"/>
        <v>0</v>
      </c>
      <c r="J41" s="104">
        <f t="shared" si="12"/>
        <v>0</v>
      </c>
      <c r="K41" s="104">
        <f t="shared" si="12"/>
        <v>0</v>
      </c>
      <c r="L41" s="104">
        <f t="shared" si="12"/>
        <v>0</v>
      </c>
      <c r="M41" s="104">
        <f t="shared" si="12"/>
        <v>0</v>
      </c>
      <c r="N41" s="104">
        <f t="shared" si="12"/>
        <v>0</v>
      </c>
      <c r="O41" s="93">
        <f t="shared" si="5"/>
        <v>0</v>
      </c>
      <c r="P41" s="105"/>
      <c r="Q41" s="105"/>
      <c r="R41" s="10"/>
      <c r="S41" s="9"/>
      <c r="U41" s="106"/>
    </row>
    <row r="42" spans="2:21" s="19" customFormat="1" ht="15" customHeight="1" x14ac:dyDescent="0.25">
      <c r="B42" s="92" t="s">
        <v>6</v>
      </c>
      <c r="C42" s="92">
        <f t="shared" ref="C42:N42" si="13">C18/15000</f>
        <v>0</v>
      </c>
      <c r="D42" s="92">
        <f t="shared" si="13"/>
        <v>0</v>
      </c>
      <c r="E42" s="92">
        <f t="shared" si="13"/>
        <v>0</v>
      </c>
      <c r="F42" s="92">
        <f t="shared" si="13"/>
        <v>0</v>
      </c>
      <c r="G42" s="92">
        <f t="shared" si="13"/>
        <v>0</v>
      </c>
      <c r="H42" s="92">
        <f t="shared" si="13"/>
        <v>0</v>
      </c>
      <c r="I42" s="92">
        <f t="shared" si="13"/>
        <v>0</v>
      </c>
      <c r="J42" s="92">
        <f t="shared" si="13"/>
        <v>0</v>
      </c>
      <c r="K42" s="92">
        <f t="shared" si="13"/>
        <v>0</v>
      </c>
      <c r="L42" s="92">
        <f t="shared" si="13"/>
        <v>0</v>
      </c>
      <c r="M42" s="92">
        <f t="shared" si="13"/>
        <v>0</v>
      </c>
      <c r="N42" s="92">
        <f t="shared" si="13"/>
        <v>0</v>
      </c>
      <c r="O42" s="93">
        <f t="shared" si="5"/>
        <v>0</v>
      </c>
      <c r="P42" s="105"/>
      <c r="Q42" s="105"/>
      <c r="R42" s="10"/>
      <c r="S42" s="9"/>
      <c r="U42" s="9"/>
    </row>
    <row r="43" spans="2:21" s="9" customFormat="1" ht="15" customHeight="1" x14ac:dyDescent="0.25">
      <c r="B43" s="92" t="s">
        <v>7</v>
      </c>
      <c r="C43" s="92">
        <f t="shared" ref="C43:N43" si="14">C19/12500</f>
        <v>0</v>
      </c>
      <c r="D43" s="92">
        <f t="shared" si="14"/>
        <v>0</v>
      </c>
      <c r="E43" s="92">
        <f t="shared" si="14"/>
        <v>0</v>
      </c>
      <c r="F43" s="92">
        <f t="shared" si="14"/>
        <v>0</v>
      </c>
      <c r="G43" s="92">
        <f t="shared" si="14"/>
        <v>0</v>
      </c>
      <c r="H43" s="92">
        <f t="shared" si="14"/>
        <v>0</v>
      </c>
      <c r="I43" s="92">
        <f t="shared" si="14"/>
        <v>0</v>
      </c>
      <c r="J43" s="92">
        <f t="shared" si="14"/>
        <v>0</v>
      </c>
      <c r="K43" s="92">
        <f t="shared" si="14"/>
        <v>0</v>
      </c>
      <c r="L43" s="92">
        <f t="shared" si="14"/>
        <v>0</v>
      </c>
      <c r="M43" s="92">
        <f t="shared" si="14"/>
        <v>0</v>
      </c>
      <c r="N43" s="92">
        <f t="shared" si="14"/>
        <v>0</v>
      </c>
      <c r="O43" s="93">
        <f t="shared" si="5"/>
        <v>0</v>
      </c>
      <c r="P43" s="105"/>
      <c r="Q43" s="105"/>
      <c r="R43" s="10"/>
    </row>
    <row r="44" spans="2:21" s="9" customFormat="1" ht="15" customHeight="1" x14ac:dyDescent="0.25">
      <c r="B44" s="92" t="s">
        <v>8</v>
      </c>
      <c r="C44" s="92">
        <f t="shared" ref="C44:N44" si="15">C20/6000</f>
        <v>0</v>
      </c>
      <c r="D44" s="92">
        <f t="shared" si="15"/>
        <v>0</v>
      </c>
      <c r="E44" s="92">
        <f t="shared" si="15"/>
        <v>0</v>
      </c>
      <c r="F44" s="92">
        <f t="shared" si="15"/>
        <v>0</v>
      </c>
      <c r="G44" s="92">
        <f t="shared" si="15"/>
        <v>0</v>
      </c>
      <c r="H44" s="92">
        <f t="shared" si="15"/>
        <v>0</v>
      </c>
      <c r="I44" s="92">
        <f t="shared" si="15"/>
        <v>0</v>
      </c>
      <c r="J44" s="92">
        <f t="shared" si="15"/>
        <v>0</v>
      </c>
      <c r="K44" s="92">
        <f t="shared" si="15"/>
        <v>0</v>
      </c>
      <c r="L44" s="92">
        <f t="shared" si="15"/>
        <v>0</v>
      </c>
      <c r="M44" s="92">
        <f t="shared" si="15"/>
        <v>0</v>
      </c>
      <c r="N44" s="92">
        <f t="shared" si="15"/>
        <v>0</v>
      </c>
      <c r="O44" s="93">
        <f t="shared" si="5"/>
        <v>0</v>
      </c>
      <c r="P44" s="105"/>
      <c r="Q44" s="105"/>
      <c r="R44" s="10"/>
    </row>
    <row r="45" spans="2:21" s="9" customFormat="1" ht="15" customHeight="1" x14ac:dyDescent="0.25">
      <c r="B45" s="92" t="s">
        <v>9</v>
      </c>
      <c r="C45" s="92">
        <f t="shared" ref="C45:N45" si="16">C21/3000</f>
        <v>0</v>
      </c>
      <c r="D45" s="92">
        <f t="shared" si="16"/>
        <v>0</v>
      </c>
      <c r="E45" s="92">
        <f t="shared" si="16"/>
        <v>0</v>
      </c>
      <c r="F45" s="92">
        <f t="shared" si="16"/>
        <v>0</v>
      </c>
      <c r="G45" s="92">
        <f t="shared" si="16"/>
        <v>0</v>
      </c>
      <c r="H45" s="92">
        <f t="shared" si="16"/>
        <v>0</v>
      </c>
      <c r="I45" s="92">
        <f t="shared" si="16"/>
        <v>0</v>
      </c>
      <c r="J45" s="92">
        <f t="shared" si="16"/>
        <v>0</v>
      </c>
      <c r="K45" s="92">
        <f t="shared" si="16"/>
        <v>0</v>
      </c>
      <c r="L45" s="92">
        <f t="shared" si="16"/>
        <v>0</v>
      </c>
      <c r="M45" s="92">
        <f t="shared" si="16"/>
        <v>0</v>
      </c>
      <c r="N45" s="92">
        <f t="shared" si="16"/>
        <v>0</v>
      </c>
      <c r="O45" s="93">
        <f t="shared" si="5"/>
        <v>0</v>
      </c>
      <c r="P45" s="105"/>
      <c r="Q45" s="105"/>
      <c r="R45" s="10"/>
    </row>
    <row r="46" spans="2:21" s="9" customFormat="1" ht="15" customHeight="1" x14ac:dyDescent="0.25">
      <c r="B46" s="92" t="s">
        <v>10</v>
      </c>
      <c r="C46" s="92">
        <f t="shared" ref="C46:N46" si="17">C22/1000</f>
        <v>0</v>
      </c>
      <c r="D46" s="92">
        <f t="shared" si="17"/>
        <v>0</v>
      </c>
      <c r="E46" s="92">
        <f t="shared" si="17"/>
        <v>0</v>
      </c>
      <c r="F46" s="92">
        <f t="shared" si="17"/>
        <v>0</v>
      </c>
      <c r="G46" s="92">
        <f t="shared" si="17"/>
        <v>0</v>
      </c>
      <c r="H46" s="92">
        <f t="shared" si="17"/>
        <v>0</v>
      </c>
      <c r="I46" s="92">
        <f t="shared" si="17"/>
        <v>0</v>
      </c>
      <c r="J46" s="92">
        <f t="shared" si="17"/>
        <v>0</v>
      </c>
      <c r="K46" s="92">
        <f t="shared" si="17"/>
        <v>0</v>
      </c>
      <c r="L46" s="92">
        <f t="shared" si="17"/>
        <v>0</v>
      </c>
      <c r="M46" s="92">
        <f t="shared" si="17"/>
        <v>0</v>
      </c>
      <c r="N46" s="92">
        <f t="shared" si="17"/>
        <v>0</v>
      </c>
      <c r="O46" s="93">
        <f t="shared" si="5"/>
        <v>0</v>
      </c>
      <c r="P46" s="105"/>
      <c r="Q46" s="105"/>
      <c r="R46" s="10"/>
    </row>
    <row r="47" spans="2:21" s="17" customFormat="1" ht="11.25" x14ac:dyDescent="0.2">
      <c r="B47" s="16"/>
      <c r="C47" s="1"/>
      <c r="D47" s="1"/>
      <c r="E47" s="4"/>
      <c r="F47" s="4"/>
      <c r="G47" s="1"/>
      <c r="H47" s="1"/>
      <c r="I47" s="1"/>
      <c r="J47" s="16"/>
      <c r="K47" s="1"/>
      <c r="L47" s="16"/>
      <c r="M47" s="1"/>
      <c r="N47" s="1"/>
      <c r="O47" s="2"/>
      <c r="P47" s="2"/>
      <c r="Q47" s="2"/>
      <c r="R47" s="14"/>
      <c r="S47" s="15"/>
      <c r="T47" s="16"/>
    </row>
    <row r="48" spans="2:21" s="17" customFormat="1" ht="11.25" x14ac:dyDescent="0.2">
      <c r="B48" s="16"/>
      <c r="C48" s="1"/>
      <c r="D48" s="1"/>
      <c r="E48" s="4"/>
      <c r="F48" s="4"/>
      <c r="G48" s="1"/>
      <c r="H48" s="1"/>
      <c r="I48" s="1"/>
      <c r="J48" s="16"/>
      <c r="K48" s="1"/>
      <c r="L48" s="16"/>
      <c r="M48" s="1"/>
      <c r="N48" s="1"/>
      <c r="O48" s="2"/>
      <c r="P48" s="2"/>
      <c r="Q48" s="2"/>
      <c r="R48" s="14"/>
      <c r="S48" s="15"/>
      <c r="T48" s="16"/>
    </row>
    <row r="49" spans="2:21" s="17" customFormat="1" ht="11.25" x14ac:dyDescent="0.2">
      <c r="B49" s="16"/>
      <c r="C49" s="1"/>
      <c r="D49" s="1"/>
      <c r="E49" s="4"/>
      <c r="F49" s="4"/>
      <c r="G49" s="1"/>
      <c r="H49" s="1"/>
      <c r="I49" s="1"/>
      <c r="J49" s="16"/>
      <c r="K49" s="1"/>
      <c r="L49" s="16"/>
      <c r="M49" s="1"/>
      <c r="N49" s="1"/>
      <c r="O49" s="2"/>
      <c r="P49" s="2"/>
      <c r="Q49" s="2"/>
      <c r="R49" s="14"/>
      <c r="S49" s="15"/>
      <c r="T49" s="16"/>
    </row>
    <row r="50" spans="2:21" s="18" customFormat="1" ht="11.25" x14ac:dyDescent="0.2">
      <c r="B50" s="81"/>
      <c r="C50" s="1"/>
      <c r="D50" s="1"/>
      <c r="E50" s="4"/>
      <c r="F50" s="4"/>
      <c r="G50" s="1"/>
      <c r="H50" s="1"/>
      <c r="I50" s="1"/>
      <c r="J50" s="16"/>
      <c r="K50" s="1"/>
      <c r="L50" s="16"/>
      <c r="M50" s="1"/>
      <c r="N50" s="1"/>
      <c r="O50" s="2"/>
      <c r="P50" s="2"/>
      <c r="Q50" s="2"/>
      <c r="R50" s="14"/>
      <c r="S50" s="15"/>
      <c r="T50" s="81"/>
      <c r="U50" s="17"/>
    </row>
    <row r="51" spans="2:21" s="18" customFormat="1" ht="11.25" x14ac:dyDescent="0.2">
      <c r="B51" s="81"/>
      <c r="C51" s="1"/>
      <c r="D51" s="1"/>
      <c r="E51" s="4"/>
      <c r="F51" s="4"/>
      <c r="G51" s="1"/>
      <c r="H51" s="1"/>
      <c r="I51" s="1"/>
      <c r="J51" s="16"/>
      <c r="K51" s="1"/>
      <c r="L51" s="16"/>
      <c r="M51" s="1"/>
      <c r="N51" s="1"/>
      <c r="O51" s="2"/>
      <c r="P51" s="2"/>
      <c r="Q51" s="2"/>
      <c r="R51" s="14"/>
      <c r="S51" s="15"/>
      <c r="T51" s="81"/>
      <c r="U51" s="17"/>
    </row>
    <row r="52" spans="2:21" s="18" customFormat="1" ht="11.25" x14ac:dyDescent="0.2">
      <c r="B52" s="81"/>
      <c r="C52" s="1"/>
      <c r="D52" s="1"/>
      <c r="E52" s="4"/>
      <c r="F52" s="4"/>
      <c r="G52" s="1"/>
      <c r="H52" s="1"/>
      <c r="I52" s="1"/>
      <c r="J52" s="16"/>
      <c r="K52" s="1"/>
      <c r="L52" s="16"/>
      <c r="M52" s="1"/>
      <c r="N52" s="1"/>
      <c r="O52" s="2"/>
      <c r="P52" s="2"/>
      <c r="Q52" s="2"/>
      <c r="R52" s="14"/>
      <c r="S52" s="15"/>
      <c r="T52" s="81"/>
      <c r="U52" s="17"/>
    </row>
    <row r="53" spans="2:21" s="18" customFormat="1" ht="11.25" x14ac:dyDescent="0.2">
      <c r="B53" s="81"/>
      <c r="C53" s="1"/>
      <c r="D53" s="1"/>
      <c r="E53" s="4"/>
      <c r="F53" s="4"/>
      <c r="G53" s="1"/>
      <c r="H53" s="1"/>
      <c r="I53" s="1"/>
      <c r="J53" s="16"/>
      <c r="K53" s="1"/>
      <c r="L53" s="16"/>
      <c r="M53" s="1"/>
      <c r="N53" s="1"/>
      <c r="O53" s="2"/>
      <c r="P53" s="2"/>
      <c r="Q53" s="2"/>
      <c r="R53" s="14"/>
      <c r="S53" s="15"/>
      <c r="T53" s="81"/>
      <c r="U53" s="17"/>
    </row>
    <row r="54" spans="2:21" s="18" customFormat="1" ht="11.25" x14ac:dyDescent="0.2">
      <c r="B54" s="81"/>
      <c r="C54" s="1"/>
      <c r="D54" s="1"/>
      <c r="E54" s="4"/>
      <c r="F54" s="4"/>
      <c r="G54" s="1"/>
      <c r="H54" s="1"/>
      <c r="I54" s="1"/>
      <c r="J54" s="16"/>
      <c r="K54" s="1"/>
      <c r="L54" s="16"/>
      <c r="M54" s="1"/>
      <c r="N54" s="1"/>
      <c r="O54" s="2"/>
      <c r="P54" s="2"/>
      <c r="Q54" s="2"/>
      <c r="R54" s="14"/>
      <c r="S54" s="15"/>
      <c r="T54" s="81"/>
      <c r="U54" s="17"/>
    </row>
    <row r="55" spans="2:21" s="18" customFormat="1" ht="11.25" x14ac:dyDescent="0.2">
      <c r="B55" s="81"/>
      <c r="C55" s="1"/>
      <c r="D55" s="1"/>
      <c r="E55" s="4"/>
      <c r="F55" s="4"/>
      <c r="G55" s="1"/>
      <c r="H55" s="1"/>
      <c r="I55" s="1"/>
      <c r="J55" s="16"/>
      <c r="K55" s="1"/>
      <c r="L55" s="16"/>
      <c r="M55" s="1"/>
      <c r="N55" s="1"/>
      <c r="O55" s="2"/>
      <c r="P55" s="2"/>
      <c r="Q55" s="2"/>
      <c r="R55" s="14"/>
      <c r="S55" s="15"/>
      <c r="T55" s="81"/>
      <c r="U55" s="17"/>
    </row>
    <row r="56" spans="2:21" s="18" customFormat="1" ht="11.25" x14ac:dyDescent="0.2">
      <c r="B56" s="81"/>
      <c r="C56" s="1"/>
      <c r="D56" s="1"/>
      <c r="E56" s="4"/>
      <c r="F56" s="4"/>
      <c r="G56" s="1"/>
      <c r="H56" s="1"/>
      <c r="I56" s="1"/>
      <c r="J56" s="16"/>
      <c r="K56" s="1"/>
      <c r="L56" s="16"/>
      <c r="M56" s="1"/>
      <c r="N56" s="1"/>
      <c r="O56" s="2"/>
      <c r="P56" s="2"/>
      <c r="Q56" s="2"/>
      <c r="R56" s="14"/>
      <c r="S56" s="15"/>
      <c r="T56" s="81"/>
      <c r="U56" s="17"/>
    </row>
    <row r="57" spans="2:21" s="18" customFormat="1" ht="11.25" x14ac:dyDescent="0.2">
      <c r="B57" s="81"/>
      <c r="C57" s="1"/>
      <c r="D57" s="1"/>
      <c r="E57" s="4"/>
      <c r="F57" s="4"/>
      <c r="G57" s="1"/>
      <c r="H57" s="1"/>
      <c r="I57" s="1"/>
      <c r="J57" s="16"/>
      <c r="K57" s="1"/>
      <c r="L57" s="16"/>
      <c r="M57" s="1"/>
      <c r="N57" s="1"/>
      <c r="O57" s="2"/>
      <c r="P57" s="2"/>
      <c r="Q57" s="2"/>
      <c r="R57" s="14"/>
      <c r="S57" s="15"/>
      <c r="T57" s="81"/>
      <c r="U57" s="17"/>
    </row>
    <row r="58" spans="2:21" s="18" customFormat="1" ht="11.25" x14ac:dyDescent="0.2">
      <c r="B58" s="81"/>
      <c r="C58" s="1"/>
      <c r="D58" s="1"/>
      <c r="E58" s="4"/>
      <c r="F58" s="4"/>
      <c r="G58" s="1"/>
      <c r="H58" s="1"/>
      <c r="I58" s="1"/>
      <c r="J58" s="16"/>
      <c r="K58" s="1"/>
      <c r="L58" s="16"/>
      <c r="M58" s="1"/>
      <c r="N58" s="1"/>
      <c r="O58" s="2"/>
      <c r="P58" s="2"/>
      <c r="Q58" s="2"/>
      <c r="R58" s="14"/>
      <c r="S58" s="15"/>
      <c r="T58" s="81"/>
      <c r="U58" s="17"/>
    </row>
    <row r="59" spans="2:21" s="18" customFormat="1" ht="11.25" x14ac:dyDescent="0.2">
      <c r="B59" s="81"/>
      <c r="C59" s="1"/>
      <c r="D59" s="1"/>
      <c r="E59" s="4"/>
      <c r="F59" s="4"/>
      <c r="G59" s="1"/>
      <c r="H59" s="1"/>
      <c r="I59" s="1"/>
      <c r="J59" s="16"/>
      <c r="K59" s="1"/>
      <c r="L59" s="16"/>
      <c r="M59" s="1"/>
      <c r="N59" s="1"/>
      <c r="O59" s="2"/>
      <c r="P59" s="2"/>
      <c r="Q59" s="2"/>
      <c r="R59" s="14"/>
      <c r="S59" s="15"/>
      <c r="T59" s="81"/>
      <c r="U59" s="17"/>
    </row>
    <row r="60" spans="2:21" s="18" customFormat="1" ht="11.25" x14ac:dyDescent="0.2">
      <c r="B60" s="81"/>
      <c r="C60" s="1"/>
      <c r="D60" s="1"/>
      <c r="E60" s="4"/>
      <c r="F60" s="4"/>
      <c r="G60" s="1"/>
      <c r="H60" s="1"/>
      <c r="I60" s="1"/>
      <c r="J60" s="16"/>
      <c r="K60" s="1"/>
      <c r="L60" s="16"/>
      <c r="M60" s="1"/>
      <c r="N60" s="1"/>
      <c r="O60" s="2"/>
      <c r="P60" s="2"/>
      <c r="Q60" s="2"/>
      <c r="R60" s="14"/>
      <c r="S60" s="15"/>
      <c r="T60" s="81"/>
      <c r="U60" s="17"/>
    </row>
    <row r="61" spans="2:21" s="18" customFormat="1" ht="11.25" x14ac:dyDescent="0.2">
      <c r="B61" s="81"/>
      <c r="C61" s="1"/>
      <c r="D61" s="1"/>
      <c r="E61" s="4"/>
      <c r="F61" s="4"/>
      <c r="G61" s="1"/>
      <c r="H61" s="1"/>
      <c r="I61" s="1"/>
      <c r="J61" s="16"/>
      <c r="K61" s="1"/>
      <c r="L61" s="16"/>
      <c r="M61" s="1"/>
      <c r="N61" s="1"/>
      <c r="O61" s="2"/>
      <c r="P61" s="2"/>
      <c r="Q61" s="2"/>
      <c r="R61" s="14"/>
      <c r="S61" s="15"/>
      <c r="T61" s="81"/>
      <c r="U61" s="17"/>
    </row>
    <row r="62" spans="2:21" s="18" customFormat="1" ht="11.25" x14ac:dyDescent="0.2">
      <c r="B62" s="81"/>
      <c r="C62" s="1"/>
      <c r="D62" s="1"/>
      <c r="E62" s="4"/>
      <c r="F62" s="4"/>
      <c r="G62" s="1"/>
      <c r="H62" s="1"/>
      <c r="I62" s="1"/>
      <c r="J62" s="16"/>
      <c r="K62" s="1"/>
      <c r="L62" s="16"/>
      <c r="M62" s="1"/>
      <c r="N62" s="1"/>
      <c r="O62" s="2"/>
      <c r="P62" s="2"/>
      <c r="Q62" s="2"/>
      <c r="R62" s="14"/>
      <c r="S62" s="15"/>
      <c r="T62" s="81"/>
      <c r="U62" s="17"/>
    </row>
    <row r="63" spans="2:21" s="18" customFormat="1" ht="11.25" x14ac:dyDescent="0.2">
      <c r="B63" s="81"/>
      <c r="C63" s="1"/>
      <c r="D63" s="1"/>
      <c r="E63" s="4"/>
      <c r="F63" s="4"/>
      <c r="G63" s="1"/>
      <c r="H63" s="1"/>
      <c r="I63" s="1"/>
      <c r="J63" s="16"/>
      <c r="K63" s="1"/>
      <c r="L63" s="16"/>
      <c r="M63" s="1"/>
      <c r="N63" s="1"/>
      <c r="O63" s="2"/>
      <c r="P63" s="2"/>
      <c r="Q63" s="2"/>
      <c r="R63" s="14"/>
      <c r="S63" s="15"/>
      <c r="T63" s="81"/>
      <c r="U63" s="17"/>
    </row>
    <row r="64" spans="2:21" s="18" customFormat="1" ht="11.25" x14ac:dyDescent="0.2">
      <c r="B64" s="81"/>
      <c r="C64" s="1"/>
      <c r="D64" s="1"/>
      <c r="E64" s="4"/>
      <c r="F64" s="4"/>
      <c r="G64" s="1"/>
      <c r="H64" s="1"/>
      <c r="I64" s="1"/>
      <c r="J64" s="16"/>
      <c r="K64" s="1"/>
      <c r="L64" s="16"/>
      <c r="M64" s="1"/>
      <c r="N64" s="1"/>
      <c r="O64" s="2"/>
      <c r="P64" s="2"/>
      <c r="Q64" s="2"/>
      <c r="R64" s="14"/>
      <c r="S64" s="15"/>
      <c r="T64" s="81"/>
      <c r="U64" s="17"/>
    </row>
    <row r="65" spans="2:21" s="18" customFormat="1" ht="11.25" x14ac:dyDescent="0.2">
      <c r="B65" s="81"/>
      <c r="C65" s="1"/>
      <c r="D65" s="1"/>
      <c r="E65" s="4"/>
      <c r="F65" s="4"/>
      <c r="G65" s="1"/>
      <c r="H65" s="1"/>
      <c r="I65" s="1"/>
      <c r="J65" s="16"/>
      <c r="K65" s="1"/>
      <c r="L65" s="16"/>
      <c r="M65" s="1"/>
      <c r="N65" s="1"/>
      <c r="O65" s="2"/>
      <c r="P65" s="2"/>
      <c r="Q65" s="2"/>
      <c r="R65" s="14"/>
      <c r="S65" s="15"/>
      <c r="T65" s="81"/>
      <c r="U65" s="17"/>
    </row>
    <row r="66" spans="2:21" s="18" customFormat="1" ht="11.25" x14ac:dyDescent="0.2">
      <c r="B66" s="81"/>
      <c r="C66" s="1"/>
      <c r="D66" s="1"/>
      <c r="E66" s="4"/>
      <c r="F66" s="4"/>
      <c r="G66" s="1"/>
      <c r="H66" s="1"/>
      <c r="I66" s="1"/>
      <c r="J66" s="16"/>
      <c r="K66" s="1"/>
      <c r="L66" s="16"/>
      <c r="M66" s="1"/>
      <c r="N66" s="1"/>
      <c r="O66" s="2"/>
      <c r="P66" s="2"/>
      <c r="Q66" s="2"/>
      <c r="R66" s="14"/>
      <c r="S66" s="15"/>
      <c r="T66" s="81"/>
      <c r="U66" s="17"/>
    </row>
    <row r="67" spans="2:21" s="18" customFormat="1" ht="11.25" x14ac:dyDescent="0.2">
      <c r="B67" s="81"/>
      <c r="C67" s="1"/>
      <c r="D67" s="1"/>
      <c r="E67" s="4"/>
      <c r="F67" s="4"/>
      <c r="G67" s="1"/>
      <c r="H67" s="1"/>
      <c r="I67" s="1"/>
      <c r="J67" s="16"/>
      <c r="K67" s="1"/>
      <c r="L67" s="16"/>
      <c r="M67" s="1"/>
      <c r="N67" s="1"/>
      <c r="O67" s="2"/>
      <c r="P67" s="2"/>
      <c r="Q67" s="2"/>
      <c r="R67" s="14"/>
      <c r="S67" s="15"/>
      <c r="T67" s="81"/>
      <c r="U67" s="17"/>
    </row>
    <row r="68" spans="2:21" s="18" customFormat="1" ht="11.25" x14ac:dyDescent="0.2">
      <c r="B68" s="81"/>
      <c r="C68" s="1"/>
      <c r="D68" s="1"/>
      <c r="E68" s="4"/>
      <c r="F68" s="4"/>
      <c r="G68" s="1"/>
      <c r="H68" s="1"/>
      <c r="I68" s="1"/>
      <c r="J68" s="16"/>
      <c r="K68" s="1"/>
      <c r="L68" s="16"/>
      <c r="M68" s="1"/>
      <c r="N68" s="1"/>
      <c r="O68" s="2"/>
      <c r="P68" s="2"/>
      <c r="Q68" s="2"/>
      <c r="R68" s="14"/>
      <c r="S68" s="15"/>
      <c r="T68" s="81"/>
      <c r="U68" s="17"/>
    </row>
    <row r="69" spans="2:21" s="18" customFormat="1" ht="11.25" x14ac:dyDescent="0.2">
      <c r="B69" s="81"/>
      <c r="C69" s="1"/>
      <c r="D69" s="1"/>
      <c r="E69" s="4"/>
      <c r="F69" s="4"/>
      <c r="G69" s="1"/>
      <c r="H69" s="1"/>
      <c r="I69" s="1"/>
      <c r="J69" s="16"/>
      <c r="K69" s="1"/>
      <c r="L69" s="16"/>
      <c r="M69" s="1"/>
      <c r="N69" s="1"/>
      <c r="O69" s="2"/>
      <c r="P69" s="2"/>
      <c r="Q69" s="2"/>
      <c r="R69" s="14"/>
      <c r="S69" s="15"/>
      <c r="T69" s="81"/>
      <c r="U69" s="17"/>
    </row>
    <row r="70" spans="2:21" s="18" customFormat="1" ht="11.25" x14ac:dyDescent="0.2">
      <c r="B70" s="81"/>
      <c r="C70" s="1"/>
      <c r="D70" s="1"/>
      <c r="E70" s="4"/>
      <c r="F70" s="4"/>
      <c r="G70" s="1"/>
      <c r="H70" s="1"/>
      <c r="I70" s="1"/>
      <c r="J70" s="16"/>
      <c r="K70" s="1"/>
      <c r="L70" s="16"/>
      <c r="M70" s="1"/>
      <c r="N70" s="1"/>
      <c r="O70" s="2"/>
      <c r="P70" s="2"/>
      <c r="Q70" s="2"/>
      <c r="R70" s="14"/>
      <c r="S70" s="15"/>
      <c r="T70" s="81"/>
      <c r="U70" s="17"/>
    </row>
    <row r="71" spans="2:21" s="18" customFormat="1" ht="11.25" x14ac:dyDescent="0.2">
      <c r="B71" s="81"/>
      <c r="C71" s="1"/>
      <c r="D71" s="1"/>
      <c r="E71" s="4"/>
      <c r="F71" s="4"/>
      <c r="G71" s="1"/>
      <c r="H71" s="1"/>
      <c r="I71" s="1"/>
      <c r="J71" s="16"/>
      <c r="K71" s="1"/>
      <c r="L71" s="16"/>
      <c r="M71" s="1"/>
      <c r="N71" s="1"/>
      <c r="O71" s="2"/>
      <c r="P71" s="2"/>
      <c r="Q71" s="2"/>
      <c r="R71" s="14"/>
      <c r="S71" s="15"/>
      <c r="T71" s="81"/>
      <c r="U71" s="17"/>
    </row>
    <row r="72" spans="2:21" s="18" customFormat="1" ht="11.25" x14ac:dyDescent="0.2">
      <c r="B72" s="81"/>
      <c r="C72" s="1"/>
      <c r="D72" s="1"/>
      <c r="E72" s="4"/>
      <c r="F72" s="4"/>
      <c r="G72" s="1"/>
      <c r="H72" s="1"/>
      <c r="I72" s="1"/>
      <c r="J72" s="16"/>
      <c r="K72" s="1"/>
      <c r="L72" s="16"/>
      <c r="M72" s="1"/>
      <c r="N72" s="1"/>
      <c r="O72" s="2"/>
      <c r="P72" s="2"/>
      <c r="Q72" s="2"/>
      <c r="R72" s="14"/>
      <c r="S72" s="15"/>
      <c r="T72" s="81"/>
      <c r="U72" s="17"/>
    </row>
    <row r="73" spans="2:21" s="18" customFormat="1" ht="11.25" x14ac:dyDescent="0.2">
      <c r="B73" s="81"/>
      <c r="C73" s="1"/>
      <c r="D73" s="1"/>
      <c r="E73" s="4"/>
      <c r="F73" s="4"/>
      <c r="G73" s="1"/>
      <c r="H73" s="1"/>
      <c r="I73" s="1"/>
      <c r="J73" s="16"/>
      <c r="K73" s="1"/>
      <c r="L73" s="16"/>
      <c r="M73" s="1"/>
      <c r="N73" s="1"/>
      <c r="O73" s="2"/>
      <c r="P73" s="2"/>
      <c r="Q73" s="2"/>
      <c r="R73" s="14"/>
      <c r="S73" s="15"/>
      <c r="T73" s="81"/>
      <c r="U73" s="17"/>
    </row>
    <row r="74" spans="2:21" s="18" customFormat="1" ht="11.25" x14ac:dyDescent="0.2">
      <c r="B74" s="81"/>
      <c r="C74" s="1"/>
      <c r="D74" s="1"/>
      <c r="E74" s="4"/>
      <c r="F74" s="4"/>
      <c r="G74" s="1"/>
      <c r="H74" s="1"/>
      <c r="I74" s="1"/>
      <c r="J74" s="16"/>
      <c r="K74" s="1"/>
      <c r="L74" s="16"/>
      <c r="M74" s="1"/>
      <c r="N74" s="1"/>
      <c r="O74" s="2"/>
      <c r="P74" s="2"/>
      <c r="Q74" s="2"/>
      <c r="R74" s="14"/>
      <c r="S74" s="15"/>
      <c r="T74" s="81"/>
      <c r="U74" s="17"/>
    </row>
    <row r="75" spans="2:21" s="18" customFormat="1" ht="11.25" x14ac:dyDescent="0.2">
      <c r="B75" s="81"/>
      <c r="C75" s="1"/>
      <c r="D75" s="1"/>
      <c r="E75" s="4"/>
      <c r="F75" s="4"/>
      <c r="G75" s="1"/>
      <c r="H75" s="1"/>
      <c r="I75" s="1"/>
      <c r="J75" s="16"/>
      <c r="K75" s="1"/>
      <c r="L75" s="16"/>
      <c r="M75" s="1"/>
      <c r="N75" s="1"/>
      <c r="O75" s="2"/>
      <c r="P75" s="2"/>
      <c r="Q75" s="2"/>
      <c r="R75" s="14"/>
      <c r="S75" s="15"/>
      <c r="T75" s="81"/>
      <c r="U75" s="17"/>
    </row>
    <row r="76" spans="2:21" s="18" customFormat="1" ht="11.25" x14ac:dyDescent="0.2">
      <c r="B76" s="81"/>
      <c r="C76" s="1"/>
      <c r="D76" s="1"/>
      <c r="E76" s="4"/>
      <c r="F76" s="4"/>
      <c r="G76" s="1"/>
      <c r="H76" s="1"/>
      <c r="I76" s="1"/>
      <c r="J76" s="16"/>
      <c r="K76" s="1"/>
      <c r="L76" s="16"/>
      <c r="M76" s="1"/>
      <c r="N76" s="1"/>
      <c r="O76" s="2"/>
      <c r="P76" s="2"/>
      <c r="Q76" s="2"/>
      <c r="R76" s="14"/>
      <c r="S76" s="15"/>
      <c r="T76" s="81"/>
      <c r="U76" s="17"/>
    </row>
    <row r="77" spans="2:21" s="18" customFormat="1" ht="11.25" x14ac:dyDescent="0.2">
      <c r="B77" s="81"/>
      <c r="C77" s="1"/>
      <c r="D77" s="1"/>
      <c r="E77" s="4"/>
      <c r="F77" s="4"/>
      <c r="G77" s="1"/>
      <c r="H77" s="1"/>
      <c r="I77" s="1"/>
      <c r="J77" s="16"/>
      <c r="K77" s="1"/>
      <c r="L77" s="16"/>
      <c r="M77" s="1"/>
      <c r="N77" s="1"/>
      <c r="O77" s="2"/>
      <c r="P77" s="2"/>
      <c r="Q77" s="2"/>
      <c r="R77" s="14"/>
      <c r="S77" s="15"/>
      <c r="T77" s="81"/>
      <c r="U77" s="17"/>
    </row>
    <row r="78" spans="2:21" s="18" customFormat="1" ht="11.25" x14ac:dyDescent="0.2">
      <c r="B78" s="81"/>
      <c r="C78" s="1"/>
      <c r="D78" s="1"/>
      <c r="E78" s="4"/>
      <c r="F78" s="4"/>
      <c r="G78" s="1"/>
      <c r="H78" s="1"/>
      <c r="I78" s="1"/>
      <c r="J78" s="16"/>
      <c r="K78" s="1"/>
      <c r="L78" s="16"/>
      <c r="M78" s="1"/>
      <c r="N78" s="1"/>
      <c r="O78" s="2"/>
      <c r="P78" s="2"/>
      <c r="Q78" s="2"/>
      <c r="R78" s="14"/>
      <c r="S78" s="15"/>
      <c r="T78" s="81"/>
      <c r="U78" s="17"/>
    </row>
    <row r="79" spans="2:21" s="18" customFormat="1" ht="11.25" x14ac:dyDescent="0.2">
      <c r="B79" s="81"/>
      <c r="C79" s="1"/>
      <c r="D79" s="1"/>
      <c r="E79" s="4"/>
      <c r="F79" s="4"/>
      <c r="G79" s="1"/>
      <c r="H79" s="1"/>
      <c r="I79" s="1"/>
      <c r="J79" s="16"/>
      <c r="K79" s="1"/>
      <c r="L79" s="16"/>
      <c r="M79" s="1"/>
      <c r="N79" s="1"/>
      <c r="O79" s="2"/>
      <c r="P79" s="2"/>
      <c r="Q79" s="2"/>
      <c r="R79" s="14"/>
      <c r="S79" s="15"/>
      <c r="T79" s="81"/>
      <c r="U79" s="17"/>
    </row>
    <row r="80" spans="2:21" s="18" customFormat="1" ht="11.25" x14ac:dyDescent="0.2">
      <c r="B80" s="81"/>
      <c r="C80" s="1"/>
      <c r="D80" s="1"/>
      <c r="E80" s="4"/>
      <c r="F80" s="4"/>
      <c r="G80" s="1"/>
      <c r="H80" s="1"/>
      <c r="I80" s="1"/>
      <c r="J80" s="16"/>
      <c r="K80" s="1"/>
      <c r="L80" s="16"/>
      <c r="M80" s="1"/>
      <c r="N80" s="1"/>
      <c r="O80" s="2"/>
      <c r="P80" s="2"/>
      <c r="Q80" s="2"/>
      <c r="R80" s="14"/>
      <c r="S80" s="15"/>
      <c r="T80" s="81"/>
      <c r="U80" s="17"/>
    </row>
    <row r="81" spans="2:22" s="18" customFormat="1" ht="11.25" x14ac:dyDescent="0.2">
      <c r="B81" s="81"/>
      <c r="C81" s="1"/>
      <c r="D81" s="1"/>
      <c r="E81" s="4"/>
      <c r="F81" s="4"/>
      <c r="G81" s="1"/>
      <c r="H81" s="1"/>
      <c r="I81" s="1"/>
      <c r="J81" s="16"/>
      <c r="K81" s="1"/>
      <c r="L81" s="16"/>
      <c r="M81" s="1"/>
      <c r="N81" s="1"/>
      <c r="O81" s="2"/>
      <c r="P81" s="2"/>
      <c r="Q81" s="2"/>
      <c r="R81" s="14"/>
      <c r="S81" s="15"/>
      <c r="T81" s="81"/>
      <c r="U81" s="17"/>
    </row>
    <row r="82" spans="2:22" s="18" customFormat="1" ht="11.25" x14ac:dyDescent="0.2">
      <c r="B82" s="81"/>
      <c r="C82" s="1"/>
      <c r="D82" s="1"/>
      <c r="E82" s="4"/>
      <c r="F82" s="4"/>
      <c r="G82" s="1"/>
      <c r="H82" s="1"/>
      <c r="I82" s="1"/>
      <c r="J82" s="16"/>
      <c r="K82" s="1"/>
      <c r="L82" s="16"/>
      <c r="M82" s="1"/>
      <c r="N82" s="1"/>
      <c r="O82" s="2"/>
      <c r="P82" s="2"/>
      <c r="Q82" s="2"/>
      <c r="R82" s="14"/>
      <c r="S82" s="15"/>
      <c r="T82" s="81"/>
      <c r="U82" s="17"/>
    </row>
    <row r="83" spans="2:22" s="18" customFormat="1" ht="11.25" x14ac:dyDescent="0.2">
      <c r="B83" s="81"/>
      <c r="C83" s="1"/>
      <c r="D83" s="1"/>
      <c r="E83" s="4"/>
      <c r="F83" s="4"/>
      <c r="G83" s="1"/>
      <c r="H83" s="1"/>
      <c r="I83" s="1"/>
      <c r="J83" s="16"/>
      <c r="K83" s="1"/>
      <c r="L83" s="16"/>
      <c r="M83" s="1"/>
      <c r="N83" s="1"/>
      <c r="O83" s="2"/>
      <c r="P83" s="2"/>
      <c r="Q83" s="2"/>
      <c r="R83" s="14"/>
      <c r="S83" s="15"/>
      <c r="T83" s="81"/>
      <c r="U83" s="17"/>
    </row>
    <row r="84" spans="2:22" s="18" customFormat="1" ht="11.25" x14ac:dyDescent="0.2">
      <c r="B84" s="81"/>
      <c r="C84" s="1"/>
      <c r="D84" s="1"/>
      <c r="E84" s="4"/>
      <c r="F84" s="4"/>
      <c r="G84" s="1"/>
      <c r="H84" s="1"/>
      <c r="I84" s="1"/>
      <c r="J84" s="16"/>
      <c r="K84" s="1"/>
      <c r="L84" s="16"/>
      <c r="M84" s="1"/>
      <c r="N84" s="1"/>
      <c r="O84" s="2"/>
      <c r="P84" s="2"/>
      <c r="Q84" s="2"/>
      <c r="R84" s="14"/>
      <c r="S84" s="15"/>
      <c r="T84" s="81"/>
      <c r="U84" s="17"/>
    </row>
    <row r="85" spans="2:22" s="18" customFormat="1" ht="11.25" x14ac:dyDescent="0.2">
      <c r="B85" s="81"/>
      <c r="C85" s="1"/>
      <c r="D85" s="1"/>
      <c r="E85" s="4"/>
      <c r="F85" s="4"/>
      <c r="G85" s="1"/>
      <c r="H85" s="1"/>
      <c r="I85" s="1"/>
      <c r="J85" s="16"/>
      <c r="K85" s="1"/>
      <c r="L85" s="16"/>
      <c r="M85" s="1"/>
      <c r="N85" s="1"/>
      <c r="O85" s="2"/>
      <c r="P85" s="2"/>
      <c r="Q85" s="2"/>
      <c r="R85" s="14"/>
      <c r="S85" s="15"/>
      <c r="T85" s="81"/>
      <c r="U85" s="17"/>
    </row>
    <row r="86" spans="2:22" s="18" customFormat="1" ht="11.25" x14ac:dyDescent="0.2">
      <c r="B86" s="81"/>
      <c r="C86" s="1"/>
      <c r="D86" s="1"/>
      <c r="E86" s="4"/>
      <c r="F86" s="4"/>
      <c r="G86" s="1"/>
      <c r="H86" s="1"/>
      <c r="I86" s="1"/>
      <c r="J86" s="16"/>
      <c r="K86" s="1"/>
      <c r="L86" s="16"/>
      <c r="M86" s="1"/>
      <c r="N86" s="1"/>
      <c r="O86" s="2"/>
      <c r="P86" s="2"/>
      <c r="Q86" s="2"/>
      <c r="R86" s="14"/>
      <c r="S86" s="15"/>
      <c r="T86" s="81"/>
      <c r="U86" s="17"/>
    </row>
    <row r="87" spans="2:22" s="18" customFormat="1" ht="11.25" x14ac:dyDescent="0.2">
      <c r="B87" s="81"/>
      <c r="C87" s="1"/>
      <c r="D87" s="1"/>
      <c r="E87" s="4"/>
      <c r="F87" s="4"/>
      <c r="G87" s="1"/>
      <c r="H87" s="1"/>
      <c r="I87" s="1"/>
      <c r="J87" s="16"/>
      <c r="K87" s="1"/>
      <c r="L87" s="16"/>
      <c r="M87" s="1"/>
      <c r="N87" s="1"/>
      <c r="O87" s="2"/>
      <c r="P87" s="2"/>
      <c r="Q87" s="2"/>
      <c r="R87" s="14"/>
      <c r="S87" s="15"/>
      <c r="T87" s="81"/>
      <c r="U87" s="17"/>
    </row>
    <row r="88" spans="2:22" s="18" customFormat="1" ht="11.25" x14ac:dyDescent="0.2">
      <c r="B88" s="81"/>
      <c r="C88" s="1"/>
      <c r="D88" s="1"/>
      <c r="E88" s="4"/>
      <c r="F88" s="4"/>
      <c r="G88" s="1"/>
      <c r="H88" s="1"/>
      <c r="I88" s="1"/>
      <c r="J88" s="16"/>
      <c r="K88" s="1"/>
      <c r="L88" s="16"/>
      <c r="M88" s="1"/>
      <c r="N88" s="1"/>
      <c r="O88" s="2"/>
      <c r="P88" s="2"/>
      <c r="Q88" s="2"/>
      <c r="R88" s="14"/>
      <c r="S88" s="15"/>
      <c r="T88" s="81"/>
      <c r="U88" s="17"/>
    </row>
    <row r="89" spans="2:22" s="18" customFormat="1" ht="11.25" x14ac:dyDescent="0.2">
      <c r="B89" s="81"/>
      <c r="C89" s="1"/>
      <c r="D89" s="1"/>
      <c r="E89" s="4"/>
      <c r="F89" s="4"/>
      <c r="G89" s="1"/>
      <c r="H89" s="1"/>
      <c r="I89" s="1"/>
      <c r="J89" s="16"/>
      <c r="K89" s="1"/>
      <c r="L89" s="16"/>
      <c r="M89" s="1"/>
      <c r="N89" s="1"/>
      <c r="O89" s="2"/>
      <c r="P89" s="2"/>
      <c r="Q89" s="2"/>
      <c r="R89" s="14"/>
      <c r="S89" s="15"/>
      <c r="T89" s="81"/>
      <c r="U89" s="17"/>
    </row>
    <row r="90" spans="2:22" s="18" customFormat="1" ht="11.25" x14ac:dyDescent="0.2">
      <c r="B90" s="81"/>
      <c r="C90" s="1"/>
      <c r="D90" s="1"/>
      <c r="E90" s="4"/>
      <c r="F90" s="4"/>
      <c r="G90" s="1"/>
      <c r="H90" s="1"/>
      <c r="I90" s="1"/>
      <c r="J90" s="16"/>
      <c r="K90" s="1"/>
      <c r="L90" s="16"/>
      <c r="M90" s="1"/>
      <c r="N90" s="1"/>
      <c r="O90" s="2"/>
      <c r="P90" s="2"/>
      <c r="Q90" s="2"/>
      <c r="R90" s="14"/>
      <c r="S90" s="15"/>
      <c r="T90" s="81"/>
      <c r="U90" s="17"/>
    </row>
    <row r="91" spans="2:22" s="18" customFormat="1" ht="11.25" x14ac:dyDescent="0.2">
      <c r="B91" s="81"/>
      <c r="C91" s="1"/>
      <c r="D91" s="1"/>
      <c r="E91" s="4"/>
      <c r="F91" s="4"/>
      <c r="G91" s="1"/>
      <c r="H91" s="1"/>
      <c r="I91" s="1"/>
      <c r="J91" s="16"/>
      <c r="K91" s="1"/>
      <c r="L91" s="16"/>
      <c r="M91" s="1"/>
      <c r="N91" s="1"/>
      <c r="O91" s="2"/>
      <c r="P91" s="2"/>
      <c r="Q91" s="2"/>
      <c r="R91" s="14"/>
      <c r="S91" s="15"/>
      <c r="T91" s="81"/>
      <c r="U91" s="17"/>
    </row>
    <row r="92" spans="2:22" x14ac:dyDescent="0.2">
      <c r="V92" s="19"/>
    </row>
  </sheetData>
  <mergeCells count="5">
    <mergeCell ref="A1:O1"/>
    <mergeCell ref="A3:A4"/>
    <mergeCell ref="B3:B4"/>
    <mergeCell ref="C3:N3"/>
    <mergeCell ref="O3:O4"/>
  </mergeCells>
  <pageMargins left="0.75" right="0.75" top="1" bottom="1" header="0.5" footer="0.5"/>
  <pageSetup paperSize="122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0F8-9F17-4C04-B8FC-3F560EA84A2A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JANUARI 26</vt:lpstr>
      <vt:lpstr>Februari 26</vt:lpstr>
      <vt:lpstr>mARET 26</vt:lpstr>
      <vt:lpstr>APRIL 26</vt:lpstr>
      <vt:lpstr>mei 26</vt:lpstr>
      <vt:lpstr>JUNI IRMA</vt:lpstr>
      <vt:lpstr>JUNI</vt:lpstr>
      <vt:lpstr>JULI</vt:lpstr>
      <vt:lpstr>AGUSTUS</vt:lpstr>
      <vt:lpstr>SEPTEMEBR</vt:lpstr>
      <vt:lpstr>OKTOBER</vt:lpstr>
      <vt:lpstr>Tahun 26</vt:lpstr>
      <vt:lpstr>Tahun 25 (2)</vt:lpstr>
      <vt:lpstr>Sheet1</vt:lpstr>
      <vt:lpstr>AGUSTUS!Print_Area</vt:lpstr>
      <vt:lpstr>'APRIL 26'!Print_Area</vt:lpstr>
      <vt:lpstr>'Februari 26'!Print_Area</vt:lpstr>
      <vt:lpstr>'JANUARI 26'!Print_Area</vt:lpstr>
      <vt:lpstr>JULI!Print_Area</vt:lpstr>
      <vt:lpstr>JUNI!Print_Area</vt:lpstr>
      <vt:lpstr>'JUNI IRMA'!Print_Area</vt:lpstr>
      <vt:lpstr>'mARET 26'!Print_Area</vt:lpstr>
      <vt:lpstr>'mei 26'!Print_Area</vt:lpstr>
      <vt:lpstr>OKTOBER!Print_Area</vt:lpstr>
      <vt:lpstr>SEPTEMEBR!Print_Area</vt:lpstr>
      <vt:lpstr>'Tahun 25 (2)'!Print_Area</vt:lpstr>
      <vt:lpstr>'Tahun 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RagunanZoo</dc:creator>
  <cp:lastModifiedBy>USER</cp:lastModifiedBy>
  <cp:lastPrinted>2025-10-22T04:31:45Z</cp:lastPrinted>
  <dcterms:created xsi:type="dcterms:W3CDTF">2024-12-30T01:12:29Z</dcterms:created>
  <dcterms:modified xsi:type="dcterms:W3CDTF">2026-10-14T07:12:04Z</dcterms:modified>
</cp:coreProperties>
</file>