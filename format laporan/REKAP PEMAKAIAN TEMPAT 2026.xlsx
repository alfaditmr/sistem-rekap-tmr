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BC\K    A    R     C    I     S\OPNAME 2026\"/>
    </mc:Choice>
  </mc:AlternateContent>
  <xr:revisionPtr revIDLastSave="0" documentId="13_ncr:1_{397E45A6-3F85-4093-9C9A-5F5F943555E2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januari" sheetId="17" r:id="rId1"/>
    <sheet name="februari" sheetId="19" r:id="rId2"/>
    <sheet name="Maret" sheetId="18" r:id="rId3"/>
    <sheet name="April" sheetId="14" r:id="rId4"/>
    <sheet name="Mei" sheetId="20" r:id="rId5"/>
    <sheet name="Juni" sheetId="25" r:id="rId6"/>
    <sheet name="Juli" sheetId="26" r:id="rId7"/>
    <sheet name="Agustus" sheetId="27" r:id="rId8"/>
    <sheet name="September" sheetId="28" r:id="rId9"/>
    <sheet name="OKtober" sheetId="29" r:id="rId10"/>
    <sheet name="REKAP 2026" sheetId="2" r:id="rId11"/>
    <sheet name="tw1" sheetId="16" r:id="rId12"/>
    <sheet name="Sheet1" sheetId="9" r:id="rId13"/>
  </sheets>
  <externalReferences>
    <externalReference r:id="rId14"/>
  </externalReferences>
  <definedNames>
    <definedName name="_xlnm.Print_Area" localSheetId="7">Agustus!$A$1:$K$142</definedName>
    <definedName name="_xlnm.Print_Area" localSheetId="9">OKtober!$A$1:$K$97</definedName>
    <definedName name="_xlnm.Print_Area" localSheetId="8">September!$A$1:$K$136</definedName>
    <definedName name="_xlnm.Print_Titles" localSheetId="7">Agustus!$5:$5</definedName>
    <definedName name="_xlnm.Print_Titles" localSheetId="9">OKtober!$5:$5</definedName>
    <definedName name="_xlnm.Print_Titles" localSheetId="8">September!$5:$5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7" i="29" l="1"/>
  <c r="I97" i="29"/>
  <c r="H97" i="29"/>
  <c r="G97" i="29"/>
  <c r="F97" i="29"/>
  <c r="E97" i="29"/>
  <c r="J136" i="28"/>
  <c r="I136" i="28"/>
  <c r="H136" i="28"/>
  <c r="G136" i="28"/>
  <c r="F136" i="28"/>
  <c r="E136" i="28"/>
  <c r="F142" i="27"/>
  <c r="G142" i="27"/>
  <c r="H142" i="27"/>
  <c r="I142" i="27"/>
  <c r="J142" i="27"/>
  <c r="E142" i="27"/>
  <c r="F134" i="26"/>
  <c r="G134" i="26"/>
  <c r="H134" i="26"/>
  <c r="I134" i="26"/>
  <c r="J134" i="26"/>
  <c r="E134" i="26"/>
  <c r="J30" i="25"/>
  <c r="I30" i="25"/>
  <c r="H30" i="25"/>
  <c r="G30" i="25"/>
  <c r="F30" i="25"/>
  <c r="E30" i="25"/>
  <c r="F31" i="14"/>
  <c r="G31" i="14"/>
  <c r="H31" i="14"/>
  <c r="I31" i="14"/>
  <c r="J31" i="14"/>
  <c r="E31" i="14"/>
  <c r="F29" i="20"/>
  <c r="G29" i="20"/>
  <c r="H29" i="20"/>
  <c r="I29" i="20"/>
  <c r="J29" i="20"/>
  <c r="J37" i="25" l="1"/>
  <c r="J63" i="25" s="1"/>
  <c r="G37" i="25"/>
  <c r="G63" i="25" s="1"/>
  <c r="G71" i="25" s="1"/>
  <c r="G98" i="25" s="1"/>
  <c r="G104" i="25" s="1"/>
  <c r="G132" i="25" s="1"/>
  <c r="G137" i="25" s="1"/>
  <c r="G164" i="25" s="1"/>
  <c r="G170" i="25" s="1"/>
  <c r="G197" i="25" s="1"/>
  <c r="G204" i="25" s="1"/>
  <c r="G225" i="25" s="1"/>
  <c r="E37" i="25"/>
  <c r="E63" i="25" s="1"/>
  <c r="E71" i="25" s="1"/>
  <c r="E98" i="25" s="1"/>
  <c r="E104" i="25" s="1"/>
  <c r="E132" i="25" s="1"/>
  <c r="E137" i="25" s="1"/>
  <c r="E164" i="25" s="1"/>
  <c r="E170" i="25" s="1"/>
  <c r="E197" i="25" s="1"/>
  <c r="E204" i="25" s="1"/>
  <c r="E225" i="25" s="1"/>
  <c r="J71" i="25"/>
  <c r="J98" i="25" s="1"/>
  <c r="J104" i="25" s="1"/>
  <c r="J132" i="25" s="1"/>
  <c r="J137" i="25" s="1"/>
  <c r="J164" i="25" s="1"/>
  <c r="J170" i="25" s="1"/>
  <c r="J197" i="25" s="1"/>
  <c r="J204" i="25" s="1"/>
  <c r="J225" i="25" s="1"/>
  <c r="I37" i="25"/>
  <c r="I63" i="25" s="1"/>
  <c r="I71" i="25" s="1"/>
  <c r="I98" i="25" s="1"/>
  <c r="I104" i="25" s="1"/>
  <c r="I132" i="25" s="1"/>
  <c r="I137" i="25" s="1"/>
  <c r="I164" i="25" s="1"/>
  <c r="I170" i="25" s="1"/>
  <c r="I197" i="25" s="1"/>
  <c r="I204" i="25" s="1"/>
  <c r="I225" i="25" s="1"/>
  <c r="H37" i="25"/>
  <c r="H63" i="25" s="1"/>
  <c r="H71" i="25" s="1"/>
  <c r="H98" i="25" s="1"/>
  <c r="H104" i="25" s="1"/>
  <c r="H132" i="25" s="1"/>
  <c r="H137" i="25" s="1"/>
  <c r="H164" i="25" s="1"/>
  <c r="H170" i="25" s="1"/>
  <c r="H197" i="25" s="1"/>
  <c r="H204" i="25" s="1"/>
  <c r="H225" i="25" s="1"/>
  <c r="F37" i="25"/>
  <c r="F63" i="25" s="1"/>
  <c r="F71" i="25" s="1"/>
  <c r="F98" i="25" s="1"/>
  <c r="F104" i="25" s="1"/>
  <c r="F132" i="25" s="1"/>
  <c r="F137" i="25" s="1"/>
  <c r="F164" i="25" s="1"/>
  <c r="F170" i="25" s="1"/>
  <c r="F197" i="25" s="1"/>
  <c r="F204" i="25" s="1"/>
  <c r="F225" i="25" s="1"/>
  <c r="J35" i="20" l="1"/>
  <c r="J61" i="20" s="1"/>
  <c r="J66" i="20" s="1"/>
  <c r="I35" i="20"/>
  <c r="I61" i="20" s="1"/>
  <c r="I66" i="20" s="1"/>
  <c r="H35" i="20"/>
  <c r="H61" i="20" s="1"/>
  <c r="H66" i="20" s="1"/>
  <c r="G35" i="20"/>
  <c r="F35" i="20"/>
  <c r="F61" i="20" s="1"/>
  <c r="F66" i="20" s="1"/>
  <c r="E29" i="20"/>
  <c r="E35" i="20" s="1"/>
  <c r="E61" i="20" s="1"/>
  <c r="E66" i="20" s="1"/>
  <c r="E91" i="20" s="1"/>
  <c r="E97" i="20" s="1"/>
  <c r="E123" i="20" s="1"/>
  <c r="E128" i="20" s="1"/>
  <c r="E153" i="20" s="1"/>
  <c r="E159" i="20" s="1"/>
  <c r="E184" i="20" s="1"/>
  <c r="E191" i="20" s="1"/>
  <c r="E202" i="20" s="1"/>
  <c r="J91" i="20" l="1"/>
  <c r="I91" i="20"/>
  <c r="H91" i="20"/>
  <c r="F91" i="20"/>
  <c r="G61" i="20"/>
  <c r="G66" i="20" s="1"/>
  <c r="J30" i="19"/>
  <c r="J35" i="19" s="1"/>
  <c r="J52" i="19" s="1"/>
  <c r="I30" i="19"/>
  <c r="I35" i="19" s="1"/>
  <c r="I52" i="19" s="1"/>
  <c r="H30" i="19"/>
  <c r="H35" i="19" s="1"/>
  <c r="H52" i="19" s="1"/>
  <c r="G30" i="19"/>
  <c r="G35" i="19" s="1"/>
  <c r="G52" i="19" s="1"/>
  <c r="F30" i="19"/>
  <c r="F35" i="19" s="1"/>
  <c r="F52" i="19" s="1"/>
  <c r="E30" i="19"/>
  <c r="E35" i="19" s="1"/>
  <c r="E52" i="19" s="1"/>
  <c r="J29" i="18"/>
  <c r="J34" i="18" s="1"/>
  <c r="J50" i="18" s="1"/>
  <c r="I29" i="18"/>
  <c r="I34" i="18" s="1"/>
  <c r="I50" i="18" s="1"/>
  <c r="H29" i="18"/>
  <c r="H34" i="18" s="1"/>
  <c r="H50" i="18" s="1"/>
  <c r="G29" i="18"/>
  <c r="G34" i="18" s="1"/>
  <c r="G50" i="18" s="1"/>
  <c r="F29" i="18"/>
  <c r="F34" i="18" s="1"/>
  <c r="F50" i="18" s="1"/>
  <c r="E29" i="18"/>
  <c r="E34" i="18" s="1"/>
  <c r="E50" i="18" s="1"/>
  <c r="H97" i="20" l="1"/>
  <c r="H123" i="20" s="1"/>
  <c r="H128" i="20" s="1"/>
  <c r="H153" i="20" s="1"/>
  <c r="H159" i="20" s="1"/>
  <c r="H184" i="20" s="1"/>
  <c r="H191" i="20" s="1"/>
  <c r="H202" i="20" s="1"/>
  <c r="J97" i="20"/>
  <c r="J123" i="20" s="1"/>
  <c r="J128" i="20" s="1"/>
  <c r="J153" i="20" s="1"/>
  <c r="J159" i="20" s="1"/>
  <c r="J184" i="20" s="1"/>
  <c r="J191" i="20" s="1"/>
  <c r="J202" i="20" s="1"/>
  <c r="F97" i="20"/>
  <c r="F123" i="20" s="1"/>
  <c r="F128" i="20" s="1"/>
  <c r="F153" i="20" s="1"/>
  <c r="F159" i="20" s="1"/>
  <c r="F184" i="20" s="1"/>
  <c r="F191" i="20" s="1"/>
  <c r="F202" i="20" s="1"/>
  <c r="I97" i="20"/>
  <c r="I123" i="20" s="1"/>
  <c r="I128" i="20" s="1"/>
  <c r="I153" i="20" s="1"/>
  <c r="I159" i="20" s="1"/>
  <c r="I184" i="20" s="1"/>
  <c r="I191" i="20" s="1"/>
  <c r="I202" i="20" s="1"/>
  <c r="G91" i="20"/>
  <c r="G97" i="20" s="1"/>
  <c r="G123" i="20" s="1"/>
  <c r="G128" i="20" s="1"/>
  <c r="G153" i="20" s="1"/>
  <c r="G159" i="20" s="1"/>
  <c r="G184" i="20" s="1"/>
  <c r="G191" i="20" s="1"/>
  <c r="G202" i="20" s="1"/>
  <c r="F31" i="17"/>
  <c r="G31" i="17"/>
  <c r="H31" i="17"/>
  <c r="I31" i="17"/>
  <c r="J31" i="17"/>
  <c r="J114" i="17" l="1"/>
  <c r="J35" i="17"/>
  <c r="I35" i="17"/>
  <c r="H35" i="17"/>
  <c r="G35" i="17"/>
  <c r="F35" i="17"/>
  <c r="E31" i="17"/>
  <c r="E35" i="17" s="1"/>
  <c r="E10" i="16"/>
  <c r="G10" i="16"/>
  <c r="I10" i="16"/>
  <c r="K10" i="16"/>
  <c r="M10" i="16"/>
  <c r="O10" i="16"/>
  <c r="Q10" i="16"/>
  <c r="C10" i="16"/>
  <c r="R9" i="16"/>
  <c r="P9" i="16"/>
  <c r="N9" i="16"/>
  <c r="L9" i="16"/>
  <c r="J9" i="16"/>
  <c r="H9" i="16"/>
  <c r="F9" i="16"/>
  <c r="D9" i="16"/>
  <c r="R8" i="16"/>
  <c r="P8" i="16"/>
  <c r="N8" i="16"/>
  <c r="L8" i="16"/>
  <c r="J8" i="16"/>
  <c r="H8" i="16"/>
  <c r="F8" i="16"/>
  <c r="D8" i="16"/>
  <c r="S8" i="16" s="1"/>
  <c r="R7" i="16"/>
  <c r="P7" i="16"/>
  <c r="N7" i="16"/>
  <c r="L7" i="16"/>
  <c r="J7" i="16"/>
  <c r="H7" i="16"/>
  <c r="F7" i="16"/>
  <c r="D7" i="16"/>
  <c r="Q20" i="2"/>
  <c r="R10" i="2"/>
  <c r="R11" i="2"/>
  <c r="R12" i="2"/>
  <c r="R13" i="2"/>
  <c r="R14" i="2"/>
  <c r="R15" i="2"/>
  <c r="R16" i="2"/>
  <c r="R17" i="2"/>
  <c r="R18" i="2"/>
  <c r="R19" i="2"/>
  <c r="R9" i="2"/>
  <c r="R8" i="2"/>
  <c r="D10" i="16" l="1"/>
  <c r="F10" i="16"/>
  <c r="R10" i="16"/>
  <c r="S9" i="16"/>
  <c r="L10" i="16"/>
  <c r="N10" i="16"/>
  <c r="P10" i="16"/>
  <c r="J10" i="16"/>
  <c r="H10" i="16"/>
  <c r="F62" i="17"/>
  <c r="F66" i="17" s="1"/>
  <c r="G62" i="17"/>
  <c r="G66" i="17" s="1"/>
  <c r="H62" i="17"/>
  <c r="H66" i="17" s="1"/>
  <c r="I62" i="17"/>
  <c r="I66" i="17" s="1"/>
  <c r="J62" i="17"/>
  <c r="J66" i="17" s="1"/>
  <c r="J93" i="17" s="1"/>
  <c r="J97" i="17" s="1"/>
  <c r="J123" i="17" s="1"/>
  <c r="J129" i="17" s="1"/>
  <c r="J142" i="17" s="1"/>
  <c r="E62" i="17"/>
  <c r="E66" i="17" s="1"/>
  <c r="S7" i="16"/>
  <c r="S10" i="16" s="1"/>
  <c r="R20" i="2"/>
  <c r="J36" i="14"/>
  <c r="J63" i="14" s="1"/>
  <c r="I36" i="14"/>
  <c r="I63" i="14" s="1"/>
  <c r="H36" i="14"/>
  <c r="H63" i="14" s="1"/>
  <c r="G36" i="14"/>
  <c r="G63" i="14" s="1"/>
  <c r="F36" i="14"/>
  <c r="F63" i="14" s="1"/>
  <c r="E36" i="14"/>
  <c r="E63" i="14" s="1"/>
  <c r="G93" i="17" l="1"/>
  <c r="G97" i="17" s="1"/>
  <c r="E93" i="17"/>
  <c r="E97" i="17" s="1"/>
  <c r="H93" i="17"/>
  <c r="H97" i="17" s="1"/>
  <c r="I93" i="17"/>
  <c r="I97" i="17" s="1"/>
  <c r="F93" i="17"/>
  <c r="F97" i="17" s="1"/>
  <c r="G69" i="14"/>
  <c r="G96" i="14" s="1"/>
  <c r="H69" i="14"/>
  <c r="H96" i="14" s="1"/>
  <c r="E69" i="14"/>
  <c r="J69" i="14"/>
  <c r="J96" i="14" s="1"/>
  <c r="I69" i="14"/>
  <c r="I96" i="14" s="1"/>
  <c r="F69" i="14"/>
  <c r="F96" i="14" s="1"/>
  <c r="E96" i="14" l="1"/>
  <c r="E102" i="14" s="1"/>
  <c r="G123" i="17"/>
  <c r="G129" i="17" s="1"/>
  <c r="G142" i="17" s="1"/>
  <c r="I123" i="17"/>
  <c r="I129" i="17" s="1"/>
  <c r="I142" i="17" s="1"/>
  <c r="H123" i="17"/>
  <c r="H129" i="17" s="1"/>
  <c r="H142" i="17" s="1"/>
  <c r="E123" i="17"/>
  <c r="E129" i="17" s="1"/>
  <c r="E142" i="17" s="1"/>
  <c r="F123" i="17"/>
  <c r="F129" i="17" s="1"/>
  <c r="F142" i="17" s="1"/>
  <c r="J102" i="14"/>
  <c r="J129" i="14" s="1"/>
  <c r="G102" i="14"/>
  <c r="G129" i="14" s="1"/>
  <c r="F102" i="14"/>
  <c r="F129" i="14" s="1"/>
  <c r="I102" i="14"/>
  <c r="I129" i="14" s="1"/>
  <c r="H102" i="14"/>
  <c r="H129" i="14" s="1"/>
  <c r="E129" i="14" l="1"/>
  <c r="E135" i="14" s="1"/>
  <c r="H135" i="14"/>
  <c r="H162" i="14" s="1"/>
  <c r="I135" i="14"/>
  <c r="I162" i="14" s="1"/>
  <c r="F135" i="14"/>
  <c r="F162" i="14" s="1"/>
  <c r="G135" i="14"/>
  <c r="G162" i="14" s="1"/>
  <c r="J135" i="14"/>
  <c r="J162" i="14" s="1"/>
  <c r="E162" i="14" l="1"/>
  <c r="E168" i="14" s="1"/>
  <c r="F168" i="14"/>
  <c r="F194" i="14" s="1"/>
  <c r="J168" i="14"/>
  <c r="J194" i="14" s="1"/>
  <c r="G168" i="14"/>
  <c r="G194" i="14" s="1"/>
  <c r="I168" i="14"/>
  <c r="I194" i="14" s="1"/>
  <c r="H168" i="14"/>
  <c r="H194" i="14" s="1"/>
  <c r="E194" i="14" l="1"/>
  <c r="E202" i="14" s="1"/>
  <c r="E230" i="14" s="1"/>
  <c r="E236" i="14" s="1"/>
  <c r="E239" i="14" s="1"/>
  <c r="H202" i="14"/>
  <c r="H230" i="14" s="1"/>
  <c r="H236" i="14" s="1"/>
  <c r="H239" i="14" s="1"/>
  <c r="J202" i="14"/>
  <c r="J230" i="14" s="1"/>
  <c r="J236" i="14" s="1"/>
  <c r="J239" i="14" s="1"/>
  <c r="F202" i="14"/>
  <c r="F230" i="14" s="1"/>
  <c r="F236" i="14" s="1"/>
  <c r="F239" i="14" s="1"/>
  <c r="I202" i="14"/>
  <c r="I230" i="14" s="1"/>
  <c r="I236" i="14" s="1"/>
  <c r="I239" i="14" s="1"/>
  <c r="G202" i="14"/>
  <c r="G230" i="14" s="1"/>
  <c r="G236" i="14" s="1"/>
  <c r="G239" i="14" s="1"/>
  <c r="D8" i="2"/>
  <c r="D9" i="2"/>
  <c r="D10" i="2"/>
  <c r="D11" i="2"/>
  <c r="D12" i="2"/>
  <c r="D13" i="2"/>
  <c r="D14" i="2"/>
  <c r="D15" i="2"/>
  <c r="D16" i="2"/>
  <c r="D17" i="2"/>
  <c r="D18" i="2"/>
  <c r="D19" i="2"/>
  <c r="F8" i="2"/>
  <c r="F9" i="2"/>
  <c r="F10" i="2"/>
  <c r="F11" i="2"/>
  <c r="F12" i="2"/>
  <c r="F13" i="2"/>
  <c r="F14" i="2"/>
  <c r="F15" i="2"/>
  <c r="F16" i="2"/>
  <c r="F17" i="2"/>
  <c r="F18" i="2"/>
  <c r="F19" i="2"/>
  <c r="H8" i="2"/>
  <c r="H9" i="2"/>
  <c r="H10" i="2"/>
  <c r="H11" i="2"/>
  <c r="H12" i="2"/>
  <c r="H13" i="2"/>
  <c r="H14" i="2"/>
  <c r="H15" i="2"/>
  <c r="H16" i="2"/>
  <c r="H17" i="2"/>
  <c r="H18" i="2"/>
  <c r="H19" i="2"/>
  <c r="J8" i="2"/>
  <c r="J9" i="2"/>
  <c r="J10" i="2"/>
  <c r="J11" i="2"/>
  <c r="J12" i="2"/>
  <c r="J13" i="2"/>
  <c r="J14" i="2"/>
  <c r="J15" i="2"/>
  <c r="J16" i="2"/>
  <c r="J17" i="2"/>
  <c r="J18" i="2"/>
  <c r="J19" i="2"/>
  <c r="L8" i="2"/>
  <c r="L9" i="2"/>
  <c r="L10" i="2"/>
  <c r="L11" i="2"/>
  <c r="L12" i="2"/>
  <c r="L13" i="2"/>
  <c r="L14" i="2"/>
  <c r="L15" i="2"/>
  <c r="L16" i="2"/>
  <c r="L17" i="2"/>
  <c r="L18" i="2"/>
  <c r="L19" i="2"/>
  <c r="N8" i="2"/>
  <c r="N9" i="2"/>
  <c r="N10" i="2"/>
  <c r="N11" i="2"/>
  <c r="N12" i="2"/>
  <c r="N13" i="2"/>
  <c r="N14" i="2"/>
  <c r="N15" i="2"/>
  <c r="N16" i="2"/>
  <c r="N17" i="2"/>
  <c r="N18" i="2"/>
  <c r="N19" i="2"/>
  <c r="P8" i="2"/>
  <c r="P9" i="2"/>
  <c r="P10" i="2"/>
  <c r="P11" i="2"/>
  <c r="P12" i="2"/>
  <c r="P13" i="2"/>
  <c r="P14" i="2"/>
  <c r="P15" i="2"/>
  <c r="P16" i="2"/>
  <c r="P17" i="2"/>
  <c r="P18" i="2"/>
  <c r="P19" i="2"/>
  <c r="S10" i="2" l="1"/>
  <c r="S9" i="2"/>
  <c r="S8" i="2"/>
  <c r="S13" i="2"/>
  <c r="S12" i="2"/>
  <c r="S11" i="2"/>
  <c r="S14" i="2"/>
  <c r="S19" i="2"/>
  <c r="S18" i="2"/>
  <c r="S17" i="2"/>
  <c r="S16" i="2"/>
  <c r="S15" i="2"/>
  <c r="P20" i="2"/>
  <c r="O20" i="2"/>
  <c r="M20" i="2"/>
  <c r="L20" i="2"/>
  <c r="K20" i="2"/>
  <c r="I20" i="2"/>
  <c r="H20" i="2"/>
  <c r="G20" i="2"/>
  <c r="E20" i="2"/>
  <c r="D20" i="2"/>
  <c r="C20" i="2"/>
  <c r="N20" i="2"/>
  <c r="J20" i="2"/>
  <c r="S20" i="2" l="1"/>
  <c r="F20" i="2"/>
</calcChain>
</file>

<file path=xl/sharedStrings.xml><?xml version="1.0" encoding="utf-8"?>
<sst xmlns="http://schemas.openxmlformats.org/spreadsheetml/2006/main" count="2829" uniqueCount="1229">
  <si>
    <t xml:space="preserve">UNIT PENGELOLA TAMAN MARGASATWA RAGUNAN </t>
  </si>
  <si>
    <t>No</t>
  </si>
  <si>
    <t>Tanggal Bayar     ( Transfer )</t>
  </si>
  <si>
    <t>Nama / Instansi</t>
  </si>
  <si>
    <t>Tanggal Pemakaian</t>
  </si>
  <si>
    <t>Panggung</t>
  </si>
  <si>
    <t xml:space="preserve">Gedung Auditorium </t>
  </si>
  <si>
    <t>Lahan M2</t>
  </si>
  <si>
    <t>Wireles</t>
  </si>
  <si>
    <t>Lain - Lain</t>
  </si>
  <si>
    <t>Pendapatan ( Rp )</t>
  </si>
  <si>
    <t>Keterangan</t>
  </si>
  <si>
    <t xml:space="preserve">Jumlah </t>
  </si>
  <si>
    <t>Pindah</t>
  </si>
  <si>
    <t>UNIT PENGELOLA TAMAN MARGASATWA RAGUNAN</t>
  </si>
  <si>
    <t>NO</t>
  </si>
  <si>
    <t>BULAN</t>
  </si>
  <si>
    <t>PANGGUNG</t>
  </si>
  <si>
    <t>LAHAN</t>
  </si>
  <si>
    <t>WIRELES</t>
  </si>
  <si>
    <t xml:space="preserve"> AUDITORIUM</t>
  </si>
  <si>
    <t>SOUND SYSTEM</t>
  </si>
  <si>
    <t>PRE WEDING</t>
  </si>
  <si>
    <t>PROGRAM TELEVISI</t>
  </si>
  <si>
    <t xml:space="preserve">TOTAL </t>
  </si>
  <si>
    <t>JML</t>
  </si>
  <si>
    <t>( Rp )</t>
  </si>
  <si>
    <t>UNIT</t>
  </si>
  <si>
    <t xml:space="preserve">Januari 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</si>
  <si>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</si>
  <si>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</si>
  <si>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</si>
  <si>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</si>
  <si>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</si>
  <si>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</si>
  <si>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</si>
  <si>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</si>
  <si>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</si>
  <si>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</si>
  <si>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</si>
  <si>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TOTAL</t>
  </si>
  <si>
    <t>Gazebo</t>
  </si>
  <si>
    <t>Lapangan ATM</t>
  </si>
  <si>
    <t>TSA-2</t>
  </si>
  <si>
    <t>TSA-3</t>
  </si>
  <si>
    <t>Lapangan TSIK</t>
  </si>
  <si>
    <t>Lapangan Beringin</t>
  </si>
  <si>
    <t>TSA-4</t>
  </si>
  <si>
    <t>TSA-1</t>
  </si>
  <si>
    <t>Teras Informasi</t>
  </si>
  <si>
    <t>Lapangan TL</t>
  </si>
  <si>
    <t>Sound system</t>
  </si>
  <si>
    <t>Lapangan Gajah Timur</t>
  </si>
  <si>
    <t>LOKASI</t>
  </si>
  <si>
    <t>JUMLAH</t>
  </si>
  <si>
    <t>Lain Lain</t>
  </si>
  <si>
    <t>Film / Iklan</t>
  </si>
  <si>
    <t>Program TV</t>
  </si>
  <si>
    <t>TSA-1 &amp; TSA-4</t>
  </si>
  <si>
    <t>TSA-1 , Timur INF, TSIK</t>
  </si>
  <si>
    <t>AUDITORIUM</t>
  </si>
  <si>
    <t>ALTERNATIF</t>
  </si>
  <si>
    <t>DINAS PERTAMANAN DAN HUTAN KOTA PROVINSI DKI JAKARTA</t>
  </si>
  <si>
    <t>Lapangan Timur Informasi</t>
  </si>
  <si>
    <t>Gedung Serbaguna</t>
  </si>
  <si>
    <t>Dinas Pertamanan dan Hutan Kota</t>
  </si>
  <si>
    <t>Provinsi DKI Jakarta,</t>
  </si>
  <si>
    <t>Afriana Pulungan, S.Si., M.AP.</t>
  </si>
  <si>
    <t>NIP 197304212007012021</t>
  </si>
  <si>
    <t>Pelapor,</t>
  </si>
  <si>
    <t>Hermawati</t>
  </si>
  <si>
    <t>NIP 198201262010012015</t>
  </si>
  <si>
    <t>Pengelola Promosi dan Pengembangan Usaha</t>
  </si>
  <si>
    <t>Tata</t>
  </si>
  <si>
    <t>NIP 197608282007011019</t>
  </si>
  <si>
    <t>Mengetahui,</t>
  </si>
  <si>
    <t xml:space="preserve">Kepala Seksi Pelayanan  dan Informasi </t>
  </si>
  <si>
    <t>Unit Pengelola Taman Margasatwa  Ragunan</t>
  </si>
  <si>
    <t>FILM IKLAN</t>
  </si>
  <si>
    <t>REKAPITULASI DATA  PEMAKAIAN FASILITAS/SARANA</t>
  </si>
  <si>
    <t>REKAPITULASI DATA  PEMAKAIAN FASILITAS/SARANA TRIWULAN I</t>
  </si>
  <si>
    <t>DINAS PERTAMANAN DAN HUTAN KOTA</t>
  </si>
  <si>
    <t>Jakarta, 05 November 2025</t>
  </si>
  <si>
    <t>TAHUN 2026</t>
  </si>
  <si>
    <t>Sulis</t>
  </si>
  <si>
    <t>Ibu Surti</t>
  </si>
  <si>
    <t>MI Attaqwa</t>
  </si>
  <si>
    <t>Ibu Linda</t>
  </si>
  <si>
    <t>Efendi</t>
  </si>
  <si>
    <t>Asnayati</t>
  </si>
  <si>
    <t>Ibu Dewi</t>
  </si>
  <si>
    <t>Anggota Cengkareng</t>
  </si>
  <si>
    <t>Ibu Reni</t>
  </si>
  <si>
    <t>Ikrama Kodra Barat</t>
  </si>
  <si>
    <t>Ghani</t>
  </si>
  <si>
    <t>Lilik</t>
  </si>
  <si>
    <t>Herlina</t>
  </si>
  <si>
    <t>Korpri Bareskrim Polri</t>
  </si>
  <si>
    <t>Sound System</t>
  </si>
  <si>
    <t>Auditorium</t>
  </si>
  <si>
    <t>Riri</t>
  </si>
  <si>
    <t>MIS Mathla'ulhuda Parung Panjang</t>
  </si>
  <si>
    <t>TK. Assad Islamic</t>
  </si>
  <si>
    <t>Nunu</t>
  </si>
  <si>
    <t>Bpk. Mulyan</t>
  </si>
  <si>
    <t>Hanifatunnisa</t>
  </si>
  <si>
    <t>Bapak Idris</t>
  </si>
  <si>
    <t>GKI Nurdin</t>
  </si>
  <si>
    <t>Ikapureka</t>
  </si>
  <si>
    <t>Bapak Hendra</t>
  </si>
  <si>
    <t>Lapangan  TSIK</t>
  </si>
  <si>
    <t>Antika TPA AR Rahman</t>
  </si>
  <si>
    <t>Ibu sulistiawati</t>
  </si>
  <si>
    <t>Chipta</t>
  </si>
  <si>
    <t>Ibu Tiur</t>
  </si>
  <si>
    <t>Mamay</t>
  </si>
  <si>
    <t>Bapak Bagus</t>
  </si>
  <si>
    <t>Sri Sulastri</t>
  </si>
  <si>
    <t>SDN Dukuh 01 Kelas 2</t>
  </si>
  <si>
    <t>Santoso</t>
  </si>
  <si>
    <t>kartadinama</t>
  </si>
  <si>
    <t>Pesona Vilamas Serpong</t>
  </si>
  <si>
    <t>Playgroup tadika Puri</t>
  </si>
  <si>
    <t>Mamik</t>
  </si>
  <si>
    <t>Hartanto</t>
  </si>
  <si>
    <t>TK Al Muchtar</t>
  </si>
  <si>
    <t>MIS Hikmatul Husna</t>
  </si>
  <si>
    <t>Ibu Yuni</t>
  </si>
  <si>
    <t>Ibu Parmiati</t>
  </si>
  <si>
    <t>Bpk. Agus Cengkareng</t>
  </si>
  <si>
    <t>Kartika</t>
  </si>
  <si>
    <t>TK AL-Azhar Kembangan</t>
  </si>
  <si>
    <t>Siti Rokhimah</t>
  </si>
  <si>
    <t>Mc Kids</t>
  </si>
  <si>
    <t>Bapak Zoel</t>
  </si>
  <si>
    <t>Biller Pane</t>
  </si>
  <si>
    <t>Paud mawar Merah</t>
  </si>
  <si>
    <t>Titi</t>
  </si>
  <si>
    <t>Muazin</t>
  </si>
  <si>
    <t>Sudin Koperasi</t>
  </si>
  <si>
    <t>IGTKI Kec Jagakarsa</t>
  </si>
  <si>
    <t>Doni Sokram</t>
  </si>
  <si>
    <t>SD Cxempaka Baru 12</t>
  </si>
  <si>
    <t>Fitri</t>
  </si>
  <si>
    <t>Majelis Ta'Lim Alfalah</t>
  </si>
  <si>
    <t>Kel Sukotjo</t>
  </si>
  <si>
    <t>Koperasi Serang</t>
  </si>
  <si>
    <t>Ibadulrohman</t>
  </si>
  <si>
    <t>RA Annur</t>
  </si>
  <si>
    <t>Tutut Hadianto</t>
  </si>
  <si>
    <t>Paguyuban Rukun</t>
  </si>
  <si>
    <t>Bpk Vivien</t>
  </si>
  <si>
    <t>Lapangan Tl</t>
  </si>
  <si>
    <t>Ravi</t>
  </si>
  <si>
    <t>CV. Karya Insan Mandiri</t>
  </si>
  <si>
    <t>Anggi Marlianingsih</t>
  </si>
  <si>
    <t>Bani Hamim</t>
  </si>
  <si>
    <t>Lapangah Timur INF</t>
  </si>
  <si>
    <t>Lapangan Timur Gajah</t>
  </si>
  <si>
    <t>Nelvi</t>
  </si>
  <si>
    <t>Iklas Sayangan</t>
  </si>
  <si>
    <t>SD Pondok Labu 11</t>
  </si>
  <si>
    <t>Ibu Rida</t>
  </si>
  <si>
    <t xml:space="preserve">Snap Gundar </t>
  </si>
  <si>
    <t>Lapangan Timur INF</t>
  </si>
  <si>
    <t>TKN Tebet 01</t>
  </si>
  <si>
    <t>Hj. Hery Syafa</t>
  </si>
  <si>
    <t>MI AL Insaniah</t>
  </si>
  <si>
    <t>Nurhadi</t>
  </si>
  <si>
    <t>TK Assalam Kebagusan</t>
  </si>
  <si>
    <t>SD Muhandin Santi</t>
  </si>
  <si>
    <t>Mohamad Abrori</t>
  </si>
  <si>
    <t>Sumiati</t>
  </si>
  <si>
    <t>Ibu Ayi</t>
  </si>
  <si>
    <t>Sofie</t>
  </si>
  <si>
    <t>KB TK Baturrahim</t>
  </si>
  <si>
    <t>Ibu Yayuk</t>
  </si>
  <si>
    <t>Sakha</t>
  </si>
  <si>
    <t>Ibu Lusi</t>
  </si>
  <si>
    <t>Ibu Mardiah</t>
  </si>
  <si>
    <t>Aulia</t>
  </si>
  <si>
    <t>TKIT Darul Abisin</t>
  </si>
  <si>
    <t>Ibu Janah</t>
  </si>
  <si>
    <t>Anastasi</t>
  </si>
  <si>
    <t>Sahabat Muda Pancoran</t>
  </si>
  <si>
    <t>TK Don Bosco 3</t>
  </si>
  <si>
    <t>TSA 1</t>
  </si>
  <si>
    <t>Yosefin Arcelia Ananda</t>
  </si>
  <si>
    <t>TSA4</t>
  </si>
  <si>
    <t>TSA1</t>
  </si>
  <si>
    <t>Diana</t>
  </si>
  <si>
    <t>Griselda tassa hosiana</t>
  </si>
  <si>
    <t>Ibu Rara</t>
  </si>
  <si>
    <t>BULAN JANUARI 2026</t>
  </si>
  <si>
    <t xml:space="preserve">REKAPITULASI DATA PEMAKAIAN FASILITAS </t>
  </si>
  <si>
    <t>REKAPITULASI DATA PEMAKAIAN FASILITAS BULAN FEBRUARI 2026</t>
  </si>
  <si>
    <t>Erni</t>
  </si>
  <si>
    <t>TSA 4</t>
  </si>
  <si>
    <t>Tafid</t>
  </si>
  <si>
    <t>Lap Timur INF 1</t>
  </si>
  <si>
    <t>Fauzi Arkasyah</t>
  </si>
  <si>
    <t>Lap ATM 1</t>
  </si>
  <si>
    <t>Marwiyah</t>
  </si>
  <si>
    <t>Lap ATM 2</t>
  </si>
  <si>
    <t>Paud Ragunan</t>
  </si>
  <si>
    <t>TSA 2</t>
  </si>
  <si>
    <t>Paud Melati</t>
  </si>
  <si>
    <t>Achamad Heri</t>
  </si>
  <si>
    <t>Bapak Andri</t>
  </si>
  <si>
    <t>Aula Serbaguna</t>
  </si>
  <si>
    <t>Ibu Endah wati</t>
  </si>
  <si>
    <t xml:space="preserve">Lap Beringin </t>
  </si>
  <si>
    <t>Andi Pool</t>
  </si>
  <si>
    <t>Keluarga Kisin</t>
  </si>
  <si>
    <t>TSA 3</t>
  </si>
  <si>
    <t>Sthq</t>
  </si>
  <si>
    <t>PT. Tata Bara Utama</t>
  </si>
  <si>
    <t>Ibu Eva</t>
  </si>
  <si>
    <t>Kong Ali</t>
  </si>
  <si>
    <t>Pengajian Al khairiyah</t>
  </si>
  <si>
    <t>Lap TSIK 1</t>
  </si>
  <si>
    <t>Dion</t>
  </si>
  <si>
    <t>Paguyuban Kebondowo</t>
  </si>
  <si>
    <t>Adi Rusdiana Yusuf</t>
  </si>
  <si>
    <t>Seno Keling 34</t>
  </si>
  <si>
    <t>Cendana 1</t>
  </si>
  <si>
    <t>Lap ATM 3</t>
  </si>
  <si>
    <t>Yayasan Dompet Yatim Duafa</t>
  </si>
  <si>
    <t>Etin Maryati</t>
  </si>
  <si>
    <t>SMPN 27 Jakarta Duren Sawit</t>
  </si>
  <si>
    <t>Silvia Hastuti</t>
  </si>
  <si>
    <t>Sakhaa</t>
  </si>
  <si>
    <t>RW 04 Pasar Rebo Cijantung</t>
  </si>
  <si>
    <t>Kopaja/EXXI</t>
  </si>
  <si>
    <t xml:space="preserve">Iska </t>
  </si>
  <si>
    <t>Ronny Morron</t>
  </si>
  <si>
    <t>Badi Karto Dihardjo</t>
  </si>
  <si>
    <t>Bapak Narwoko</t>
  </si>
  <si>
    <t>Linda</t>
  </si>
  <si>
    <t>Paguyuban Jati Wali bpk tri budi</t>
  </si>
  <si>
    <t>Thara</t>
  </si>
  <si>
    <t>bpk.iwan</t>
  </si>
  <si>
    <t>Ibu Kristin</t>
  </si>
  <si>
    <t>Nurul Sri Rahayu</t>
  </si>
  <si>
    <t>SMAN 37 Jak sel</t>
  </si>
  <si>
    <t>Ahmad</t>
  </si>
  <si>
    <t>Bapak Iwan</t>
  </si>
  <si>
    <t>Gereja Isa Al Masih Rajawali</t>
  </si>
  <si>
    <t>Sitanggang</t>
  </si>
  <si>
    <t>Agnes</t>
  </si>
  <si>
    <t>Yanti</t>
  </si>
  <si>
    <t>Advant</t>
  </si>
  <si>
    <t>Septiani Sianturi / GPI Depok 1</t>
  </si>
  <si>
    <t>Riza</t>
  </si>
  <si>
    <t>REKAPITULASI DATA PEMAKAIAN FASILITAS BULAN MARET 2026</t>
  </si>
  <si>
    <t>Jati Wangi</t>
  </si>
  <si>
    <t>GSKI</t>
  </si>
  <si>
    <t>Ibu Verna</t>
  </si>
  <si>
    <t>Ibu Susi SMP ST Cicilia 1</t>
  </si>
  <si>
    <t>Parsidi Pakem</t>
  </si>
  <si>
    <t>Ezra Meriyanti</t>
  </si>
  <si>
    <t>Syukur Sudani Hulu</t>
  </si>
  <si>
    <t>Sekolah Minggu Gki depok 1</t>
  </si>
  <si>
    <t>Iyere</t>
  </si>
  <si>
    <t>Melvin</t>
  </si>
  <si>
    <t>TK. Tabhita Binta</t>
  </si>
  <si>
    <t>Suwandi Simanjuntak</t>
  </si>
  <si>
    <t>Bpk. Raka</t>
  </si>
  <si>
    <t>Bpk. Bambang W/ Ibu ratna</t>
  </si>
  <si>
    <t>Djonli</t>
  </si>
  <si>
    <t>Bpk. Sarlan</t>
  </si>
  <si>
    <t>Syaiful</t>
  </si>
  <si>
    <t>Bpk. Sukri</t>
  </si>
  <si>
    <t>GKPI Jelambar</t>
  </si>
  <si>
    <t>Alexandra</t>
  </si>
  <si>
    <t>Via</t>
  </si>
  <si>
    <t>Rudy</t>
  </si>
  <si>
    <t>GKI Serpong</t>
  </si>
  <si>
    <t>Mamah Lidia</t>
  </si>
  <si>
    <t>Narti</t>
  </si>
  <si>
    <t>BEM FSRD</t>
  </si>
  <si>
    <t>REKAPITULASI DATA PEMAKAIAN FASILITAS BULAN APRIL 2026</t>
  </si>
  <si>
    <t>Ella</t>
  </si>
  <si>
    <t>GPDI Solideo, Cilengsi Bogor</t>
  </si>
  <si>
    <t>Eka</t>
  </si>
  <si>
    <t>Rafi Aditya</t>
  </si>
  <si>
    <t>Hj. Budi</t>
  </si>
  <si>
    <t>Sikumbang</t>
  </si>
  <si>
    <t>TK. Aisiyah 68 Tanggerang</t>
  </si>
  <si>
    <t>SLB Kembar Karya Pembangunan 2</t>
  </si>
  <si>
    <t>Paud Al Falah</t>
  </si>
  <si>
    <t>Bpk. Hadi Sukirno/ Pak Uus</t>
  </si>
  <si>
    <t>Kel. Sastro Soedarmo</t>
  </si>
  <si>
    <t>Ibu Westi</t>
  </si>
  <si>
    <t>Gereja Bala Keselamatan</t>
  </si>
  <si>
    <t>SMPN 98</t>
  </si>
  <si>
    <t>Kel Besar Saminem</t>
  </si>
  <si>
    <t>TK Darul Mutaqien</t>
  </si>
  <si>
    <t>Ikahara</t>
  </si>
  <si>
    <t>Purnamasari</t>
  </si>
  <si>
    <t>Ibu Wiwin</t>
  </si>
  <si>
    <t>Yayasan baiturrahman</t>
  </si>
  <si>
    <t>DPW Florist Indonesia</t>
  </si>
  <si>
    <t>SDS Sekolah Alam</t>
  </si>
  <si>
    <t>Kel, Besar H.Sya Air</t>
  </si>
  <si>
    <t>Indah Permatasari</t>
  </si>
  <si>
    <t>Ressa Pahlevi</t>
  </si>
  <si>
    <t>Margahayu 1</t>
  </si>
  <si>
    <t>Dewi</t>
  </si>
  <si>
    <t>Ibu Ratna</t>
  </si>
  <si>
    <t>Paseduluran Glodok Salawase</t>
  </si>
  <si>
    <t>GPIB Agap</t>
  </si>
  <si>
    <t>Ibu Anah</t>
  </si>
  <si>
    <t>Ibu :Lies/ Himpaudi</t>
  </si>
  <si>
    <t>Siti Aminah</t>
  </si>
  <si>
    <t>Arisan Ali Sejahtera</t>
  </si>
  <si>
    <t>IKK Jakarta</t>
  </si>
  <si>
    <t>Ferena Athfannisa</t>
  </si>
  <si>
    <t>Ibu Wings Cihit</t>
  </si>
  <si>
    <t>Abdul Basyit</t>
  </si>
  <si>
    <t>IKBS H. Sarmili</t>
  </si>
  <si>
    <t>SD Strada Bakti Utama</t>
  </si>
  <si>
    <t>Abdul salam</t>
  </si>
  <si>
    <t>Bimba Kebagusan</t>
  </si>
  <si>
    <t>SMK PGRI Tambun</t>
  </si>
  <si>
    <t>Solihin</t>
  </si>
  <si>
    <t>SDIT Azzhariyah</t>
  </si>
  <si>
    <t>Nana</t>
  </si>
  <si>
    <t>Ilingo</t>
  </si>
  <si>
    <t>Paguyuban Kedunglengkong</t>
  </si>
  <si>
    <t>Tuti Purwati</t>
  </si>
  <si>
    <t>Sekolah Minggu HKBP Cilincing</t>
  </si>
  <si>
    <t>Rachel</t>
  </si>
  <si>
    <t>Sini lestari</t>
  </si>
  <si>
    <t>Esti</t>
  </si>
  <si>
    <t>Edy Suprayitno</t>
  </si>
  <si>
    <t>Sella</t>
  </si>
  <si>
    <t>SDIT Rawasari</t>
  </si>
  <si>
    <t>SMA 28 Jakarta</t>
  </si>
  <si>
    <t>Ibu Irma</t>
  </si>
  <si>
    <t>Ibu Wahyu</t>
  </si>
  <si>
    <t>Keluarga Klirong</t>
  </si>
  <si>
    <t>Bpk. Latif Cipete</t>
  </si>
  <si>
    <t>Binzamin</t>
  </si>
  <si>
    <t>Bpk Kunali</t>
  </si>
  <si>
    <t>PKK Koperpu</t>
  </si>
  <si>
    <t>Muhamad Try Ardiansyah</t>
  </si>
  <si>
    <t>Yayasan Cahaya Rumah Jingga</t>
  </si>
  <si>
    <t>Rangkul Tangan-Mutiara</t>
  </si>
  <si>
    <t>SDIT Al Hikmah Bintara</t>
  </si>
  <si>
    <t>Maradicka Indra</t>
  </si>
  <si>
    <t>Ibu Mia</t>
  </si>
  <si>
    <t>Bani Adam</t>
  </si>
  <si>
    <t>Nabilah</t>
  </si>
  <si>
    <t>Teguh</t>
  </si>
  <si>
    <t>Bpk. Jumarih</t>
  </si>
  <si>
    <t>Riswan</t>
  </si>
  <si>
    <t>Dede ananda</t>
  </si>
  <si>
    <t>Yayasan Tugas Mulia</t>
  </si>
  <si>
    <t>STI Pool</t>
  </si>
  <si>
    <t>SMT Group</t>
  </si>
  <si>
    <t>Wahyudi</t>
  </si>
  <si>
    <t>GBI Gloria</t>
  </si>
  <si>
    <t>Edwin</t>
  </si>
  <si>
    <t>RA AL Buchari</t>
  </si>
  <si>
    <t>Fransisca</t>
  </si>
  <si>
    <t>SD Banosa 4A</t>
  </si>
  <si>
    <t>Budi</t>
  </si>
  <si>
    <t>Khalila</t>
  </si>
  <si>
    <t>Kepala Seksi Pelayanan dan Informasi</t>
  </si>
  <si>
    <t>Unit Pengelola Taman Margasatwa Ragunan</t>
  </si>
  <si>
    <t>Jakarta, 2 Februari 2026</t>
  </si>
  <si>
    <t>Jakarta, 2 Maret 2026</t>
  </si>
  <si>
    <t>Jakarta, 2 April 2026</t>
  </si>
  <si>
    <t>Adzkia</t>
  </si>
  <si>
    <t>SDIT Segar Amanah</t>
  </si>
  <si>
    <t>Sono keling 34</t>
  </si>
  <si>
    <t>SDN Citaringgul 02</t>
  </si>
  <si>
    <t>Bapak Jainal abidin</t>
  </si>
  <si>
    <t>Arifin</t>
  </si>
  <si>
    <t>SMPN 242 Jakarta Selatan</t>
  </si>
  <si>
    <t>Hanif</t>
  </si>
  <si>
    <t>Bapak Indra Kyowa</t>
  </si>
  <si>
    <t>Kel besar Martos/Bpk. Anjang</t>
  </si>
  <si>
    <t>Bapak Sarlan</t>
  </si>
  <si>
    <t>Polanis Proklamasi</t>
  </si>
  <si>
    <t>KORHC</t>
  </si>
  <si>
    <t>Tanti</t>
  </si>
  <si>
    <t>Bapak Zuni</t>
  </si>
  <si>
    <t>Ahmad Royhan</t>
  </si>
  <si>
    <t>Kel. Besar Husin Achmad</t>
  </si>
  <si>
    <t>Ibu Clara</t>
  </si>
  <si>
    <t>Pondok Kasih/Rizky</t>
  </si>
  <si>
    <t>Rohkris SMA 38</t>
  </si>
  <si>
    <t>National Enghlish centre</t>
  </si>
  <si>
    <t>Doris Situmeng</t>
  </si>
  <si>
    <t>Ibu Yani</t>
  </si>
  <si>
    <t>Lima empat delapan enam</t>
  </si>
  <si>
    <t>Ibu Inggrid</t>
  </si>
  <si>
    <t>TK Arti</t>
  </si>
  <si>
    <t>Ibu Prima</t>
  </si>
  <si>
    <t>SD Nikomas</t>
  </si>
  <si>
    <t>PT. Tiara Indo Pangan</t>
  </si>
  <si>
    <t>Matiues Jame</t>
  </si>
  <si>
    <t>Wiwin</t>
  </si>
  <si>
    <t>B Braun Indonesia</t>
  </si>
  <si>
    <t xml:space="preserve">SQL Nurul Ilmi </t>
  </si>
  <si>
    <t>Romb Machining R2 Kerawang</t>
  </si>
  <si>
    <t>Fifian</t>
  </si>
  <si>
    <t>Sekolah Minggu HKBP Depok 2</t>
  </si>
  <si>
    <t>Kosambi Raya/Lia</t>
  </si>
  <si>
    <t>SD Strada Bhakti Utama</t>
  </si>
  <si>
    <t>GPIB K-102 Bekasi</t>
  </si>
  <si>
    <t>Rival</t>
  </si>
  <si>
    <t>Kemang Village</t>
  </si>
  <si>
    <t>TK El Syifa</t>
  </si>
  <si>
    <t>Ibu Dewi Kebagusan</t>
  </si>
  <si>
    <t>Arisan Keluarga Alm Amat Usoli</t>
  </si>
  <si>
    <t>Bpk. Rimanto /SMPK Eramoko</t>
  </si>
  <si>
    <t>SDN Cengkareng</t>
  </si>
  <si>
    <t>MTS As Syafi'iyah 01 Jakarta</t>
  </si>
  <si>
    <t>Arisan keluarga aji tabroni</t>
  </si>
  <si>
    <t>TK Bintang Kecil</t>
  </si>
  <si>
    <t>TKN Meruya selatan kembangan</t>
  </si>
  <si>
    <t>Djunaenah</t>
  </si>
  <si>
    <t>Tasya Mutmainah Suhendar</t>
  </si>
  <si>
    <t>Bpk. Rendy</t>
  </si>
  <si>
    <t>Ibu Naning</t>
  </si>
  <si>
    <t>Kasi imanuel</t>
  </si>
  <si>
    <t>Firdaus</t>
  </si>
  <si>
    <t>Outing Wetop</t>
  </si>
  <si>
    <t>CE PAXEl</t>
  </si>
  <si>
    <t>TK Delima Bekasi</t>
  </si>
  <si>
    <t>Pipin Lestari</t>
  </si>
  <si>
    <t>Nurma</t>
  </si>
  <si>
    <t>MIN 3 2 B</t>
  </si>
  <si>
    <t>Ibu R Vina</t>
  </si>
  <si>
    <t>Pradita</t>
  </si>
  <si>
    <t>SMK Al Jihad</t>
  </si>
  <si>
    <t>TK Islam Adiva</t>
  </si>
  <si>
    <t xml:space="preserve"> </t>
  </si>
  <si>
    <t>GPIBI</t>
  </si>
  <si>
    <t>Darti</t>
  </si>
  <si>
    <t>Famgat Kuda Ile</t>
  </si>
  <si>
    <t>Bp. Idris</t>
  </si>
  <si>
    <t>Ibu Susi</t>
  </si>
  <si>
    <t>Munir</t>
  </si>
  <si>
    <t>TK Ceria Asri ( Ibu Zainab)</t>
  </si>
  <si>
    <t>Wahyu</t>
  </si>
  <si>
    <t>Pak Marino</t>
  </si>
  <si>
    <t>Ibu Noni</t>
  </si>
  <si>
    <t>Lap Sebrang TSA</t>
  </si>
  <si>
    <t>TKIT MTA Kerawang</t>
  </si>
  <si>
    <t>TSA 2 &amp; 3</t>
  </si>
  <si>
    <t>Himakum</t>
  </si>
  <si>
    <t>SDN Cibubur 05</t>
  </si>
  <si>
    <t>BCMARCH 2025</t>
  </si>
  <si>
    <t>Bapak Rizal</t>
  </si>
  <si>
    <t>Satiayu Shinta</t>
  </si>
  <si>
    <t>Lap Atm 2</t>
  </si>
  <si>
    <t>Amgala</t>
  </si>
  <si>
    <t>Lap Beringin</t>
  </si>
  <si>
    <t>Hendra Kumban batu</t>
  </si>
  <si>
    <t>Lap Atm 3</t>
  </si>
  <si>
    <t>SMK As-Salam Indramayu</t>
  </si>
  <si>
    <t>Alamsyah</t>
  </si>
  <si>
    <t>Bu Yuni</t>
  </si>
  <si>
    <t xml:space="preserve">TSA 2 </t>
  </si>
  <si>
    <t>RA Melati Al- Quran</t>
  </si>
  <si>
    <t>Himawari</t>
  </si>
  <si>
    <t>MT. Miftahul Jannah</t>
  </si>
  <si>
    <t>Ibu Evi/234</t>
  </si>
  <si>
    <t>Lap Gajag Timur</t>
  </si>
  <si>
    <t>Narulita Windy</t>
  </si>
  <si>
    <t>Ibu Rosanah</t>
  </si>
  <si>
    <t>TKAT Al Ikhlas Mampang Prapatan</t>
  </si>
  <si>
    <t>Adi Purwadi</t>
  </si>
  <si>
    <t>Elizabeth Hermanto</t>
  </si>
  <si>
    <t>Ra Nurul Hasanah LA</t>
  </si>
  <si>
    <t>Bapak Dudun</t>
  </si>
  <si>
    <t>Lap Timur Inf 1</t>
  </si>
  <si>
    <t>Keluarga Besar Daimin</t>
  </si>
  <si>
    <t>Mufid</t>
  </si>
  <si>
    <t>Keluarga Alwi</t>
  </si>
  <si>
    <t>Ibu Nurul</t>
  </si>
  <si>
    <t>PT.3M Indonesia</t>
  </si>
  <si>
    <t>Ibu Diani</t>
  </si>
  <si>
    <t>Bpk. Karno</t>
  </si>
  <si>
    <t>Paud Graha Sejahtera</t>
  </si>
  <si>
    <t>RA Tamamul</t>
  </si>
  <si>
    <t>Ibu Marsya</t>
  </si>
  <si>
    <t>Serli</t>
  </si>
  <si>
    <t>GBI Son Of God</t>
  </si>
  <si>
    <t>Irfan</t>
  </si>
  <si>
    <t>TK Rabani</t>
  </si>
  <si>
    <t>TPq Bina Cebdikia</t>
  </si>
  <si>
    <t>Paud Sandy Manggarai</t>
  </si>
  <si>
    <t>Kevin Angel</t>
  </si>
  <si>
    <t>RIA</t>
  </si>
  <si>
    <t>Keluarga besar Daimin</t>
  </si>
  <si>
    <t>Desman</t>
  </si>
  <si>
    <t>Bpk. Witson</t>
  </si>
  <si>
    <t>GJKI Agape Pulo Gebang</t>
  </si>
  <si>
    <t>ISC</t>
  </si>
  <si>
    <t>Bpk. Prio</t>
  </si>
  <si>
    <t>Ibu Indri</t>
  </si>
  <si>
    <t>Amanda</t>
  </si>
  <si>
    <t>Bpk. Panca</t>
  </si>
  <si>
    <t>Frengki</t>
  </si>
  <si>
    <t>SDN 03 Pagi Cibubur</t>
  </si>
  <si>
    <t>REKAPITULASI DATA PEMAKAIAN FASILITAS BULAN MEI 2026</t>
  </si>
  <si>
    <t>ARC M Ali</t>
  </si>
  <si>
    <t>Preweding</t>
  </si>
  <si>
    <t>Sotang AE</t>
  </si>
  <si>
    <t>Jakarta, 4 Mei 2026</t>
  </si>
  <si>
    <t>Debita</t>
  </si>
  <si>
    <t>KBHI</t>
  </si>
  <si>
    <t>BKB Paud Manur 13</t>
  </si>
  <si>
    <t>Eti Kusnaeni</t>
  </si>
  <si>
    <t>SDS Mulia Kencana</t>
  </si>
  <si>
    <t>Bapak Asep</t>
  </si>
  <si>
    <t>Umam</t>
  </si>
  <si>
    <t>Naila Fathin Shabiyah</t>
  </si>
  <si>
    <t>Fajri Khoerudin</t>
  </si>
  <si>
    <t>Crista Simanjuntak</t>
  </si>
  <si>
    <t>GBI Bahtra Kasih</t>
  </si>
  <si>
    <t>Bapak Mulyadi</t>
  </si>
  <si>
    <t>Rokris</t>
  </si>
  <si>
    <t>SDI An Nuriyah</t>
  </si>
  <si>
    <t>Dini</t>
  </si>
  <si>
    <t>Bapak Agus</t>
  </si>
  <si>
    <t>Ibu Fani</t>
  </si>
  <si>
    <t>Ellen</t>
  </si>
  <si>
    <t>SDIT At Taqwa 02 Bekasi</t>
  </si>
  <si>
    <t>Ibu Ima</t>
  </si>
  <si>
    <t>Siska Novitasari</t>
  </si>
  <si>
    <t>Ibu Lela</t>
  </si>
  <si>
    <t>Arisan Keluarga Besar Ibu Haji</t>
  </si>
  <si>
    <t>Achmad Heri</t>
  </si>
  <si>
    <t>Bapak Sutriyono/Agung TMR</t>
  </si>
  <si>
    <t>GBI Timotius</t>
  </si>
  <si>
    <t>Lap Atm 1</t>
  </si>
  <si>
    <t>Mamah Bintang</t>
  </si>
  <si>
    <t>SDIT Al Biruni</t>
  </si>
  <si>
    <t>Ibu Yuti Rohimah</t>
  </si>
  <si>
    <t>Ibu Yanti</t>
  </si>
  <si>
    <t xml:space="preserve">Ibu Lina </t>
  </si>
  <si>
    <t>Bpk Sony</t>
  </si>
  <si>
    <t>Bpk Sarjono</t>
  </si>
  <si>
    <t>Aisyah Mulyana</t>
  </si>
  <si>
    <t xml:space="preserve">Ajeng </t>
  </si>
  <si>
    <t>Ibu Eka</t>
  </si>
  <si>
    <t>TK Fajar Cengkareng</t>
  </si>
  <si>
    <t>GBI Tarakletos</t>
  </si>
  <si>
    <t>Dion Lumiko</t>
  </si>
  <si>
    <t>Gesbak</t>
  </si>
  <si>
    <t>Chatrin TK Kristen pelita kasih</t>
  </si>
  <si>
    <t>Nina Aryani</t>
  </si>
  <si>
    <t>Ibu Murnia</t>
  </si>
  <si>
    <t>PT. GNF</t>
  </si>
  <si>
    <t>Ibu Aya</t>
  </si>
  <si>
    <t>Paud Melati sawo 3</t>
  </si>
  <si>
    <t>SDN Angke 03</t>
  </si>
  <si>
    <t>Dan Fujianti</t>
  </si>
  <si>
    <t>Joshua</t>
  </si>
  <si>
    <t>Yeti eka diana</t>
  </si>
  <si>
    <t>Manunggal Jiwo</t>
  </si>
  <si>
    <t>Ibu Imas</t>
  </si>
  <si>
    <t>Dania</t>
  </si>
  <si>
    <t>Bapak Egi</t>
  </si>
  <si>
    <t>Maria Nurul</t>
  </si>
  <si>
    <t>Ibu Azherlis</t>
  </si>
  <si>
    <t>Yuyun Prihastusti</t>
  </si>
  <si>
    <t>Paguyuban generasi Trah</t>
  </si>
  <si>
    <t>Iwan Setiawan</t>
  </si>
  <si>
    <t>Keluarga Sanim</t>
  </si>
  <si>
    <t>keluarga besar abdul malik</t>
  </si>
  <si>
    <t>Paud Teratai Rw. 04</t>
  </si>
  <si>
    <t>Mega</t>
  </si>
  <si>
    <t>Masuperja</t>
  </si>
  <si>
    <t>Jaditau Kasih</t>
  </si>
  <si>
    <t>Syahbania</t>
  </si>
  <si>
    <t>Gebby Depok</t>
  </si>
  <si>
    <t>Anugrah</t>
  </si>
  <si>
    <t>KB Sundari Kids</t>
  </si>
  <si>
    <t>H. Usep Cikampek</t>
  </si>
  <si>
    <t>TKQ Al Ikhwan</t>
  </si>
  <si>
    <t>GBI Hosiana</t>
  </si>
  <si>
    <t>Fadil</t>
  </si>
  <si>
    <t>Nicholus</t>
  </si>
  <si>
    <t>Hana Karina</t>
  </si>
  <si>
    <t>Hj. Sri Hastuti</t>
  </si>
  <si>
    <t>Indra</t>
  </si>
  <si>
    <t>TK Islam Al amin</t>
  </si>
  <si>
    <t>PAS</t>
  </si>
  <si>
    <t>Rahma Sari</t>
  </si>
  <si>
    <t>Sukaji</t>
  </si>
  <si>
    <t xml:space="preserve">Paud Arrahman </t>
  </si>
  <si>
    <t>Pendapatan              ( Rp )</t>
  </si>
  <si>
    <t>Jakarta, 2 Juni 2026</t>
  </si>
  <si>
    <t>SDN Ciltim 01 Kelas 4C</t>
  </si>
  <si>
    <t>Septi Hardianto</t>
  </si>
  <si>
    <t>Kelas 6 C SDN Gedong 12</t>
  </si>
  <si>
    <t>Pakuyuban Budi Luhur</t>
  </si>
  <si>
    <t>Pak Bambang ( HIKTA)</t>
  </si>
  <si>
    <t>Irwan Kurniawan</t>
  </si>
  <si>
    <t>Ibu Elis</t>
  </si>
  <si>
    <t>Ibu Isni</t>
  </si>
  <si>
    <t>Agung Sukristiono</t>
  </si>
  <si>
    <t>SDN Hurip Jaya 01</t>
  </si>
  <si>
    <t>Bapak Mahmud</t>
  </si>
  <si>
    <t>ILza</t>
  </si>
  <si>
    <t>PT. Kita Bisa Indonesia</t>
  </si>
  <si>
    <t>TK. Nurul Fala</t>
  </si>
  <si>
    <t>Ibu Desi</t>
  </si>
  <si>
    <t>Dina Nuria</t>
  </si>
  <si>
    <t xml:space="preserve">Mama Farel </t>
  </si>
  <si>
    <t>Lap TSIK</t>
  </si>
  <si>
    <t>TK. Arrahman Cipedak</t>
  </si>
  <si>
    <t>Bapak Adam</t>
  </si>
  <si>
    <t>Bapak Daniel/ Arrow Kids</t>
  </si>
  <si>
    <t>Oktaviani</t>
  </si>
  <si>
    <t>Ibu Cici</t>
  </si>
  <si>
    <t>Hari Susu Nusantara</t>
  </si>
  <si>
    <t>Auditorium+ Lahan</t>
  </si>
  <si>
    <t>Syaiful Anwar</t>
  </si>
  <si>
    <t>Lapangan Atm</t>
  </si>
  <si>
    <t>Rombongan Sando</t>
  </si>
  <si>
    <t>RT 6 Rw 10 Al Mubarok</t>
  </si>
  <si>
    <t>Arisan Bumi Sani</t>
  </si>
  <si>
    <t>Imel</t>
  </si>
  <si>
    <t>Teras Infromasi</t>
  </si>
  <si>
    <t>Keluarga Besar Martos</t>
  </si>
  <si>
    <t>Taufik</t>
  </si>
  <si>
    <t>Sahrul</t>
  </si>
  <si>
    <t>Pak Sigit</t>
  </si>
  <si>
    <t>Lapangan Timur Inf</t>
  </si>
  <si>
    <t>TKI AN-Nahl</t>
  </si>
  <si>
    <t>Mama Eza</t>
  </si>
  <si>
    <t>Diah Widiyanti</t>
  </si>
  <si>
    <t>Ami</t>
  </si>
  <si>
    <t>Bumi Kahuripan</t>
  </si>
  <si>
    <t>Gereja Kristus Teluk Naga</t>
  </si>
  <si>
    <t>Perumahan Koperasi BUGN</t>
  </si>
  <si>
    <t>Sekolah Khafillah</t>
  </si>
  <si>
    <t>Yuda</t>
  </si>
  <si>
    <t>Suwandy</t>
  </si>
  <si>
    <t>Lapangan beringin</t>
  </si>
  <si>
    <t>Prio Suparyo</t>
  </si>
  <si>
    <t>TK Islam At Taqwa B2</t>
  </si>
  <si>
    <t>TK Arrahmah Cijantung</t>
  </si>
  <si>
    <t>Ibu Siti</t>
  </si>
  <si>
    <t>Ibu Rohayati</t>
  </si>
  <si>
    <t>Lapangan alternatif</t>
  </si>
  <si>
    <t>SDIT Annur Halfik</t>
  </si>
  <si>
    <t>Paud Tunas Melati</t>
  </si>
  <si>
    <t>Liza Aprianto</t>
  </si>
  <si>
    <t>Yulis Purwaningsi</t>
  </si>
  <si>
    <t>Lap Seberang TSA</t>
  </si>
  <si>
    <t>Getamara</t>
  </si>
  <si>
    <t>Awit Handayani</t>
  </si>
  <si>
    <t>Lusy</t>
  </si>
  <si>
    <t>Mercy</t>
  </si>
  <si>
    <t>Gazebo+Lahan</t>
  </si>
  <si>
    <t>Faros</t>
  </si>
  <si>
    <t>Lapanngan Beringin</t>
  </si>
  <si>
    <t>Bapak Mardani</t>
  </si>
  <si>
    <t>Umima</t>
  </si>
  <si>
    <t>Shaluna</t>
  </si>
  <si>
    <t>Isroi</t>
  </si>
  <si>
    <t>Ibu Rahmawati</t>
  </si>
  <si>
    <t>SDIT Permata Ilmu</t>
  </si>
  <si>
    <t>Fajar Hudani</t>
  </si>
  <si>
    <t xml:space="preserve">Gazebo </t>
  </si>
  <si>
    <t>GKI Kayu Putih</t>
  </si>
  <si>
    <t>Shelac Ardelia</t>
  </si>
  <si>
    <t>Gio</t>
  </si>
  <si>
    <t>SDN Kebon Pala 07 Pagi</t>
  </si>
  <si>
    <t>Ibu Lis</t>
  </si>
  <si>
    <t>Ibu Dian</t>
  </si>
  <si>
    <t>Agung Hanamichi</t>
  </si>
  <si>
    <t>Rahmah</t>
  </si>
  <si>
    <t>HWY League GKKK</t>
  </si>
  <si>
    <t>Syarif</t>
  </si>
  <si>
    <t>Alin</t>
  </si>
  <si>
    <t>Bang Herman</t>
  </si>
  <si>
    <t>Defa/ Fakhira</t>
  </si>
  <si>
    <t>Saiful</t>
  </si>
  <si>
    <t>Prabowo</t>
  </si>
  <si>
    <t>Lap ATM 4</t>
  </si>
  <si>
    <t>Hangout day</t>
  </si>
  <si>
    <t>Ibu Bethik</t>
  </si>
  <si>
    <t>Jagakarsa School</t>
  </si>
  <si>
    <t>Bpk Agung</t>
  </si>
  <si>
    <t>IDAI</t>
  </si>
  <si>
    <t>Perhutani</t>
  </si>
  <si>
    <t>Shaskia Nahara Apriliani</t>
  </si>
  <si>
    <t>Lap TL</t>
  </si>
  <si>
    <t>Paud Matahari Kebun jeruk</t>
  </si>
  <si>
    <t>Isma</t>
  </si>
  <si>
    <t>GBI Griya Asri 2</t>
  </si>
  <si>
    <t>TK Syalom</t>
  </si>
  <si>
    <t>Ibu Ela</t>
  </si>
  <si>
    <t>Majelis Kel Besar DAB</t>
  </si>
  <si>
    <t>TK Islam Masjid Raya</t>
  </si>
  <si>
    <t>Guntoro</t>
  </si>
  <si>
    <t>Unit Terapi</t>
  </si>
  <si>
    <t>Mamah Zulay</t>
  </si>
  <si>
    <t>Ibu Fitriyani</t>
  </si>
  <si>
    <t>Ibu Fatimah</t>
  </si>
  <si>
    <t>Bem FIP</t>
  </si>
  <si>
    <t>Lap ATM-2</t>
  </si>
  <si>
    <t>SDI Plus Darul Ulum 1C</t>
  </si>
  <si>
    <t>Lap TSIK 2</t>
  </si>
  <si>
    <t xml:space="preserve">Husni </t>
  </si>
  <si>
    <t>Mamah Danes</t>
  </si>
  <si>
    <t>Lap TL 3</t>
  </si>
  <si>
    <t>Ibu Inez</t>
  </si>
  <si>
    <t>Ibu Nia</t>
  </si>
  <si>
    <t>SDN Susukan 02 Pagi</t>
  </si>
  <si>
    <t>Bang Kuswanto</t>
  </si>
  <si>
    <t xml:space="preserve">Yayasan Al Akmal Tebet </t>
  </si>
  <si>
    <t>Iskandar</t>
  </si>
  <si>
    <t>Tatu Rohila</t>
  </si>
  <si>
    <t>Roslina</t>
  </si>
  <si>
    <t>Gugus 2 Cibadak ibu Nita</t>
  </si>
  <si>
    <t>Yunus</t>
  </si>
  <si>
    <t>Lap Alternatif</t>
  </si>
  <si>
    <t>Trans Tv</t>
  </si>
  <si>
    <t>Ibu Nabillah</t>
  </si>
  <si>
    <t>Inen Kurnia</t>
  </si>
  <si>
    <t>Bapak Arif</t>
  </si>
  <si>
    <t>Gazebo dan Wireles</t>
  </si>
  <si>
    <t>Udaya Foundation</t>
  </si>
  <si>
    <t>Yayasan Miftahul Khoir Pekayon</t>
  </si>
  <si>
    <t>12/07/02026</t>
  </si>
  <si>
    <t>Tiara</t>
  </si>
  <si>
    <t>SDN Mekar Jaya 9 Kelas 3 A</t>
  </si>
  <si>
    <t>MTSn 23</t>
  </si>
  <si>
    <t>Rombongan MDTU Al-Inayah</t>
  </si>
  <si>
    <t>Karin Kampung Inggris</t>
  </si>
  <si>
    <t>Cicih</t>
  </si>
  <si>
    <t>Ari Jana</t>
  </si>
  <si>
    <t>Angel</t>
  </si>
  <si>
    <t>Friska</t>
  </si>
  <si>
    <t>Bapak Tanto</t>
  </si>
  <si>
    <t>Lap ATM</t>
  </si>
  <si>
    <t>Ibu Titi</t>
  </si>
  <si>
    <t>Lap Timur Inf</t>
  </si>
  <si>
    <t>Samsul Hadi</t>
  </si>
  <si>
    <t>Apriliam</t>
  </si>
  <si>
    <t>PT. Uniliver</t>
  </si>
  <si>
    <t>Tahun 2026</t>
  </si>
  <si>
    <t>REKAPITULASI DATA PEMAKAIAN FASILITAS BULAN JULI 2026</t>
  </si>
  <si>
    <t>IKA TPQ Al Qodar</t>
  </si>
  <si>
    <t>Dania Tour</t>
  </si>
  <si>
    <t>Kel. Besar tunggal  bayu</t>
  </si>
  <si>
    <t>Amel</t>
  </si>
  <si>
    <t>SMKN 37</t>
  </si>
  <si>
    <t>Mulyati</t>
  </si>
  <si>
    <t>GSI</t>
  </si>
  <si>
    <t>Bpk. Priyanto</t>
  </si>
  <si>
    <t xml:space="preserve">Pia </t>
  </si>
  <si>
    <t>Ibu Eri Distamhut</t>
  </si>
  <si>
    <t>Iqbal</t>
  </si>
  <si>
    <t>GKI Wilayah 4</t>
  </si>
  <si>
    <t>GBKP Karawaci</t>
  </si>
  <si>
    <t>REKAPITULASI DATA PEMAKAIAN FASILITAS BULAN JUNI 2026</t>
  </si>
  <si>
    <t>Selena</t>
  </si>
  <si>
    <t>Bapak Ari</t>
  </si>
  <si>
    <t>The Passion Indonesia</t>
  </si>
  <si>
    <t>Lap Timur Informasi</t>
  </si>
  <si>
    <t>Elisabet</t>
  </si>
  <si>
    <t>Hj. Zuhriah</t>
  </si>
  <si>
    <t>Mi AL Hamidiyah</t>
  </si>
  <si>
    <t>Ibu Yuyun</t>
  </si>
  <si>
    <t>Kampung Inggris LC</t>
  </si>
  <si>
    <t>LAP ATM 1</t>
  </si>
  <si>
    <t xml:space="preserve">Sagiman </t>
  </si>
  <si>
    <t>Ibu Ati Roniih</t>
  </si>
  <si>
    <t>Pelkat PA moria</t>
  </si>
  <si>
    <t>Ibu Sindy</t>
  </si>
  <si>
    <t>BPS Jasa ( Iwan)</t>
  </si>
  <si>
    <t>Ivan Jacob</t>
  </si>
  <si>
    <t>Bu Yavina</t>
  </si>
  <si>
    <t>Evi</t>
  </si>
  <si>
    <t>Eter/Yayasan Lilin Pelita Kasih</t>
  </si>
  <si>
    <t>W=Febriana Ningtyas DW</t>
  </si>
  <si>
    <t>GPDI Sakinah Mustika Jaya</t>
  </si>
  <si>
    <t>Gerald</t>
  </si>
  <si>
    <t>Palentiono Club</t>
  </si>
  <si>
    <t>Lap TL 1</t>
  </si>
  <si>
    <t>Ibu Yuli</t>
  </si>
  <si>
    <t>Lap Gajah Timur</t>
  </si>
  <si>
    <t>Ema Githa</t>
  </si>
  <si>
    <t>Waldan</t>
  </si>
  <si>
    <t>Ani Habibah Rochmani</t>
  </si>
  <si>
    <t>Ida Ayu Putri</t>
  </si>
  <si>
    <t>Fauziah Febriani</t>
  </si>
  <si>
    <t>Ibu Ika</t>
  </si>
  <si>
    <t>Bpk. Teddy</t>
  </si>
  <si>
    <t>MDTU Iryadul Mutaalim</t>
  </si>
  <si>
    <t>Agape</t>
  </si>
  <si>
    <t>Bapak. Gatot</t>
  </si>
  <si>
    <t>Ifdal</t>
  </si>
  <si>
    <t>Ibu Wiwi</t>
  </si>
  <si>
    <t>ATM 3</t>
  </si>
  <si>
    <t>SMP 218 Kelas 7A</t>
  </si>
  <si>
    <t>Sisy Dwi</t>
  </si>
  <si>
    <t>Program TV (2)</t>
  </si>
  <si>
    <t>Jakarta, 1 Juli 2026</t>
  </si>
  <si>
    <t>Aliyudin</t>
  </si>
  <si>
    <t>Ibu Gayarti</t>
  </si>
  <si>
    <t>Azzahra Khairunnisa Hasibuan</t>
  </si>
  <si>
    <t>Impaudi Pasarebo</t>
  </si>
  <si>
    <t>Mahesa</t>
  </si>
  <si>
    <t>Fedilia</t>
  </si>
  <si>
    <t>Gesba The Newlife Depok (Yanti)</t>
  </si>
  <si>
    <t>IKP Jakarta Ibu Lestari</t>
  </si>
  <si>
    <t>Afra Carrissa</t>
  </si>
  <si>
    <t>Katasha</t>
  </si>
  <si>
    <t>Natasha</t>
  </si>
  <si>
    <t>Ibu Ria</t>
  </si>
  <si>
    <t>Yusuf Eko Prihanto</t>
  </si>
  <si>
    <t>Rombongan bu Noni</t>
  </si>
  <si>
    <t>Alumni SMP 104 83</t>
  </si>
  <si>
    <t>Siwi</t>
  </si>
  <si>
    <t>IKPI Jaksel Ibu Debi</t>
  </si>
  <si>
    <t>Ibu Dewi PT. Goldteak</t>
  </si>
  <si>
    <t>Yayasan Ali Athalah</t>
  </si>
  <si>
    <t>Hendra</t>
  </si>
  <si>
    <t>Erlazet Charity ( Irwan)</t>
  </si>
  <si>
    <t>Omah Permana</t>
  </si>
  <si>
    <t>Suwadi</t>
  </si>
  <si>
    <t>Mesjid Taklim Annur</t>
  </si>
  <si>
    <t>Romsi Eka Saputra</t>
  </si>
  <si>
    <t>Wireless</t>
  </si>
  <si>
    <t>HPC UG</t>
  </si>
  <si>
    <t>Ibu Hesti</t>
  </si>
  <si>
    <t>Wahidin</t>
  </si>
  <si>
    <t>Yayasan Minhajul Muttaqin Kak Zakia</t>
  </si>
  <si>
    <t>Susi</t>
  </si>
  <si>
    <t>01/08/20026</t>
  </si>
  <si>
    <t>Puji-gkdi Su[erteens</t>
  </si>
  <si>
    <t>Keluarga Haji Amrin</t>
  </si>
  <si>
    <t>BIP Perumda Pasar Jaya</t>
  </si>
  <si>
    <t>Venu Fendabi</t>
  </si>
  <si>
    <t>Mami AL</t>
  </si>
  <si>
    <t>Kel Alumni SMADA Makassar 90</t>
  </si>
  <si>
    <t>Bimba AIUEO</t>
  </si>
  <si>
    <t>Dwi</t>
  </si>
  <si>
    <t>LAP ATM 2</t>
  </si>
  <si>
    <t>Anggraeni Kusumawardani</t>
  </si>
  <si>
    <t>BC November 2026</t>
  </si>
  <si>
    <t>Aditya</t>
  </si>
  <si>
    <t>Cortis</t>
  </si>
  <si>
    <t>GBI Tenjo / Bayu</t>
  </si>
  <si>
    <t>Yosua</t>
  </si>
  <si>
    <t>Paguyuban Ngudi Lestari</t>
  </si>
  <si>
    <t>Kaup Feb UP</t>
  </si>
  <si>
    <t>Keluarga Somadiharjo</t>
  </si>
  <si>
    <t>Keluarga Atmo</t>
  </si>
  <si>
    <t>TKQ/TPQ Al Barokah</t>
  </si>
  <si>
    <t>Bapa Novi</t>
  </si>
  <si>
    <t>Maria Dewi Yulita</t>
  </si>
  <si>
    <t>SMA Trisoko</t>
  </si>
  <si>
    <t xml:space="preserve">Ibu Dewi    </t>
  </si>
  <si>
    <t xml:space="preserve">Aulia </t>
  </si>
  <si>
    <t>Rombongan Hj Mandiri 3 dan 4</t>
  </si>
  <si>
    <t>Data Engineer Vacation</t>
  </si>
  <si>
    <t>Nurhayati</t>
  </si>
  <si>
    <t>LAP ATM 3</t>
  </si>
  <si>
    <t>Lap</t>
  </si>
  <si>
    <t>Karsono</t>
  </si>
  <si>
    <t>Ginanjar</t>
  </si>
  <si>
    <t>Retno</t>
  </si>
  <si>
    <t>Yami</t>
  </si>
  <si>
    <t>Kel Soewiryo Eromoko</t>
  </si>
  <si>
    <t>Fahmi</t>
  </si>
  <si>
    <t>Sri Artha</t>
  </si>
  <si>
    <t>PH Base Hub</t>
  </si>
  <si>
    <t>Film Iklan</t>
  </si>
  <si>
    <t>Indra Scurity TMR</t>
  </si>
  <si>
    <t>Paguyuban Pawar Asem Jaya</t>
  </si>
  <si>
    <t>Gacoan Bina Marga</t>
  </si>
  <si>
    <t>Edi Mardiyono</t>
  </si>
  <si>
    <t>Bapak Imam Sujono</t>
  </si>
  <si>
    <t>Rangkul Tangan</t>
  </si>
  <si>
    <t>Fransiska Adelia</t>
  </si>
  <si>
    <t>IKB Ibu Indrawati</t>
  </si>
  <si>
    <t>Ikatan Prantau Brebes</t>
  </si>
  <si>
    <t>Ibu Rika</t>
  </si>
  <si>
    <t>Leslar Entertainment</t>
  </si>
  <si>
    <t>Lkemal abdul rachman</t>
  </si>
  <si>
    <t>Keluarga Besar H. Madinah</t>
  </si>
  <si>
    <t>SDN  Susukan 07 Pagi</t>
  </si>
  <si>
    <t>SDN Susukan 07 Pagi</t>
  </si>
  <si>
    <t>Ibu Andri Yeany</t>
  </si>
  <si>
    <t>Maylani</t>
  </si>
  <si>
    <t>Dedy Samuel</t>
  </si>
  <si>
    <t>Tranikti</t>
  </si>
  <si>
    <t>Lap TL 2</t>
  </si>
  <si>
    <t>Rumah Cita cita</t>
  </si>
  <si>
    <t>Arianta</t>
  </si>
  <si>
    <t>Lap TSA 2</t>
  </si>
  <si>
    <t>Jakarta, 3 Agustus 2026</t>
  </si>
  <si>
    <t>REKAPITULASI DATA PEMAKAIAN FASILITAS BULAN AGUSTUS 2026</t>
  </si>
  <si>
    <t>Burhan</t>
  </si>
  <si>
    <t>Suparti</t>
  </si>
  <si>
    <t>Wildan</t>
  </si>
  <si>
    <t>Lap TSIK 3</t>
  </si>
  <si>
    <t>Ibu Iya</t>
  </si>
  <si>
    <t xml:space="preserve">Nungki </t>
  </si>
  <si>
    <t>Satria Desya</t>
  </si>
  <si>
    <t>Generasi Dewantara</t>
  </si>
  <si>
    <t>Lap Peluran TSA</t>
  </si>
  <si>
    <t>Rombongan Griya Yasa Cikupa( Dwi)</t>
  </si>
  <si>
    <t>Lap  TSIK 1</t>
  </si>
  <si>
    <t>Nadia</t>
  </si>
  <si>
    <t>Marnata</t>
  </si>
  <si>
    <t>Wiyono</t>
  </si>
  <si>
    <t>Bapak Kiswanto</t>
  </si>
  <si>
    <t xml:space="preserve">Ibu Faiza Haris </t>
  </si>
  <si>
    <t>Eter/ Yayasan Lilin Pelita Kasih</t>
  </si>
  <si>
    <t>Siti Fatimah</t>
  </si>
  <si>
    <t>Iway</t>
  </si>
  <si>
    <t>Saodah</t>
  </si>
  <si>
    <t>TK H. Jimin</t>
  </si>
  <si>
    <t>Kementrian lingkungan hidup</t>
  </si>
  <si>
    <t>Ibyyu</t>
  </si>
  <si>
    <t>Al-Muttaqin Cileduk</t>
  </si>
  <si>
    <t>Ibu Indah R Dewi</t>
  </si>
  <si>
    <t>WKRI Ranting 4</t>
  </si>
  <si>
    <t xml:space="preserve">Lap  TSIK </t>
  </si>
  <si>
    <t>RT.12 Cibitung Grampuri</t>
  </si>
  <si>
    <t>Baitussolihin Bitung Jaya</t>
  </si>
  <si>
    <t>Maya</t>
  </si>
  <si>
    <t>GBI Lebak Wangi Parung</t>
  </si>
  <si>
    <t>AI</t>
  </si>
  <si>
    <t>TK It Asyifa/ Ibu Tri</t>
  </si>
  <si>
    <t>Ahmad Mustofa</t>
  </si>
  <si>
    <t>Lucia</t>
  </si>
  <si>
    <t>Didi</t>
  </si>
  <si>
    <t>Ibu Habibah</t>
  </si>
  <si>
    <t>GKO Bekasi I</t>
  </si>
  <si>
    <t>Paino singgih</t>
  </si>
  <si>
    <t>Joko</t>
  </si>
  <si>
    <t>Jams Sidjabat</t>
  </si>
  <si>
    <t>Spadan Community</t>
  </si>
  <si>
    <t>Ester</t>
  </si>
  <si>
    <t>SMA 34/84</t>
  </si>
  <si>
    <t>Ratije 3 P</t>
  </si>
  <si>
    <t>Rahmat tmr</t>
  </si>
  <si>
    <t>Rumah bermain dan belajar Al Qorni</t>
  </si>
  <si>
    <t>Harthadi</t>
  </si>
  <si>
    <t>Kelompok Candra</t>
  </si>
  <si>
    <t>Hilmi</t>
  </si>
  <si>
    <t>Waluyo</t>
  </si>
  <si>
    <t>Alan</t>
  </si>
  <si>
    <t>Deutschia Jakarta Notel</t>
  </si>
  <si>
    <t>Komunitas Memori Negri</t>
  </si>
  <si>
    <t>Ana Dokpol RS Polri</t>
  </si>
  <si>
    <t>SD Juara</t>
  </si>
  <si>
    <t>Zakaria</t>
  </si>
  <si>
    <t>Gedung Auditorium</t>
  </si>
  <si>
    <t>Ibu Effie</t>
  </si>
  <si>
    <t>Yuli</t>
  </si>
  <si>
    <t>Ema</t>
  </si>
  <si>
    <t>Agung Wisata</t>
  </si>
  <si>
    <t>Latiifah</t>
  </si>
  <si>
    <t>Lap  TSIK 2</t>
  </si>
  <si>
    <t>Ana</t>
  </si>
  <si>
    <t>Rombongan RT 1 Villa Bekasi Indah</t>
  </si>
  <si>
    <t>Rahmat</t>
  </si>
  <si>
    <t>Komunitas Sahabat Jendela Impian</t>
  </si>
  <si>
    <t>Yayasan Manarussunah</t>
  </si>
  <si>
    <t>MHD Alpiyan Khair</t>
  </si>
  <si>
    <t>Teddy</t>
  </si>
  <si>
    <t>Wonderful</t>
  </si>
  <si>
    <t>Ibu Leni</t>
  </si>
  <si>
    <t>Gito</t>
  </si>
  <si>
    <t>Bapak Adeng</t>
  </si>
  <si>
    <t>Bapak Purjo Waluyo</t>
  </si>
  <si>
    <t>LAB Lanjut</t>
  </si>
  <si>
    <t>Keputrian JS 1 / Fitri</t>
  </si>
  <si>
    <t>Lap. Beringin</t>
  </si>
  <si>
    <t>Poppy</t>
  </si>
  <si>
    <t>Kel. Besar Abdul Hamid</t>
  </si>
  <si>
    <t>KSP Kasih Indonesia</t>
  </si>
  <si>
    <t>Purnama</t>
  </si>
  <si>
    <t>RTV</t>
  </si>
  <si>
    <t>Romli</t>
  </si>
  <si>
    <t>Wahyu Irawan</t>
  </si>
  <si>
    <t>Ibu Sundari</t>
  </si>
  <si>
    <t>Birthclub Januari 2025</t>
  </si>
  <si>
    <t>SDIT Insan Tama</t>
  </si>
  <si>
    <t>Kel. Sastro Direjo</t>
  </si>
  <si>
    <t>Bpk. Anto</t>
  </si>
  <si>
    <t>LDK Al Ihsan Kebagusan</t>
  </si>
  <si>
    <t>Aurelia</t>
  </si>
  <si>
    <t>SMA 15</t>
  </si>
  <si>
    <t>Paud Riyadul Jannah</t>
  </si>
  <si>
    <t>IKOBE / Wahyu</t>
  </si>
  <si>
    <t xml:space="preserve">Santri Khidmat </t>
  </si>
  <si>
    <t>Bapak Adit</t>
  </si>
  <si>
    <t>Rumah cita cita</t>
  </si>
  <si>
    <t>Sektor Ekklesia</t>
  </si>
  <si>
    <t>Hawadeskrida</t>
  </si>
  <si>
    <t>Palsigunung</t>
  </si>
  <si>
    <t xml:space="preserve">Agung   </t>
  </si>
  <si>
    <t>Ibu Gina</t>
  </si>
  <si>
    <t>PRBJ</t>
  </si>
  <si>
    <t>BWA Cililitan/ Estika</t>
  </si>
  <si>
    <t>Vica Natalia</t>
  </si>
  <si>
    <t>SDIT Assalamah</t>
  </si>
  <si>
    <t>Gereja Advent MTH 1</t>
  </si>
  <si>
    <t>Paud Resti Ibu</t>
  </si>
  <si>
    <t>Bapak Janson</t>
  </si>
  <si>
    <t>KB Partoimedjo</t>
  </si>
  <si>
    <t>Kiran</t>
  </si>
  <si>
    <t>Gita Fitri</t>
  </si>
  <si>
    <t xml:space="preserve">Giani </t>
  </si>
  <si>
    <t xml:space="preserve">TSIK </t>
  </si>
  <si>
    <t>Kel Marino</t>
  </si>
  <si>
    <t xml:space="preserve">Palsigunung </t>
  </si>
  <si>
    <t>Film cerita</t>
  </si>
  <si>
    <t>B Braun</t>
  </si>
  <si>
    <t>REKAPITULASI DATA PEMAKAIAN FASILITAS BULAN SEPTEMBER 2026</t>
  </si>
  <si>
    <t>Kemhan Pondok labu</t>
  </si>
  <si>
    <t>RS Aulia ( Nenden )</t>
  </si>
  <si>
    <t>Ibu Eni</t>
  </si>
  <si>
    <t>YPISB</t>
  </si>
  <si>
    <t xml:space="preserve">Malik </t>
  </si>
  <si>
    <t>Arisan LGS/ Ibu Lina</t>
  </si>
  <si>
    <t>TK Theresa</t>
  </si>
  <si>
    <t>Jakarta, 1 September  2026</t>
  </si>
  <si>
    <t>PSDM BEM FEB UNJ</t>
  </si>
  <si>
    <t>Edi Sunarto/ KOMPACT</t>
  </si>
  <si>
    <t>Ibu Dewi Puju Lestari</t>
  </si>
  <si>
    <t>Deru Sukoco / KOMIC</t>
  </si>
  <si>
    <t>Arie</t>
  </si>
  <si>
    <t>Pemuda GKPS Salemba</t>
  </si>
  <si>
    <t>PT. Cahaya Metta Sejahtera</t>
  </si>
  <si>
    <t>Ibu Eny PT. MNJ</t>
  </si>
  <si>
    <t>Desi/ Rombongan warga rt 3</t>
  </si>
  <si>
    <t>Sedulur Wasiat</t>
  </si>
  <si>
    <t>Daffa / SMAN 37 Jakarta</t>
  </si>
  <si>
    <t>iLham Maulana</t>
  </si>
  <si>
    <t>Lap Timur Informasi 1</t>
  </si>
  <si>
    <t>Lap Timur Informasi 2</t>
  </si>
  <si>
    <t>Keluarga Djus'ah Thaib</t>
  </si>
  <si>
    <t>TK Insani Mulia</t>
  </si>
  <si>
    <t>Gazebo + Wireles+ Lap</t>
  </si>
  <si>
    <t>Ly Lian</t>
  </si>
  <si>
    <t>Keluarga Besar Hj. Asyuroh</t>
  </si>
  <si>
    <t>Azkya</t>
  </si>
  <si>
    <t>Muslimatul Huda</t>
  </si>
  <si>
    <t>Mayora Bogor</t>
  </si>
  <si>
    <t>Agung Hermawan</t>
  </si>
  <si>
    <t xml:space="preserve">TSA </t>
  </si>
  <si>
    <t>Muzar</t>
  </si>
  <si>
    <t>Lap Gajah Timur 1</t>
  </si>
  <si>
    <t>Keluarga Masalamate</t>
  </si>
  <si>
    <t>Ibu Rina</t>
  </si>
  <si>
    <t>Santi</t>
  </si>
  <si>
    <t>TPA N Tunas Jaya X</t>
  </si>
  <si>
    <t>Ibu Lia</t>
  </si>
  <si>
    <t xml:space="preserve">Gazebo   </t>
  </si>
  <si>
    <t>Jakarta Japanese School</t>
  </si>
  <si>
    <t>SMAN 82</t>
  </si>
  <si>
    <t>Lap Timur inf + Wireles</t>
  </si>
  <si>
    <t>Adit</t>
  </si>
  <si>
    <t>TSA 3 + Wireles</t>
  </si>
  <si>
    <t>Keluarga Abdul Ghani</t>
  </si>
  <si>
    <t>Komunitas PLA Ibu neneg</t>
  </si>
  <si>
    <t>Achmad Hery</t>
  </si>
  <si>
    <t>Yana. Gg ampera</t>
  </si>
  <si>
    <t>Reuni SMA PMB Kutoarjo</t>
  </si>
  <si>
    <t>Nurdin</t>
  </si>
  <si>
    <t>Genna</t>
  </si>
  <si>
    <t>Alensa</t>
  </si>
  <si>
    <t>Keluarga Besar H Madinah</t>
  </si>
  <si>
    <t>Mutia</t>
  </si>
  <si>
    <t>Rosalia</t>
  </si>
  <si>
    <t>Chelsea</t>
  </si>
  <si>
    <t>Keluarga Kakek Musa</t>
  </si>
  <si>
    <t>Rumah Anahata</t>
  </si>
  <si>
    <t>Pelangi Harapan</t>
  </si>
  <si>
    <t>GKI Agus Salim, Bekasi</t>
  </si>
  <si>
    <t>TSA 4 + Wireles</t>
  </si>
  <si>
    <t>Yuwika Family</t>
  </si>
  <si>
    <t>Dwi Puju Lestari</t>
  </si>
  <si>
    <t>Paguyuban Warga Kedaung PWK</t>
  </si>
  <si>
    <t>Fia Ubay</t>
  </si>
  <si>
    <t>Rizki Abdurahman</t>
  </si>
  <si>
    <t>Elzein</t>
  </si>
  <si>
    <t>Lap Timur Inf 2</t>
  </si>
  <si>
    <t>Sherly</t>
  </si>
  <si>
    <t>Budi Priyanto</t>
  </si>
  <si>
    <t>RA Shidqul Iman Bu Widya</t>
  </si>
  <si>
    <t>KB TK PKP JIS</t>
  </si>
  <si>
    <t>Kasih Renjelita Manalu</t>
  </si>
  <si>
    <t>Ibu Nora</t>
  </si>
  <si>
    <t>Bowo</t>
  </si>
  <si>
    <t>Ulumuddin</t>
  </si>
  <si>
    <t>Nikita</t>
  </si>
  <si>
    <t>Bapak Domo</t>
  </si>
  <si>
    <t>TKI Riadhus Shalihin</t>
  </si>
  <si>
    <t>Elsa Nur Fadilah</t>
  </si>
  <si>
    <t>19/09/026</t>
  </si>
  <si>
    <t>Bapak Mahmudin</t>
  </si>
  <si>
    <t xml:space="preserve">TL A Salam </t>
  </si>
  <si>
    <t>Nazwa</t>
  </si>
  <si>
    <t>Ahmad Mustopa</t>
  </si>
  <si>
    <t>Kelurahan Tegal Parang</t>
  </si>
  <si>
    <t>Ramdani</t>
  </si>
  <si>
    <t>Ibu Kiki</t>
  </si>
  <si>
    <t>Lingkungan Maria</t>
  </si>
  <si>
    <t>Yayasan Al Husna 6</t>
  </si>
  <si>
    <t>Ibu Halimah</t>
  </si>
  <si>
    <t>Fadilah</t>
  </si>
  <si>
    <t>BKRC Jakarta</t>
  </si>
  <si>
    <t>PT. KMK ( Yunita)</t>
  </si>
  <si>
    <t>Gazebo+ Wireles+Lahan</t>
  </si>
  <si>
    <t>SMK N 19 Jakarta</t>
  </si>
  <si>
    <t>Rt 04 Graha Prima Tambun</t>
  </si>
  <si>
    <t>Kominitas Ikmas Pamulang</t>
  </si>
  <si>
    <t>Rizka Nuri</t>
  </si>
  <si>
    <t>Mutammimul Ulya</t>
  </si>
  <si>
    <t>Sri Handayani</t>
  </si>
  <si>
    <t>Nelly Fitri Rimawati</t>
  </si>
  <si>
    <t>Renita</t>
  </si>
  <si>
    <t>TPQ Darussalam</t>
  </si>
  <si>
    <t xml:space="preserve">Lap Sebrang TSA </t>
  </si>
  <si>
    <t>UIN</t>
  </si>
  <si>
    <t>Lap tl</t>
  </si>
  <si>
    <t>Seabank</t>
  </si>
  <si>
    <t>Lap Timur Gajah</t>
  </si>
  <si>
    <t>PT Gunung salak</t>
  </si>
  <si>
    <t>PT Hoyu Indonesia</t>
  </si>
  <si>
    <t>GAWA</t>
  </si>
  <si>
    <t>Julia LG</t>
  </si>
  <si>
    <t>Ririn</t>
  </si>
  <si>
    <t>Yayasan Asy-Sya'diyah</t>
  </si>
  <si>
    <t>Rina</t>
  </si>
  <si>
    <t>Roizka Nuri</t>
  </si>
  <si>
    <t>Ari Wibowo</t>
  </si>
  <si>
    <t xml:space="preserve">Yanti </t>
  </si>
  <si>
    <t>Riyanah</t>
  </si>
  <si>
    <t>TK Azhari Lebak Bulus</t>
  </si>
  <si>
    <t>TK KB Zahra Islamic Pre School</t>
  </si>
  <si>
    <t>Ibu Aisyah SDN Guntur 03</t>
  </si>
  <si>
    <t>Trah Iro Stiko Gunung Kidul</t>
  </si>
  <si>
    <t>Mulyadi Listrik</t>
  </si>
  <si>
    <t>Adhina</t>
  </si>
  <si>
    <t>Andelsen Matodang</t>
  </si>
  <si>
    <t>Binus</t>
  </si>
  <si>
    <t>Elvisa Istiani</t>
  </si>
  <si>
    <t>Laila Nur Fitri</t>
  </si>
  <si>
    <t>Paguyuban Wong Semarang</t>
  </si>
  <si>
    <t>RA Nurul Iman Pondok Jaya</t>
  </si>
  <si>
    <t>SDN Pangkalan Jati</t>
  </si>
  <si>
    <t>KB TK Talenta</t>
  </si>
  <si>
    <t>B.Tahunan</t>
  </si>
  <si>
    <t>G.Informasi/6</t>
  </si>
  <si>
    <t>Jakarta, 1 Oktober 2026</t>
  </si>
  <si>
    <t>REKAPITULASI DATA PEMAKAIAN FASILITAS BULAN OKTOBER 2026</t>
  </si>
  <si>
    <t>NA</t>
  </si>
  <si>
    <t>Sektor Ekllesia</t>
  </si>
  <si>
    <t>Rusdiantoro</t>
  </si>
  <si>
    <t>Kuttab Ummul Quro</t>
  </si>
  <si>
    <t>TSA 1 dan 4</t>
  </si>
  <si>
    <t>Arisan RT.02 Depok Timur</t>
  </si>
  <si>
    <t>Ibu Tati Milawati</t>
  </si>
  <si>
    <t>Kemal Abdul Rachman</t>
  </si>
  <si>
    <t>SDN Sumur Batu 03 Pagi</t>
  </si>
  <si>
    <t>MA Khairul Ummah jakarta utara</t>
  </si>
  <si>
    <t>SLB C Mahardika Depok</t>
  </si>
  <si>
    <t>Persari SDIT Darul Abidin</t>
  </si>
  <si>
    <t>Nur Ramadanti</t>
  </si>
  <si>
    <t>Yuda Wira Bhakti</t>
  </si>
  <si>
    <t>Fadlan Arrafif</t>
  </si>
  <si>
    <t>Bapak Don</t>
  </si>
  <si>
    <t>Ibu Youska</t>
  </si>
  <si>
    <t>Christopher</t>
  </si>
  <si>
    <t>RS Aulia</t>
  </si>
  <si>
    <t>Nida / Arisan Rempung Jukung</t>
  </si>
  <si>
    <t>Ibu Siti Kasripah</t>
  </si>
  <si>
    <t>Mulara Halomoan</t>
  </si>
  <si>
    <t>SDN Kresek 2, Tanggerang</t>
  </si>
  <si>
    <t>Khalita</t>
  </si>
  <si>
    <t>Dian Eka</t>
  </si>
  <si>
    <t>Ibu Purnama Dari</t>
  </si>
  <si>
    <t>Ibu2 PMI Cikampek</t>
  </si>
  <si>
    <t>PT. Maju Jaya Abadi Setia</t>
  </si>
  <si>
    <t>RA Alwatoniyah 05</t>
  </si>
  <si>
    <t>SDN Duri Pulo 04</t>
  </si>
  <si>
    <t>Firman Campakatur</t>
  </si>
  <si>
    <t>Kane</t>
  </si>
  <si>
    <t>Ibu Zubaidah</t>
  </si>
  <si>
    <t>Bapak Resi Argo</t>
  </si>
  <si>
    <t>TKN Pembina Tingkat Nasional</t>
  </si>
  <si>
    <t>David</t>
  </si>
  <si>
    <t>Agus Salim</t>
  </si>
  <si>
    <t>Ibu Sri</t>
  </si>
  <si>
    <t>Arisan Ibu Khodijah</t>
  </si>
  <si>
    <t>Ibu Lusiana</t>
  </si>
  <si>
    <t>Bapak Arifin</t>
  </si>
  <si>
    <t>Lentera</t>
  </si>
  <si>
    <t>Syuhada Piranti</t>
  </si>
  <si>
    <t>Intan Putri Nabila</t>
  </si>
  <si>
    <t>Wendi Cagur Official</t>
  </si>
  <si>
    <t>Dokumenter</t>
  </si>
  <si>
    <t>Bahtiar Dwi Ansaka</t>
  </si>
  <si>
    <t>Thomas</t>
  </si>
  <si>
    <t>Ibu Novi</t>
  </si>
  <si>
    <t>TK Baptis</t>
  </si>
  <si>
    <t>Ibu Septio Ediningsih</t>
  </si>
  <si>
    <t>Siti Aulia Hanifa</t>
  </si>
  <si>
    <t>Arisan Rt. 02/04</t>
  </si>
  <si>
    <t>Agung Andry</t>
  </si>
  <si>
    <t>Widodo</t>
  </si>
  <si>
    <t>Sugeng Muktiarto</t>
  </si>
  <si>
    <t>KPP Pratama Cilandak</t>
  </si>
  <si>
    <t>Yati</t>
  </si>
  <si>
    <t>Nava Nabila Ardelia</t>
  </si>
  <si>
    <t>Iswanto</t>
  </si>
  <si>
    <t>Nasapokat</t>
  </si>
  <si>
    <t>Maisara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</si>
</sst>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76">
    <xf numFmtId="0" fontId="0" fillId="0" borderId="0" xfId="0"/>
    <xf numFmtId="0" fontId="0" fillId="0" borderId="0" xfId="0" applyAlignment="1">
      <alignment horizontal="center"/>
    </xf>
    <xf numFmtId="165" fontId="0" fillId="0" borderId="0" xfId="2" applyNumberFormat="1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14" fontId="4" fillId="2" borderId="16" xfId="0" applyNumberFormat="1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left" vertical="center" wrapText="1"/>
    </xf>
    <xf numFmtId="164" fontId="4" fillId="2" borderId="16" xfId="1" applyFont="1" applyFill="1" applyBorder="1" applyAlignment="1">
      <alignment horizontal="center" vertical="center" wrapText="1"/>
    </xf>
    <xf numFmtId="164" fontId="4" fillId="2" borderId="16" xfId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left" vertical="center" wrapText="1"/>
    </xf>
    <xf numFmtId="164" fontId="4" fillId="2" borderId="14" xfId="1" applyFont="1" applyFill="1" applyBorder="1" applyAlignment="1">
      <alignment horizontal="center" vertical="center" wrapText="1"/>
    </xf>
    <xf numFmtId="164" fontId="4" fillId="2" borderId="14" xfId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vertical="center"/>
    </xf>
    <xf numFmtId="164" fontId="4" fillId="2" borderId="14" xfId="1" applyFont="1" applyFill="1" applyBorder="1" applyAlignment="1">
      <alignment horizontal="right" vertical="center"/>
    </xf>
    <xf numFmtId="14" fontId="4" fillId="2" borderId="14" xfId="0" applyNumberFormat="1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right" vertical="center" wrapText="1"/>
    </xf>
    <xf numFmtId="0" fontId="4" fillId="2" borderId="14" xfId="1" applyNumberFormat="1" applyFont="1" applyFill="1" applyBorder="1" applyAlignment="1">
      <alignment horizontal="right" vertical="center" wrapText="1"/>
    </xf>
    <xf numFmtId="0" fontId="4" fillId="0" borderId="0" xfId="0" applyFont="1"/>
    <xf numFmtId="0" fontId="4" fillId="2" borderId="18" xfId="0" applyFont="1" applyFill="1" applyBorder="1" applyAlignment="1">
      <alignment vertical="center"/>
    </xf>
    <xf numFmtId="0" fontId="4" fillId="2" borderId="14" xfId="1" applyNumberFormat="1" applyFont="1" applyFill="1" applyBorder="1" applyAlignment="1">
      <alignment horizontal="right" vertical="center"/>
    </xf>
    <xf numFmtId="0" fontId="4" fillId="0" borderId="14" xfId="0" applyFont="1" applyBorder="1" applyAlignment="1">
      <alignment vertical="center"/>
    </xf>
    <xf numFmtId="14" fontId="4" fillId="2" borderId="6" xfId="0" applyNumberFormat="1" applyFont="1" applyFill="1" applyBorder="1" applyAlignment="1">
      <alignment horizontal="center" vertical="center" wrapText="1"/>
    </xf>
    <xf numFmtId="165" fontId="4" fillId="0" borderId="14" xfId="2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4" xfId="0" applyFont="1" applyBorder="1"/>
    <xf numFmtId="165" fontId="4" fillId="0" borderId="14" xfId="2" applyNumberFormat="1" applyFont="1" applyBorder="1"/>
    <xf numFmtId="0" fontId="4" fillId="0" borderId="14" xfId="0" applyFont="1" applyBorder="1" applyAlignment="1">
      <alignment horizontal="center"/>
    </xf>
    <xf numFmtId="164" fontId="4" fillId="2" borderId="14" xfId="1" applyFont="1" applyFill="1" applyBorder="1" applyAlignment="1">
      <alignment horizontal="center"/>
    </xf>
    <xf numFmtId="14" fontId="4" fillId="2" borderId="19" xfId="0" applyNumberFormat="1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left" vertical="center" wrapText="1"/>
    </xf>
    <xf numFmtId="164" fontId="4" fillId="2" borderId="19" xfId="1" applyFont="1" applyFill="1" applyBorder="1" applyAlignment="1">
      <alignment horizontal="center" vertical="center" wrapText="1"/>
    </xf>
    <xf numFmtId="164" fontId="4" fillId="2" borderId="19" xfId="1" applyFont="1" applyFill="1" applyBorder="1" applyAlignment="1">
      <alignment horizontal="center"/>
    </xf>
    <xf numFmtId="164" fontId="4" fillId="2" borderId="19" xfId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4" fillId="0" borderId="1" xfId="0" applyFont="1" applyBorder="1"/>
    <xf numFmtId="164" fontId="4" fillId="2" borderId="0" xfId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6" xfId="1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Continuous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6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14" fontId="6" fillId="0" borderId="13" xfId="0" applyNumberFormat="1" applyFont="1" applyBorder="1" applyAlignment="1">
      <alignment horizontal="center" vertical="center" wrapText="1"/>
    </xf>
    <xf numFmtId="164" fontId="6" fillId="0" borderId="13" xfId="1" applyFont="1" applyBorder="1" applyAlignment="1"/>
    <xf numFmtId="164" fontId="6" fillId="0" borderId="6" xfId="1" applyFont="1" applyBorder="1"/>
    <xf numFmtId="164" fontId="6" fillId="0" borderId="6" xfId="0" applyNumberFormat="1" applyFont="1" applyBorder="1" applyAlignment="1">
      <alignment horizontal="center"/>
    </xf>
    <xf numFmtId="164" fontId="6" fillId="0" borderId="6" xfId="0" applyNumberFormat="1" applyFont="1" applyBorder="1"/>
    <xf numFmtId="164" fontId="6" fillId="0" borderId="13" xfId="1" applyFont="1" applyBorder="1"/>
    <xf numFmtId="164" fontId="6" fillId="0" borderId="13" xfId="0" applyNumberFormat="1" applyFont="1" applyBorder="1"/>
    <xf numFmtId="164" fontId="6" fillId="0" borderId="13" xfId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14" fontId="6" fillId="0" borderId="15" xfId="0" applyNumberFormat="1" applyFont="1" applyBorder="1" applyAlignment="1">
      <alignment horizontal="center" vertical="center" wrapText="1"/>
    </xf>
    <xf numFmtId="164" fontId="6" fillId="0" borderId="15" xfId="1" applyFont="1" applyBorder="1" applyAlignment="1"/>
    <xf numFmtId="164" fontId="6" fillId="0" borderId="14" xfId="1" applyFont="1" applyBorder="1"/>
    <xf numFmtId="164" fontId="6" fillId="0" borderId="14" xfId="0" applyNumberFormat="1" applyFont="1" applyBorder="1" applyAlignment="1">
      <alignment horizontal="center"/>
    </xf>
    <xf numFmtId="164" fontId="6" fillId="0" borderId="14" xfId="0" applyNumberFormat="1" applyFont="1" applyBorder="1"/>
    <xf numFmtId="164" fontId="6" fillId="0" borderId="15" xfId="1" applyFont="1" applyBorder="1"/>
    <xf numFmtId="164" fontId="6" fillId="0" borderId="15" xfId="0" applyNumberFormat="1" applyFont="1" applyBorder="1"/>
    <xf numFmtId="164" fontId="6" fillId="0" borderId="15" xfId="1" applyFont="1" applyBorder="1" applyAlignment="1">
      <alignment horizontal="center" vertical="center" wrapText="1"/>
    </xf>
    <xf numFmtId="164" fontId="6" fillId="0" borderId="4" xfId="1" applyFont="1" applyBorder="1" applyAlignment="1"/>
    <xf numFmtId="0" fontId="6" fillId="0" borderId="4" xfId="0" applyFont="1" applyBorder="1"/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164" fontId="3" fillId="0" borderId="6" xfId="1" applyFont="1" applyBorder="1"/>
    <xf numFmtId="164" fontId="3" fillId="0" borderId="6" xfId="0" applyNumberFormat="1" applyFont="1" applyBorder="1" applyAlignment="1">
      <alignment horizontal="center"/>
    </xf>
    <xf numFmtId="164" fontId="3" fillId="0" borderId="6" xfId="0" applyNumberFormat="1" applyFont="1" applyBorder="1"/>
    <xf numFmtId="0" fontId="3" fillId="0" borderId="14" xfId="0" applyFont="1" applyBorder="1" applyAlignment="1">
      <alignment horizontal="center"/>
    </xf>
    <xf numFmtId="164" fontId="3" fillId="0" borderId="14" xfId="1" applyFont="1" applyBorder="1"/>
    <xf numFmtId="164" fontId="3" fillId="0" borderId="14" xfId="0" applyNumberFormat="1" applyFont="1" applyBorder="1" applyAlignment="1">
      <alignment horizontal="center"/>
    </xf>
    <xf numFmtId="164" fontId="3" fillId="0" borderId="14" xfId="0" applyNumberFormat="1" applyFont="1" applyBorder="1"/>
    <xf numFmtId="0" fontId="5" fillId="0" borderId="0" xfId="0" applyFont="1" applyAlignment="1">
      <alignment horizontal="center" vertical="top" wrapText="1"/>
    </xf>
    <xf numFmtId="0" fontId="3" fillId="0" borderId="7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 wrapText="1"/>
    </xf>
    <xf numFmtId="164" fontId="3" fillId="0" borderId="6" xfId="1" applyFont="1" applyBorder="1" applyAlignment="1"/>
    <xf numFmtId="164" fontId="3" fillId="0" borderId="6" xfId="1" applyFont="1" applyBorder="1" applyAlignment="1">
      <alignment horizontal="center" vertical="center" wrapText="1"/>
    </xf>
    <xf numFmtId="14" fontId="3" fillId="0" borderId="14" xfId="0" applyNumberFormat="1" applyFont="1" applyBorder="1" applyAlignment="1">
      <alignment horizontal="center" vertical="center" wrapText="1"/>
    </xf>
    <xf numFmtId="164" fontId="3" fillId="0" borderId="14" xfId="1" applyFont="1" applyBorder="1" applyAlignment="1"/>
    <xf numFmtId="164" fontId="3" fillId="0" borderId="14" xfId="1" applyFont="1" applyBorder="1" applyAlignment="1">
      <alignment horizontal="center" vertical="center" wrapText="1"/>
    </xf>
    <xf numFmtId="164" fontId="3" fillId="0" borderId="21" xfId="1" applyFont="1" applyBorder="1" applyAlignment="1"/>
    <xf numFmtId="0" fontId="7" fillId="0" borderId="1" xfId="0" applyFont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64" fontId="7" fillId="0" borderId="16" xfId="1" applyFont="1" applyBorder="1" applyAlignment="1">
      <alignment horizontal="center" vertical="center" wrapText="1"/>
    </xf>
    <xf numFmtId="0" fontId="0" fillId="2" borderId="0" xfId="0" applyFill="1"/>
    <xf numFmtId="0" fontId="4" fillId="2" borderId="6" xfId="0" applyFont="1" applyFill="1" applyBorder="1" applyAlignment="1">
      <alignment horizontal="left" vertical="center" wrapText="1"/>
    </xf>
    <xf numFmtId="164" fontId="4" fillId="2" borderId="6" xfId="1" applyFont="1" applyFill="1" applyBorder="1" applyAlignment="1">
      <alignment horizontal="center" vertical="center" wrapText="1"/>
    </xf>
    <xf numFmtId="164" fontId="4" fillId="2" borderId="6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14" fontId="4" fillId="3" borderId="14" xfId="0" applyNumberFormat="1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164" fontId="4" fillId="3" borderId="14" xfId="1" applyFont="1" applyFill="1" applyBorder="1" applyAlignment="1">
      <alignment horizontal="center" vertical="center" wrapText="1"/>
    </xf>
    <xf numFmtId="164" fontId="4" fillId="3" borderId="14" xfId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vertical="center"/>
    </xf>
    <xf numFmtId="14" fontId="4" fillId="4" borderId="14" xfId="0" applyNumberFormat="1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164" fontId="4" fillId="4" borderId="14" xfId="1" applyFont="1" applyFill="1" applyBorder="1" applyAlignment="1">
      <alignment horizontal="center" vertical="center" wrapText="1"/>
    </xf>
    <xf numFmtId="164" fontId="4" fillId="4" borderId="14" xfId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vertical="center"/>
    </xf>
    <xf numFmtId="164" fontId="4" fillId="2" borderId="14" xfId="1" applyFont="1" applyFill="1" applyBorder="1" applyAlignment="1">
      <alignment horizontal="left" vertical="center"/>
    </xf>
    <xf numFmtId="14" fontId="4" fillId="2" borderId="19" xfId="0" applyNumberFormat="1" applyFont="1" applyFill="1" applyBorder="1" applyAlignment="1">
      <alignment horizontal="left" vertical="center" wrapText="1"/>
    </xf>
    <xf numFmtId="0" fontId="4" fillId="2" borderId="19" xfId="1" applyNumberFormat="1" applyFont="1" applyFill="1" applyBorder="1" applyAlignment="1">
      <alignment horizontal="right" vertical="center" wrapText="1"/>
    </xf>
    <xf numFmtId="0" fontId="4" fillId="2" borderId="19" xfId="0" applyFont="1" applyFill="1" applyBorder="1" applyAlignment="1">
      <alignment horizontal="right" vertical="center" wrapText="1"/>
    </xf>
    <xf numFmtId="164" fontId="4" fillId="0" borderId="14" xfId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165" fontId="4" fillId="2" borderId="14" xfId="2" applyNumberFormat="1" applyFont="1" applyFill="1" applyBorder="1" applyAlignment="1">
      <alignment vertical="center"/>
    </xf>
    <xf numFmtId="0" fontId="4" fillId="2" borderId="14" xfId="0" applyFont="1" applyFill="1" applyBorder="1"/>
    <xf numFmtId="165" fontId="4" fillId="2" borderId="14" xfId="2" applyNumberFormat="1" applyFont="1" applyFill="1" applyBorder="1"/>
    <xf numFmtId="0" fontId="4" fillId="2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/>
    </xf>
    <xf numFmtId="14" fontId="4" fillId="2" borderId="18" xfId="0" applyNumberFormat="1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left" vertical="center" wrapText="1"/>
    </xf>
    <xf numFmtId="164" fontId="4" fillId="2" borderId="18" xfId="1" applyFont="1" applyFill="1" applyBorder="1" applyAlignment="1">
      <alignment horizontal="center" vertical="center" wrapText="1"/>
    </xf>
    <xf numFmtId="164" fontId="4" fillId="2" borderId="18" xfId="1" applyFont="1" applyFill="1" applyBorder="1" applyAlignment="1">
      <alignment horizontal="center"/>
    </xf>
    <xf numFmtId="164" fontId="4" fillId="2" borderId="18" xfId="1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164" fontId="4" fillId="0" borderId="18" xfId="1" applyFont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4" fillId="0" borderId="6" xfId="0" applyFont="1" applyBorder="1" applyAlignment="1">
      <alignment horizontal="left" vertical="center" wrapText="1"/>
    </xf>
    <xf numFmtId="164" fontId="4" fillId="0" borderId="6" xfId="1" applyFont="1" applyBorder="1" applyAlignment="1">
      <alignment horizontal="center" vertical="center" wrapText="1"/>
    </xf>
    <xf numFmtId="14" fontId="9" fillId="2" borderId="14" xfId="0" applyNumberFormat="1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164" fontId="9" fillId="0" borderId="14" xfId="1" applyFont="1" applyBorder="1" applyAlignment="1">
      <alignment horizontal="center" vertical="center" wrapText="1"/>
    </xf>
    <xf numFmtId="0" fontId="9" fillId="2" borderId="14" xfId="0" applyFont="1" applyFill="1" applyBorder="1" applyAlignment="1">
      <alignment vertical="center"/>
    </xf>
    <xf numFmtId="0" fontId="1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3" fillId="0" borderId="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15</xdr:row>
      <xdr:rowOff>0</xdr:rowOff>
    </xdr:from>
    <xdr:to>
      <xdr:col>4</xdr:col>
      <xdr:colOff>279400</xdr:colOff>
      <xdr:row>15</xdr:row>
      <xdr:rowOff>203200</xdr:rowOff>
    </xdr:to>
    <xdr:sp macro="[1]!dp_core.gridDP_Click" textlink="">
      <xdr:nvSpPr>
        <xdr:cNvPr id="4" name="Rectangle 3">
          <a:extLst>
            <a:ext uri="{FF2B5EF4-FFF2-40B4-BE49-F238E27FC236}">
              <a16:creationId xmlns:a16="http://schemas.microsoft.com/office/drawing/2014/main" id="{371F4494-5402-4F7B-264B-3ED1F0849AA7}"/>
            </a:ext>
          </a:extLst>
        </xdr:cNvPr>
        <xdr:cNvSpPr/>
      </xdr:nvSpPr>
      <xdr:spPr>
        <a:xfrm>
          <a:off x="4724400" y="3400425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Roaming\Microsoft\AddIns\samradapps_datepicker.xlam" TargetMode="External"/><Relationship Id="rId1" Type="http://schemas.openxmlformats.org/officeDocument/2006/relationships/externalLinkPath" Target="file:///C:\Users\USER\AppData\Roaming\Microsoft\AddIns\samradapps_datepick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amradapps_datepicker"/>
    </sheetNames>
    <definedNames>
      <definedName name="dp_core.gridDP_Click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8D57-C81C-4B12-B70E-AD4CDEE232DB}">
  <dimension ref="A1:K163"/>
  <sheetViews>
    <sheetView topLeftCell="A118" workbookViewId="0">
      <selection activeCell="Q128" sqref="Q128"/>
    </sheetView>
  </sheetViews>
  <sheetFormatPr defaultRowHeight="15" x14ac:dyDescent="0.25"/>
  <cols>
    <col min="1" max="1" width="5.42578125" customWidth="1"/>
    <col min="2" max="2" width="15.42578125" customWidth="1"/>
    <col min="3" max="3" width="35.85546875" customWidth="1"/>
    <col min="4" max="4" width="14" customWidth="1"/>
    <col min="5" max="5" width="11.140625" customWidth="1"/>
    <col min="6" max="6" width="11.7109375" customWidth="1"/>
    <col min="7" max="7" width="8.5703125" customWidth="1"/>
    <col min="8" max="8" width="8.42578125" customWidth="1"/>
    <col min="9" max="9" width="16.7109375" customWidth="1"/>
    <col min="10" max="10" width="19.140625" customWidth="1"/>
    <col min="11" max="11" width="23.5703125" customWidth="1"/>
  </cols>
  <sheetData>
    <row r="1" spans="1:11" ht="21.75" customHeight="1" x14ac:dyDescent="0.25">
      <c r="A1" s="150" t="s">
        <v>194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5.75" x14ac:dyDescent="0.25">
      <c r="A2" s="150" t="s">
        <v>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5.75" x14ac:dyDescent="0.25">
      <c r="A3" s="150" t="s">
        <v>62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4" spans="1:11" ht="15.75" x14ac:dyDescent="0.25">
      <c r="A4" s="150" t="s">
        <v>193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30.75" customHeight="1" x14ac:dyDescent="0.25">
      <c r="A6" s="4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6" t="s">
        <v>7</v>
      </c>
      <c r="H6" s="4" t="s">
        <v>8</v>
      </c>
      <c r="I6" s="4" t="s">
        <v>9</v>
      </c>
      <c r="J6" s="4" t="s">
        <v>10</v>
      </c>
      <c r="K6" s="4" t="s">
        <v>11</v>
      </c>
    </row>
    <row r="7" spans="1:11" ht="19.149999999999999" customHeight="1" x14ac:dyDescent="0.25">
      <c r="A7" s="7">
        <v>1</v>
      </c>
      <c r="B7" s="8">
        <v>46023</v>
      </c>
      <c r="C7" s="9" t="s">
        <v>84</v>
      </c>
      <c r="D7" s="8">
        <v>46023</v>
      </c>
      <c r="E7" s="10">
        <v>1</v>
      </c>
      <c r="F7" s="10"/>
      <c r="G7" s="11"/>
      <c r="H7" s="11"/>
      <c r="I7" s="11"/>
      <c r="J7" s="11">
        <v>250000</v>
      </c>
      <c r="K7" s="12" t="s">
        <v>47</v>
      </c>
    </row>
    <row r="8" spans="1:11" ht="19.149999999999999" customHeight="1" x14ac:dyDescent="0.25">
      <c r="A8" s="13">
        <v>2</v>
      </c>
      <c r="B8" s="14"/>
      <c r="C8" s="15" t="s">
        <v>85</v>
      </c>
      <c r="D8" s="14">
        <v>46060</v>
      </c>
      <c r="E8" s="16">
        <v>1</v>
      </c>
      <c r="F8" s="16"/>
      <c r="G8" s="17"/>
      <c r="H8" s="17"/>
      <c r="I8" s="17"/>
      <c r="J8" s="17">
        <v>250000</v>
      </c>
      <c r="K8" s="18" t="s">
        <v>44</v>
      </c>
    </row>
    <row r="9" spans="1:11" ht="19.149999999999999" customHeight="1" x14ac:dyDescent="0.25">
      <c r="A9" s="7">
        <v>3</v>
      </c>
      <c r="B9" s="14">
        <v>46024</v>
      </c>
      <c r="C9" s="18" t="s">
        <v>86</v>
      </c>
      <c r="D9" s="14">
        <v>46029</v>
      </c>
      <c r="E9" s="16">
        <v>1</v>
      </c>
      <c r="F9" s="16"/>
      <c r="G9" s="19"/>
      <c r="H9" s="17"/>
      <c r="I9" s="17"/>
      <c r="J9" s="17">
        <v>250000</v>
      </c>
      <c r="K9" s="18" t="s">
        <v>41</v>
      </c>
    </row>
    <row r="10" spans="1:11" ht="19.149999999999999" customHeight="1" x14ac:dyDescent="0.25">
      <c r="A10" s="13">
        <v>4</v>
      </c>
      <c r="B10" s="14">
        <v>46025</v>
      </c>
      <c r="C10" s="15" t="s">
        <v>87</v>
      </c>
      <c r="D10" s="14">
        <v>46025</v>
      </c>
      <c r="E10" s="16"/>
      <c r="F10" s="16"/>
      <c r="G10" s="17"/>
      <c r="H10" s="17">
        <v>1</v>
      </c>
      <c r="I10" s="17"/>
      <c r="J10" s="17">
        <v>100000</v>
      </c>
      <c r="K10" s="18" t="s">
        <v>43</v>
      </c>
    </row>
    <row r="11" spans="1:11" ht="19.149999999999999" customHeight="1" x14ac:dyDescent="0.25">
      <c r="A11" s="7">
        <v>5</v>
      </c>
      <c r="B11" s="14"/>
      <c r="C11" s="15" t="s">
        <v>88</v>
      </c>
      <c r="D11" s="14">
        <v>46040</v>
      </c>
      <c r="E11" s="16"/>
      <c r="F11" s="16"/>
      <c r="G11" s="17">
        <v>100</v>
      </c>
      <c r="H11" s="17"/>
      <c r="I11" s="17"/>
      <c r="J11" s="17">
        <v>200000</v>
      </c>
      <c r="K11" s="18" t="s">
        <v>46</v>
      </c>
    </row>
    <row r="12" spans="1:11" ht="19.149999999999999" customHeight="1" x14ac:dyDescent="0.25">
      <c r="A12" s="13">
        <v>6</v>
      </c>
      <c r="B12" s="14"/>
      <c r="C12" s="15" t="s">
        <v>89</v>
      </c>
      <c r="D12" s="14">
        <v>46032</v>
      </c>
      <c r="E12" s="16">
        <v>1</v>
      </c>
      <c r="F12" s="16"/>
      <c r="G12" s="17"/>
      <c r="H12" s="17"/>
      <c r="I12" s="17"/>
      <c r="J12" s="17">
        <v>250000</v>
      </c>
      <c r="K12" s="18" t="s">
        <v>49</v>
      </c>
    </row>
    <row r="13" spans="1:11" ht="19.149999999999999" customHeight="1" x14ac:dyDescent="0.25">
      <c r="A13" s="7">
        <v>7</v>
      </c>
      <c r="B13" s="14">
        <v>46026</v>
      </c>
      <c r="C13" s="15" t="s">
        <v>90</v>
      </c>
      <c r="D13" s="14">
        <v>46060</v>
      </c>
      <c r="E13" s="16">
        <v>1</v>
      </c>
      <c r="F13" s="16"/>
      <c r="G13" s="17"/>
      <c r="H13" s="17"/>
      <c r="I13" s="17"/>
      <c r="J13" s="17">
        <v>250000</v>
      </c>
      <c r="K13" s="18" t="s">
        <v>47</v>
      </c>
    </row>
    <row r="14" spans="1:11" ht="19.149999999999999" customHeight="1" x14ac:dyDescent="0.25">
      <c r="A14" s="13">
        <v>8</v>
      </c>
      <c r="B14" s="14"/>
      <c r="C14" s="15" t="s">
        <v>91</v>
      </c>
      <c r="D14" s="14">
        <v>46033</v>
      </c>
      <c r="E14" s="16"/>
      <c r="F14" s="16"/>
      <c r="G14" s="17">
        <v>150</v>
      </c>
      <c r="H14" s="17"/>
      <c r="I14" s="17"/>
      <c r="J14" s="17">
        <v>300000</v>
      </c>
      <c r="K14" s="18" t="s">
        <v>45</v>
      </c>
    </row>
    <row r="15" spans="1:11" ht="19.149999999999999" customHeight="1" x14ac:dyDescent="0.25">
      <c r="A15" s="7">
        <v>9</v>
      </c>
      <c r="B15" s="14"/>
      <c r="C15" s="15" t="s">
        <v>92</v>
      </c>
      <c r="D15" s="14">
        <v>46124</v>
      </c>
      <c r="E15" s="16">
        <v>1</v>
      </c>
      <c r="F15" s="16"/>
      <c r="G15" s="17"/>
      <c r="H15" s="17">
        <v>1</v>
      </c>
      <c r="I15" s="17"/>
      <c r="J15" s="17">
        <v>350000</v>
      </c>
      <c r="K15" s="18" t="s">
        <v>41</v>
      </c>
    </row>
    <row r="16" spans="1:11" ht="19.149999999999999" customHeight="1" x14ac:dyDescent="0.25">
      <c r="A16" s="13">
        <v>10</v>
      </c>
      <c r="B16" s="14"/>
      <c r="C16" s="15" t="s">
        <v>93</v>
      </c>
      <c r="D16" s="14">
        <v>46038</v>
      </c>
      <c r="E16" s="16">
        <v>1</v>
      </c>
      <c r="F16" s="16"/>
      <c r="G16" s="17"/>
      <c r="H16" s="17"/>
      <c r="I16" s="17"/>
      <c r="J16" s="17">
        <v>250000</v>
      </c>
      <c r="K16" s="18" t="s">
        <v>41</v>
      </c>
    </row>
    <row r="17" spans="1:11" ht="19.149999999999999" customHeight="1" x14ac:dyDescent="0.25">
      <c r="A17" s="7">
        <v>11</v>
      </c>
      <c r="B17" s="14"/>
      <c r="C17" s="15" t="s">
        <v>94</v>
      </c>
      <c r="D17" s="14">
        <v>46046</v>
      </c>
      <c r="E17" s="16">
        <v>1</v>
      </c>
      <c r="F17" s="16"/>
      <c r="G17" s="17"/>
      <c r="H17" s="17">
        <v>1</v>
      </c>
      <c r="I17" s="17"/>
      <c r="J17" s="17">
        <v>350000</v>
      </c>
      <c r="K17" s="18" t="s">
        <v>41</v>
      </c>
    </row>
    <row r="18" spans="1:11" ht="19.149999999999999" customHeight="1" x14ac:dyDescent="0.25">
      <c r="A18" s="13">
        <v>12</v>
      </c>
      <c r="B18" s="14">
        <v>46027</v>
      </c>
      <c r="C18" s="15" t="s">
        <v>95</v>
      </c>
      <c r="D18" s="14">
        <v>46038</v>
      </c>
      <c r="E18" s="16">
        <v>1</v>
      </c>
      <c r="F18" s="16"/>
      <c r="G18" s="17"/>
      <c r="H18" s="17"/>
      <c r="I18" s="17"/>
      <c r="J18" s="17">
        <v>250000</v>
      </c>
      <c r="K18" s="18" t="s">
        <v>44</v>
      </c>
    </row>
    <row r="19" spans="1:11" ht="19.149999999999999" customHeight="1" x14ac:dyDescent="0.25">
      <c r="A19" s="7">
        <v>13</v>
      </c>
      <c r="B19" s="18"/>
      <c r="C19" s="15" t="s">
        <v>96</v>
      </c>
      <c r="D19" s="20">
        <v>46067</v>
      </c>
      <c r="E19" s="16"/>
      <c r="F19" s="18"/>
      <c r="G19" s="18">
        <v>50</v>
      </c>
      <c r="H19" s="18"/>
      <c r="I19" s="18"/>
      <c r="J19" s="17">
        <v>100000</v>
      </c>
      <c r="K19" s="18" t="s">
        <v>42</v>
      </c>
    </row>
    <row r="20" spans="1:11" ht="19.149999999999999" customHeight="1" x14ac:dyDescent="0.25">
      <c r="A20" s="13">
        <v>14</v>
      </c>
      <c r="B20" s="14"/>
      <c r="C20" s="15" t="s">
        <v>97</v>
      </c>
      <c r="D20" s="14">
        <v>46046</v>
      </c>
      <c r="E20" s="16"/>
      <c r="F20" s="16">
        <v>1</v>
      </c>
      <c r="G20" s="17"/>
      <c r="H20" s="17"/>
      <c r="I20" s="17" t="s">
        <v>98</v>
      </c>
      <c r="J20" s="17">
        <v>1750000</v>
      </c>
      <c r="K20" s="18" t="s">
        <v>99</v>
      </c>
    </row>
    <row r="21" spans="1:11" x14ac:dyDescent="0.25">
      <c r="A21" s="7">
        <v>15</v>
      </c>
      <c r="B21" s="20">
        <v>46028</v>
      </c>
      <c r="C21" s="15" t="s">
        <v>242</v>
      </c>
      <c r="D21" s="14">
        <v>46028</v>
      </c>
      <c r="E21" s="16">
        <v>1</v>
      </c>
      <c r="F21" s="18"/>
      <c r="G21" s="18"/>
      <c r="H21" s="18"/>
      <c r="I21" s="18"/>
      <c r="J21" s="17">
        <v>250000</v>
      </c>
      <c r="K21" s="18" t="s">
        <v>41</v>
      </c>
    </row>
    <row r="22" spans="1:11" ht="19.149999999999999" customHeight="1" x14ac:dyDescent="0.25">
      <c r="A22" s="13">
        <v>16</v>
      </c>
      <c r="B22" s="14"/>
      <c r="C22" s="21" t="s">
        <v>100</v>
      </c>
      <c r="D22" s="14">
        <v>46131</v>
      </c>
      <c r="E22" s="16">
        <v>1</v>
      </c>
      <c r="F22" s="16"/>
      <c r="G22" s="17"/>
      <c r="H22" s="17"/>
      <c r="I22" s="17"/>
      <c r="J22" s="17">
        <v>250000</v>
      </c>
      <c r="K22" s="18" t="s">
        <v>43</v>
      </c>
    </row>
    <row r="23" spans="1:11" ht="19.149999999999999" customHeight="1" x14ac:dyDescent="0.25">
      <c r="A23" s="7">
        <v>17</v>
      </c>
      <c r="B23" s="14"/>
      <c r="C23" s="21" t="s">
        <v>101</v>
      </c>
      <c r="D23" s="14">
        <v>46030</v>
      </c>
      <c r="E23" s="16">
        <v>1</v>
      </c>
      <c r="F23" s="16"/>
      <c r="G23" s="17"/>
      <c r="H23" s="17"/>
      <c r="I23" s="17"/>
      <c r="J23" s="17">
        <v>250000</v>
      </c>
      <c r="K23" s="18" t="s">
        <v>47</v>
      </c>
    </row>
    <row r="24" spans="1:11" ht="19.149999999999999" customHeight="1" x14ac:dyDescent="0.25">
      <c r="A24" s="13">
        <v>18</v>
      </c>
      <c r="B24" s="14"/>
      <c r="C24" s="21" t="s">
        <v>102</v>
      </c>
      <c r="D24" s="14">
        <v>46051</v>
      </c>
      <c r="E24" s="16">
        <v>1</v>
      </c>
      <c r="F24" s="16"/>
      <c r="G24" s="17"/>
      <c r="H24" s="17"/>
      <c r="I24" s="17"/>
      <c r="J24" s="17">
        <v>250000</v>
      </c>
      <c r="K24" s="18" t="s">
        <v>44</v>
      </c>
    </row>
    <row r="25" spans="1:11" ht="19.149999999999999" customHeight="1" x14ac:dyDescent="0.25">
      <c r="A25" s="7">
        <v>19</v>
      </c>
      <c r="B25" s="14"/>
      <c r="C25" s="15" t="s">
        <v>103</v>
      </c>
      <c r="D25" s="14">
        <v>46032</v>
      </c>
      <c r="E25" s="16">
        <v>1</v>
      </c>
      <c r="F25" s="16"/>
      <c r="G25" s="17"/>
      <c r="H25" s="17"/>
      <c r="I25" s="17"/>
      <c r="J25" s="17">
        <v>250000</v>
      </c>
      <c r="K25" s="18" t="s">
        <v>43</v>
      </c>
    </row>
    <row r="26" spans="1:11" ht="19.149999999999999" customHeight="1" x14ac:dyDescent="0.25">
      <c r="A26" s="13">
        <v>20</v>
      </c>
      <c r="B26" s="14"/>
      <c r="C26" s="15" t="s">
        <v>104</v>
      </c>
      <c r="D26" s="14">
        <v>46039</v>
      </c>
      <c r="E26" s="16"/>
      <c r="F26" s="16"/>
      <c r="G26" s="17">
        <v>100</v>
      </c>
      <c r="H26" s="17"/>
      <c r="I26" s="17"/>
      <c r="J26" s="17">
        <v>200000</v>
      </c>
      <c r="K26" s="18" t="s">
        <v>42</v>
      </c>
    </row>
    <row r="27" spans="1:11" ht="19.149999999999999" customHeight="1" x14ac:dyDescent="0.25">
      <c r="A27" s="7">
        <v>21</v>
      </c>
      <c r="B27" s="14">
        <v>46029</v>
      </c>
      <c r="C27" s="15" t="s">
        <v>105</v>
      </c>
      <c r="D27" s="14">
        <v>46061</v>
      </c>
      <c r="E27" s="16">
        <v>1</v>
      </c>
      <c r="F27" s="16"/>
      <c r="G27" s="17"/>
      <c r="H27" s="17"/>
      <c r="I27" s="17"/>
      <c r="J27" s="17">
        <v>250000</v>
      </c>
      <c r="K27" s="18" t="s">
        <v>47</v>
      </c>
    </row>
    <row r="28" spans="1:11" ht="19.149999999999999" customHeight="1" x14ac:dyDescent="0.25">
      <c r="A28" s="13">
        <v>22</v>
      </c>
      <c r="B28" s="14"/>
      <c r="C28" s="15" t="s">
        <v>106</v>
      </c>
      <c r="D28" s="14">
        <v>46138</v>
      </c>
      <c r="E28" s="16">
        <v>1</v>
      </c>
      <c r="F28" s="16"/>
      <c r="G28" s="17"/>
      <c r="H28" s="17">
        <v>1</v>
      </c>
      <c r="I28" s="17"/>
      <c r="J28" s="17">
        <v>350000</v>
      </c>
      <c r="K28" s="18" t="s">
        <v>44</v>
      </c>
    </row>
    <row r="29" spans="1:11" ht="19.149999999999999" customHeight="1" x14ac:dyDescent="0.25">
      <c r="A29" s="7">
        <v>23</v>
      </c>
      <c r="B29" s="14"/>
      <c r="C29" s="21" t="s">
        <v>107</v>
      </c>
      <c r="D29" s="14">
        <v>46038</v>
      </c>
      <c r="E29" s="16">
        <v>1</v>
      </c>
      <c r="F29" s="16"/>
      <c r="G29" s="17"/>
      <c r="H29" s="22"/>
      <c r="I29" s="22"/>
      <c r="J29" s="17">
        <v>250000</v>
      </c>
      <c r="K29" s="21" t="s">
        <v>49</v>
      </c>
    </row>
    <row r="30" spans="1:11" ht="19.149999999999999" customHeight="1" x14ac:dyDescent="0.25">
      <c r="A30" s="13">
        <v>24</v>
      </c>
      <c r="B30" s="14"/>
      <c r="C30" s="21" t="s">
        <v>108</v>
      </c>
      <c r="D30" s="14">
        <v>46047</v>
      </c>
      <c r="E30" s="23">
        <v>1</v>
      </c>
      <c r="F30" s="22"/>
      <c r="G30" s="22"/>
      <c r="H30" s="22"/>
      <c r="I30" s="22"/>
      <c r="J30" s="17">
        <v>250000</v>
      </c>
      <c r="K30" s="21" t="s">
        <v>41</v>
      </c>
    </row>
    <row r="31" spans="1:11" ht="20.25" customHeight="1" x14ac:dyDescent="0.25">
      <c r="A31" s="4"/>
      <c r="B31" s="30"/>
      <c r="C31" s="151" t="s">
        <v>12</v>
      </c>
      <c r="D31" s="151"/>
      <c r="E31" s="43">
        <f>SUM(E7:E30)</f>
        <v>18</v>
      </c>
      <c r="F31" s="43">
        <f t="shared" ref="F31:J31" si="0">SUM(F7:F30)</f>
        <v>1</v>
      </c>
      <c r="G31" s="43">
        <f t="shared" si="0"/>
        <v>400</v>
      </c>
      <c r="H31" s="43">
        <f t="shared" si="0"/>
        <v>4</v>
      </c>
      <c r="I31" s="43">
        <f t="shared" si="0"/>
        <v>0</v>
      </c>
      <c r="J31" s="43">
        <f t="shared" si="0"/>
        <v>7450000</v>
      </c>
      <c r="K31" s="30"/>
    </row>
    <row r="32" spans="1:11" ht="15.75" x14ac:dyDescent="0.25">
      <c r="A32" s="52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1" ht="15.75" x14ac:dyDescent="0.25">
      <c r="A33" s="53"/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1:11" ht="30.75" customHeight="1" x14ac:dyDescent="0.25">
      <c r="A34" s="4"/>
      <c r="B34" s="5" t="s">
        <v>2</v>
      </c>
      <c r="C34" s="5" t="s">
        <v>3</v>
      </c>
      <c r="D34" s="5" t="s">
        <v>4</v>
      </c>
      <c r="E34" s="5" t="s">
        <v>5</v>
      </c>
      <c r="F34" s="5" t="s">
        <v>6</v>
      </c>
      <c r="G34" s="6" t="s">
        <v>7</v>
      </c>
      <c r="H34" s="4" t="s">
        <v>8</v>
      </c>
      <c r="I34" s="4" t="s">
        <v>9</v>
      </c>
      <c r="J34" s="4" t="s">
        <v>10</v>
      </c>
      <c r="K34" s="4" t="s">
        <v>11</v>
      </c>
    </row>
    <row r="35" spans="1:11" ht="19.149999999999999" customHeight="1" x14ac:dyDescent="0.25">
      <c r="A35" s="7"/>
      <c r="B35" s="153" t="s">
        <v>13</v>
      </c>
      <c r="C35" s="153"/>
      <c r="D35" s="153"/>
      <c r="E35" s="44">
        <f t="shared" ref="E35:J35" si="1">E31</f>
        <v>18</v>
      </c>
      <c r="F35" s="44">
        <f t="shared" si="1"/>
        <v>1</v>
      </c>
      <c r="G35" s="44">
        <f t="shared" si="1"/>
        <v>400</v>
      </c>
      <c r="H35" s="44">
        <f t="shared" si="1"/>
        <v>4</v>
      </c>
      <c r="I35" s="44">
        <f t="shared" si="1"/>
        <v>0</v>
      </c>
      <c r="J35" s="44">
        <f t="shared" si="1"/>
        <v>7450000</v>
      </c>
      <c r="K35" s="25"/>
    </row>
    <row r="36" spans="1:11" ht="19.149999999999999" customHeight="1" x14ac:dyDescent="0.25">
      <c r="A36" s="13">
        <v>25</v>
      </c>
      <c r="B36" s="14">
        <v>46029</v>
      </c>
      <c r="C36" s="21" t="s">
        <v>109</v>
      </c>
      <c r="D36" s="14">
        <v>46047</v>
      </c>
      <c r="E36" s="23"/>
      <c r="F36" s="22"/>
      <c r="G36" s="22">
        <v>50</v>
      </c>
      <c r="H36" s="22"/>
      <c r="I36" s="22"/>
      <c r="J36" s="17">
        <v>100000</v>
      </c>
      <c r="K36" s="21" t="s">
        <v>110</v>
      </c>
    </row>
    <row r="37" spans="1:11" ht="19.149999999999999" customHeight="1" x14ac:dyDescent="0.25">
      <c r="A37" s="13">
        <v>26</v>
      </c>
      <c r="B37" s="14"/>
      <c r="C37" s="21" t="s">
        <v>111</v>
      </c>
      <c r="D37" s="14">
        <v>46053</v>
      </c>
      <c r="E37" s="23">
        <v>2</v>
      </c>
      <c r="F37" s="23"/>
      <c r="G37" s="26"/>
      <c r="H37" s="26"/>
      <c r="I37" s="26"/>
      <c r="J37" s="17">
        <v>500000</v>
      </c>
      <c r="K37" s="18" t="s">
        <v>48</v>
      </c>
    </row>
    <row r="38" spans="1:11" ht="19.149999999999999" customHeight="1" x14ac:dyDescent="0.25">
      <c r="A38" s="13">
        <v>27</v>
      </c>
      <c r="B38" s="14"/>
      <c r="C38" s="15" t="s">
        <v>112</v>
      </c>
      <c r="D38" s="14">
        <v>46032</v>
      </c>
      <c r="E38" s="23">
        <v>1</v>
      </c>
      <c r="F38" s="23"/>
      <c r="G38" s="26"/>
      <c r="H38" s="26"/>
      <c r="I38" s="26"/>
      <c r="J38" s="17">
        <v>250000</v>
      </c>
      <c r="K38" s="18" t="s">
        <v>44</v>
      </c>
    </row>
    <row r="39" spans="1:11" ht="19.149999999999999" customHeight="1" x14ac:dyDescent="0.25">
      <c r="A39" s="13">
        <v>28</v>
      </c>
      <c r="B39" s="14"/>
      <c r="C39" s="15" t="s">
        <v>113</v>
      </c>
      <c r="D39" s="14">
        <v>46053</v>
      </c>
      <c r="E39" s="16">
        <v>1</v>
      </c>
      <c r="F39" s="16"/>
      <c r="G39" s="17"/>
      <c r="H39" s="17"/>
      <c r="I39" s="17"/>
      <c r="J39" s="17">
        <v>250000</v>
      </c>
      <c r="K39" s="18" t="s">
        <v>44</v>
      </c>
    </row>
    <row r="40" spans="1:11" ht="19.149999999999999" customHeight="1" x14ac:dyDescent="0.25">
      <c r="A40" s="13">
        <v>29</v>
      </c>
      <c r="B40" s="14"/>
      <c r="C40" s="15" t="s">
        <v>114</v>
      </c>
      <c r="D40" s="14">
        <v>46042</v>
      </c>
      <c r="E40" s="16">
        <v>1</v>
      </c>
      <c r="F40" s="16"/>
      <c r="G40" s="17"/>
      <c r="H40" s="17"/>
      <c r="I40" s="17"/>
      <c r="J40" s="17">
        <v>250000</v>
      </c>
      <c r="K40" s="18" t="s">
        <v>41</v>
      </c>
    </row>
    <row r="41" spans="1:11" ht="19.149999999999999" customHeight="1" x14ac:dyDescent="0.25">
      <c r="A41" s="13">
        <v>30</v>
      </c>
      <c r="B41" s="14">
        <v>46030</v>
      </c>
      <c r="C41" s="15" t="s">
        <v>115</v>
      </c>
      <c r="D41" s="14">
        <v>46046</v>
      </c>
      <c r="E41" s="16">
        <v>1</v>
      </c>
      <c r="F41" s="16"/>
      <c r="G41" s="17"/>
      <c r="H41" s="17"/>
      <c r="I41" s="17"/>
      <c r="J41" s="17">
        <v>250000</v>
      </c>
      <c r="K41" s="18" t="s">
        <v>43</v>
      </c>
    </row>
    <row r="42" spans="1:11" ht="19.149999999999999" customHeight="1" x14ac:dyDescent="0.25">
      <c r="A42" s="13">
        <v>31</v>
      </c>
      <c r="B42" s="14"/>
      <c r="C42" s="15" t="s">
        <v>116</v>
      </c>
      <c r="D42" s="14">
        <v>46033</v>
      </c>
      <c r="E42" s="16">
        <v>2</v>
      </c>
      <c r="F42" s="16"/>
      <c r="G42" s="17"/>
      <c r="H42" s="17"/>
      <c r="I42" s="17"/>
      <c r="J42" s="17">
        <v>500000</v>
      </c>
      <c r="K42" s="18" t="s">
        <v>48</v>
      </c>
    </row>
    <row r="43" spans="1:11" ht="19.149999999999999" customHeight="1" x14ac:dyDescent="0.25">
      <c r="A43" s="13">
        <v>32</v>
      </c>
      <c r="B43" s="14"/>
      <c r="C43" s="15" t="s">
        <v>117</v>
      </c>
      <c r="D43" s="14">
        <v>46053</v>
      </c>
      <c r="E43" s="16">
        <v>1</v>
      </c>
      <c r="F43" s="16"/>
      <c r="G43" s="17"/>
      <c r="H43" s="17"/>
      <c r="I43" s="17"/>
      <c r="J43" s="17">
        <v>250000</v>
      </c>
      <c r="K43" s="18" t="s">
        <v>41</v>
      </c>
    </row>
    <row r="44" spans="1:11" ht="19.149999999999999" customHeight="1" x14ac:dyDescent="0.25">
      <c r="A44" s="13">
        <v>33</v>
      </c>
      <c r="B44" s="14"/>
      <c r="C44" s="15" t="s">
        <v>118</v>
      </c>
      <c r="D44" s="14">
        <v>46119</v>
      </c>
      <c r="E44" s="16">
        <v>1</v>
      </c>
      <c r="F44" s="16"/>
      <c r="G44" s="17"/>
      <c r="H44" s="17"/>
      <c r="I44" s="17"/>
      <c r="J44" s="17">
        <v>250000</v>
      </c>
      <c r="K44" s="18" t="s">
        <v>47</v>
      </c>
    </row>
    <row r="45" spans="1:11" ht="19.149999999999999" customHeight="1" x14ac:dyDescent="0.25">
      <c r="A45" s="13">
        <v>34</v>
      </c>
      <c r="B45" s="14"/>
      <c r="C45" s="15" t="s">
        <v>119</v>
      </c>
      <c r="D45" s="14">
        <v>46054</v>
      </c>
      <c r="E45" s="16">
        <v>1</v>
      </c>
      <c r="F45" s="16"/>
      <c r="G45" s="17"/>
      <c r="H45" s="17"/>
      <c r="I45" s="17"/>
      <c r="J45" s="17">
        <v>250000</v>
      </c>
      <c r="K45" s="18" t="s">
        <v>49</v>
      </c>
    </row>
    <row r="46" spans="1:11" ht="19.149999999999999" customHeight="1" x14ac:dyDescent="0.25">
      <c r="A46" s="13">
        <v>35</v>
      </c>
      <c r="B46" s="14">
        <v>46031</v>
      </c>
      <c r="C46" s="15" t="s">
        <v>190</v>
      </c>
      <c r="D46" s="14">
        <v>46054</v>
      </c>
      <c r="E46" s="16"/>
      <c r="F46" s="16"/>
      <c r="G46" s="17">
        <v>100</v>
      </c>
      <c r="H46" s="17"/>
      <c r="I46" s="17"/>
      <c r="J46" s="17">
        <v>200000</v>
      </c>
      <c r="K46" s="18" t="s">
        <v>42</v>
      </c>
    </row>
    <row r="47" spans="1:11" ht="19.149999999999999" customHeight="1" x14ac:dyDescent="0.25">
      <c r="A47" s="13">
        <v>36</v>
      </c>
      <c r="B47" s="14"/>
      <c r="C47" s="15" t="s">
        <v>120</v>
      </c>
      <c r="D47" s="14">
        <v>46033</v>
      </c>
      <c r="E47" s="16">
        <v>1</v>
      </c>
      <c r="F47" s="16"/>
      <c r="G47" s="17"/>
      <c r="H47" s="17"/>
      <c r="I47" s="17"/>
      <c r="J47" s="17">
        <v>250000</v>
      </c>
      <c r="K47" s="18" t="s">
        <v>49</v>
      </c>
    </row>
    <row r="48" spans="1:11" ht="19.149999999999999" customHeight="1" x14ac:dyDescent="0.25">
      <c r="A48" s="13">
        <v>37</v>
      </c>
      <c r="B48" s="14"/>
      <c r="C48" s="15" t="s">
        <v>121</v>
      </c>
      <c r="D48" s="14">
        <v>46038</v>
      </c>
      <c r="E48" s="16">
        <v>1</v>
      </c>
      <c r="F48" s="16"/>
      <c r="G48" s="17"/>
      <c r="H48" s="17"/>
      <c r="I48" s="17"/>
      <c r="J48" s="17">
        <v>250000</v>
      </c>
      <c r="K48" s="18" t="s">
        <v>43</v>
      </c>
    </row>
    <row r="49" spans="1:11" ht="19.149999999999999" customHeight="1" x14ac:dyDescent="0.25">
      <c r="A49" s="13">
        <v>38</v>
      </c>
      <c r="B49" s="14"/>
      <c r="C49" s="15" t="s">
        <v>122</v>
      </c>
      <c r="D49" s="14">
        <v>46050</v>
      </c>
      <c r="E49" s="16">
        <v>2</v>
      </c>
      <c r="F49" s="16"/>
      <c r="G49" s="17"/>
      <c r="H49" s="17"/>
      <c r="I49" s="17"/>
      <c r="J49" s="17">
        <v>500000</v>
      </c>
      <c r="K49" s="18" t="s">
        <v>48</v>
      </c>
    </row>
    <row r="50" spans="1:11" ht="19.149999999999999" customHeight="1" x14ac:dyDescent="0.25">
      <c r="A50" s="13">
        <v>39</v>
      </c>
      <c r="B50" s="14">
        <v>46032</v>
      </c>
      <c r="C50" s="15"/>
      <c r="D50" s="14"/>
      <c r="E50" s="16"/>
      <c r="F50" s="16"/>
      <c r="G50" s="17">
        <v>50</v>
      </c>
      <c r="H50" s="17"/>
      <c r="I50" s="17"/>
      <c r="J50" s="17">
        <v>100000</v>
      </c>
      <c r="K50" s="18" t="s">
        <v>42</v>
      </c>
    </row>
    <row r="51" spans="1:11" ht="19.149999999999999" customHeight="1" x14ac:dyDescent="0.25">
      <c r="A51" s="13">
        <v>40</v>
      </c>
      <c r="B51" s="27"/>
      <c r="C51" s="21" t="s">
        <v>123</v>
      </c>
      <c r="D51" s="14">
        <v>46040</v>
      </c>
      <c r="E51" s="16"/>
      <c r="F51" s="16"/>
      <c r="G51" s="17">
        <v>50</v>
      </c>
      <c r="H51" s="17"/>
      <c r="I51" s="17"/>
      <c r="J51" s="17">
        <v>100000</v>
      </c>
      <c r="K51" s="18" t="s">
        <v>42</v>
      </c>
    </row>
    <row r="52" spans="1:11" ht="19.149999999999999" customHeight="1" x14ac:dyDescent="0.25">
      <c r="A52" s="13">
        <v>41</v>
      </c>
      <c r="B52" s="14"/>
      <c r="C52" s="15" t="s">
        <v>124</v>
      </c>
      <c r="D52" s="14">
        <v>46123</v>
      </c>
      <c r="E52" s="16">
        <v>1</v>
      </c>
      <c r="F52" s="16"/>
      <c r="G52" s="17"/>
      <c r="H52" s="17"/>
      <c r="I52" s="17"/>
      <c r="J52" s="17">
        <v>250000</v>
      </c>
      <c r="K52" s="18" t="s">
        <v>43</v>
      </c>
    </row>
    <row r="53" spans="1:11" ht="19.149999999999999" customHeight="1" x14ac:dyDescent="0.25">
      <c r="A53" s="13">
        <v>42</v>
      </c>
      <c r="B53" s="14"/>
      <c r="C53" s="15" t="s">
        <v>125</v>
      </c>
      <c r="D53" s="14">
        <v>46044</v>
      </c>
      <c r="E53" s="16">
        <v>1</v>
      </c>
      <c r="F53" s="16"/>
      <c r="G53" s="17"/>
      <c r="H53" s="17"/>
      <c r="I53" s="17"/>
      <c r="J53" s="17">
        <v>250000</v>
      </c>
      <c r="K53" s="18" t="s">
        <v>43</v>
      </c>
    </row>
    <row r="54" spans="1:11" ht="19.149999999999999" customHeight="1" x14ac:dyDescent="0.25">
      <c r="A54" s="13">
        <v>43</v>
      </c>
      <c r="B54" s="14">
        <v>46033</v>
      </c>
      <c r="C54" s="15" t="s">
        <v>126</v>
      </c>
      <c r="D54" s="14">
        <v>46035</v>
      </c>
      <c r="E54" s="16">
        <v>2</v>
      </c>
      <c r="F54" s="16"/>
      <c r="G54" s="17"/>
      <c r="H54" s="17"/>
      <c r="I54" s="17"/>
      <c r="J54" s="17">
        <v>500000</v>
      </c>
      <c r="K54" s="18" t="s">
        <v>48</v>
      </c>
    </row>
    <row r="55" spans="1:11" ht="19.149999999999999" customHeight="1" x14ac:dyDescent="0.25">
      <c r="A55" s="13">
        <v>44</v>
      </c>
      <c r="B55" s="14"/>
      <c r="C55" s="15" t="s">
        <v>126</v>
      </c>
      <c r="D55" s="14">
        <v>46035</v>
      </c>
      <c r="E55" s="16">
        <v>1</v>
      </c>
      <c r="F55" s="16"/>
      <c r="G55" s="17"/>
      <c r="H55" s="17"/>
      <c r="I55" s="17"/>
      <c r="J55" s="17">
        <v>250000</v>
      </c>
      <c r="K55" s="18" t="s">
        <v>47</v>
      </c>
    </row>
    <row r="56" spans="1:11" ht="19.149999999999999" customHeight="1" x14ac:dyDescent="0.25">
      <c r="A56" s="13">
        <v>45</v>
      </c>
      <c r="B56" s="14"/>
      <c r="C56" s="15" t="s">
        <v>127</v>
      </c>
      <c r="D56" s="14">
        <v>46039</v>
      </c>
      <c r="E56" s="16"/>
      <c r="F56" s="16"/>
      <c r="G56" s="17">
        <v>100</v>
      </c>
      <c r="H56" s="17"/>
      <c r="I56" s="17"/>
      <c r="J56" s="17">
        <v>200000</v>
      </c>
      <c r="K56" s="18" t="s">
        <v>45</v>
      </c>
    </row>
    <row r="57" spans="1:11" ht="19.149999999999999" customHeight="1" x14ac:dyDescent="0.25">
      <c r="A57" s="13">
        <v>46</v>
      </c>
      <c r="B57" s="28"/>
      <c r="C57" s="15" t="s">
        <v>128</v>
      </c>
      <c r="D57" s="14">
        <v>46038</v>
      </c>
      <c r="E57" s="16"/>
      <c r="F57" s="16"/>
      <c r="G57" s="17">
        <v>50</v>
      </c>
      <c r="H57" s="17"/>
      <c r="I57" s="17"/>
      <c r="J57" s="17">
        <v>100000</v>
      </c>
      <c r="K57" s="18" t="s">
        <v>45</v>
      </c>
    </row>
    <row r="58" spans="1:11" ht="19.149999999999999" customHeight="1" x14ac:dyDescent="0.25">
      <c r="A58" s="13">
        <v>47</v>
      </c>
      <c r="B58" s="14"/>
      <c r="C58" s="15" t="s">
        <v>129</v>
      </c>
      <c r="D58" s="14">
        <v>46033</v>
      </c>
      <c r="E58" s="16"/>
      <c r="F58" s="16"/>
      <c r="G58" s="17"/>
      <c r="H58" s="17">
        <v>1</v>
      </c>
      <c r="I58" s="17"/>
      <c r="J58" s="17">
        <v>100000</v>
      </c>
      <c r="K58" s="18"/>
    </row>
    <row r="59" spans="1:11" ht="19.149999999999999" customHeight="1" x14ac:dyDescent="0.25">
      <c r="A59" s="13">
        <v>48</v>
      </c>
      <c r="B59" s="14">
        <v>46034</v>
      </c>
      <c r="C59" s="15" t="s">
        <v>130</v>
      </c>
      <c r="D59" s="14">
        <v>46039</v>
      </c>
      <c r="E59" s="16">
        <v>1</v>
      </c>
      <c r="F59" s="16"/>
      <c r="G59" s="17"/>
      <c r="H59" s="17"/>
      <c r="I59" s="17"/>
      <c r="J59" s="17">
        <v>250000</v>
      </c>
      <c r="K59" s="18" t="s">
        <v>41</v>
      </c>
    </row>
    <row r="60" spans="1:11" ht="19.149999999999999" customHeight="1" x14ac:dyDescent="0.25">
      <c r="A60" s="13">
        <v>49</v>
      </c>
      <c r="B60" s="14">
        <v>46035</v>
      </c>
      <c r="C60" s="106" t="s">
        <v>191</v>
      </c>
      <c r="D60" s="28">
        <v>46151</v>
      </c>
      <c r="E60" s="107">
        <v>2</v>
      </c>
      <c r="F60" s="107"/>
      <c r="G60" s="108"/>
      <c r="H60" s="108"/>
      <c r="I60" s="108"/>
      <c r="J60" s="108">
        <v>500000</v>
      </c>
      <c r="K60" s="109" t="s">
        <v>189</v>
      </c>
    </row>
    <row r="61" spans="1:11" ht="19.149999999999999" customHeight="1" x14ac:dyDescent="0.25">
      <c r="A61" s="13">
        <v>50</v>
      </c>
      <c r="B61" s="28"/>
      <c r="C61" s="15" t="s">
        <v>131</v>
      </c>
      <c r="D61" s="14">
        <v>46037</v>
      </c>
      <c r="E61" s="16">
        <v>1</v>
      </c>
      <c r="F61" s="16"/>
      <c r="G61" s="17"/>
      <c r="H61" s="17"/>
      <c r="I61" s="17"/>
      <c r="J61" s="17">
        <v>250000</v>
      </c>
      <c r="K61" s="18" t="s">
        <v>43</v>
      </c>
    </row>
    <row r="62" spans="1:11" ht="20.25" customHeight="1" x14ac:dyDescent="0.25">
      <c r="A62" s="100"/>
      <c r="B62" s="103"/>
      <c r="C62" s="152" t="s">
        <v>12</v>
      </c>
      <c r="D62" s="152"/>
      <c r="E62" s="101">
        <f>SUM(E35:E61)</f>
        <v>42</v>
      </c>
      <c r="F62" s="101">
        <f t="shared" ref="F62:J62" si="2">SUM(F35:F61)</f>
        <v>1</v>
      </c>
      <c r="G62" s="101">
        <f t="shared" si="2"/>
        <v>800</v>
      </c>
      <c r="H62" s="101">
        <f t="shared" si="2"/>
        <v>5</v>
      </c>
      <c r="I62" s="101">
        <f t="shared" si="2"/>
        <v>0</v>
      </c>
      <c r="J62" s="101">
        <f t="shared" si="2"/>
        <v>14350000</v>
      </c>
      <c r="K62" s="30"/>
    </row>
    <row r="63" spans="1:11" ht="15.75" x14ac:dyDescent="0.25">
      <c r="A63" s="50"/>
      <c r="B63" s="24"/>
      <c r="C63" s="24"/>
      <c r="D63" s="24"/>
      <c r="E63" s="24"/>
      <c r="F63" s="24"/>
      <c r="G63" s="24"/>
      <c r="H63" s="24"/>
      <c r="I63" s="24"/>
      <c r="J63" s="24"/>
      <c r="K63" s="24"/>
    </row>
    <row r="64" spans="1:11" ht="15.75" x14ac:dyDescent="0.25">
      <c r="A64" s="50"/>
      <c r="B64" s="24"/>
      <c r="C64" s="24"/>
      <c r="D64" s="24"/>
      <c r="E64" s="24"/>
      <c r="F64" s="24"/>
      <c r="G64" s="24"/>
      <c r="H64" s="24"/>
      <c r="I64" s="24"/>
      <c r="J64" s="24"/>
      <c r="K64" s="24"/>
    </row>
    <row r="65" spans="1:11" ht="30.75" customHeight="1" x14ac:dyDescent="0.25">
      <c r="A65" s="4" t="s">
        <v>1</v>
      </c>
      <c r="B65" s="5" t="s">
        <v>2</v>
      </c>
      <c r="C65" s="5" t="s">
        <v>3</v>
      </c>
      <c r="D65" s="5" t="s">
        <v>4</v>
      </c>
      <c r="E65" s="5" t="s">
        <v>5</v>
      </c>
      <c r="F65" s="5" t="s">
        <v>6</v>
      </c>
      <c r="G65" s="6" t="s">
        <v>7</v>
      </c>
      <c r="H65" s="4" t="s">
        <v>8</v>
      </c>
      <c r="I65" s="4" t="s">
        <v>9</v>
      </c>
      <c r="J65" s="4" t="s">
        <v>10</v>
      </c>
      <c r="K65" s="4" t="s">
        <v>11</v>
      </c>
    </row>
    <row r="66" spans="1:11" ht="19.149999999999999" customHeight="1" x14ac:dyDescent="0.25">
      <c r="A66" s="7"/>
      <c r="B66" s="154" t="s">
        <v>13</v>
      </c>
      <c r="C66" s="154"/>
      <c r="D66" s="154"/>
      <c r="E66" s="104">
        <f t="shared" ref="E66:J66" si="3">E62</f>
        <v>42</v>
      </c>
      <c r="F66" s="104">
        <f t="shared" si="3"/>
        <v>1</v>
      </c>
      <c r="G66" s="104">
        <f t="shared" si="3"/>
        <v>800</v>
      </c>
      <c r="H66" s="104">
        <f t="shared" si="3"/>
        <v>5</v>
      </c>
      <c r="I66" s="104">
        <f t="shared" si="3"/>
        <v>0</v>
      </c>
      <c r="J66" s="104">
        <f t="shared" si="3"/>
        <v>14350000</v>
      </c>
      <c r="K66" s="7"/>
    </row>
    <row r="67" spans="1:11" ht="19.149999999999999" customHeight="1" x14ac:dyDescent="0.25">
      <c r="A67" s="13">
        <v>51</v>
      </c>
      <c r="B67" s="14">
        <v>46035</v>
      </c>
      <c r="C67" s="15" t="s">
        <v>132</v>
      </c>
      <c r="D67" s="14">
        <v>46067</v>
      </c>
      <c r="E67" s="16">
        <v>1</v>
      </c>
      <c r="F67" s="16"/>
      <c r="G67" s="17"/>
      <c r="H67" s="17">
        <v>1</v>
      </c>
      <c r="I67" s="17"/>
      <c r="J67" s="17">
        <v>350000</v>
      </c>
      <c r="K67" s="18" t="s">
        <v>43</v>
      </c>
    </row>
    <row r="68" spans="1:11" ht="19.149999999999999" customHeight="1" x14ac:dyDescent="0.25">
      <c r="A68" s="13">
        <v>52</v>
      </c>
      <c r="B68" s="14"/>
      <c r="C68" s="15" t="s">
        <v>133</v>
      </c>
      <c r="D68" s="14">
        <v>46035</v>
      </c>
      <c r="E68" s="16">
        <v>1</v>
      </c>
      <c r="F68" s="16"/>
      <c r="G68" s="17"/>
      <c r="H68" s="17"/>
      <c r="I68" s="17"/>
      <c r="J68" s="17">
        <v>250000</v>
      </c>
      <c r="K68" s="18" t="s">
        <v>44</v>
      </c>
    </row>
    <row r="69" spans="1:11" ht="19.149999999999999" customHeight="1" x14ac:dyDescent="0.25">
      <c r="A69" s="13">
        <v>53</v>
      </c>
      <c r="B69" s="14"/>
      <c r="C69" s="15" t="s">
        <v>134</v>
      </c>
      <c r="D69" s="14">
        <v>46123</v>
      </c>
      <c r="E69" s="16">
        <v>1</v>
      </c>
      <c r="F69" s="16"/>
      <c r="G69" s="17"/>
      <c r="H69" s="17"/>
      <c r="I69" s="17"/>
      <c r="J69" s="17">
        <v>250000</v>
      </c>
      <c r="K69" s="18" t="s">
        <v>47</v>
      </c>
    </row>
    <row r="70" spans="1:11" s="105" customFormat="1" ht="19.149999999999999" customHeight="1" x14ac:dyDescent="0.25">
      <c r="A70" s="13">
        <v>54</v>
      </c>
      <c r="B70" s="14">
        <v>46036</v>
      </c>
      <c r="C70" s="15" t="s">
        <v>135</v>
      </c>
      <c r="D70" s="14">
        <v>46038</v>
      </c>
      <c r="E70" s="16">
        <v>2</v>
      </c>
      <c r="F70" s="16"/>
      <c r="G70" s="17"/>
      <c r="H70" s="17"/>
      <c r="I70" s="17"/>
      <c r="J70" s="17">
        <v>500000</v>
      </c>
      <c r="K70" s="18" t="s">
        <v>48</v>
      </c>
    </row>
    <row r="71" spans="1:11" s="105" customFormat="1" ht="19.149999999999999" customHeight="1" x14ac:dyDescent="0.25">
      <c r="A71" s="13">
        <v>55</v>
      </c>
      <c r="B71" s="14"/>
      <c r="C71" s="15" t="s">
        <v>136</v>
      </c>
      <c r="D71" s="14">
        <v>46036</v>
      </c>
      <c r="E71" s="16">
        <v>1</v>
      </c>
      <c r="F71" s="16"/>
      <c r="G71" s="17"/>
      <c r="H71" s="17"/>
      <c r="I71" s="17"/>
      <c r="J71" s="17">
        <v>250000</v>
      </c>
      <c r="K71" s="18" t="s">
        <v>44</v>
      </c>
    </row>
    <row r="72" spans="1:11" s="105" customFormat="1" ht="19.149999999999999" customHeight="1" x14ac:dyDescent="0.25">
      <c r="A72" s="13">
        <v>56</v>
      </c>
      <c r="B72" s="14"/>
      <c r="C72" s="15" t="s">
        <v>137</v>
      </c>
      <c r="D72" s="14">
        <v>46037</v>
      </c>
      <c r="E72" s="16">
        <v>1</v>
      </c>
      <c r="F72" s="16"/>
      <c r="G72" s="17"/>
      <c r="H72" s="17"/>
      <c r="I72" s="17"/>
      <c r="J72" s="17">
        <v>250000</v>
      </c>
      <c r="K72" s="18" t="s">
        <v>47</v>
      </c>
    </row>
    <row r="73" spans="1:11" s="105" customFormat="1" ht="24" customHeight="1" x14ac:dyDescent="0.25">
      <c r="A73" s="13">
        <v>57</v>
      </c>
      <c r="B73" s="14"/>
      <c r="C73" s="15" t="s">
        <v>138</v>
      </c>
      <c r="D73" s="14">
        <v>46036</v>
      </c>
      <c r="E73" s="16">
        <v>1</v>
      </c>
      <c r="F73" s="16"/>
      <c r="G73" s="17"/>
      <c r="H73" s="17"/>
      <c r="I73" s="17"/>
      <c r="J73" s="17">
        <v>250000</v>
      </c>
      <c r="K73" s="18" t="s">
        <v>49</v>
      </c>
    </row>
    <row r="74" spans="1:11" s="105" customFormat="1" ht="19.149999999999999" customHeight="1" x14ac:dyDescent="0.25">
      <c r="A74" s="13">
        <v>58</v>
      </c>
      <c r="B74" s="14"/>
      <c r="C74" s="15" t="s">
        <v>139</v>
      </c>
      <c r="D74" s="14">
        <v>46037</v>
      </c>
      <c r="E74" s="16">
        <v>1</v>
      </c>
      <c r="F74" s="16"/>
      <c r="G74" s="17"/>
      <c r="H74" s="17"/>
      <c r="I74" s="17"/>
      <c r="J74" s="17">
        <v>250000</v>
      </c>
      <c r="K74" s="18" t="s">
        <v>41</v>
      </c>
    </row>
    <row r="75" spans="1:11" ht="19.149999999999999" customHeight="1" x14ac:dyDescent="0.25">
      <c r="A75" s="13">
        <v>59</v>
      </c>
      <c r="B75" s="14">
        <v>46037</v>
      </c>
      <c r="C75" s="15" t="s">
        <v>140</v>
      </c>
      <c r="D75" s="14">
        <v>46044</v>
      </c>
      <c r="E75" s="16"/>
      <c r="F75" s="16"/>
      <c r="G75" s="17">
        <v>500</v>
      </c>
      <c r="H75" s="17"/>
      <c r="I75" s="17"/>
      <c r="J75" s="17">
        <v>1000000</v>
      </c>
      <c r="K75" s="18" t="s">
        <v>45</v>
      </c>
    </row>
    <row r="76" spans="1:11" ht="19.149999999999999" customHeight="1" x14ac:dyDescent="0.25">
      <c r="A76" s="13">
        <v>60</v>
      </c>
      <c r="B76" s="14"/>
      <c r="C76" s="15" t="s">
        <v>141</v>
      </c>
      <c r="D76" s="14">
        <v>46131</v>
      </c>
      <c r="E76" s="16">
        <v>2</v>
      </c>
      <c r="F76" s="16"/>
      <c r="G76" s="17"/>
      <c r="H76" s="17"/>
      <c r="I76" s="17"/>
      <c r="J76" s="17">
        <v>500000</v>
      </c>
      <c r="K76" s="18" t="s">
        <v>48</v>
      </c>
    </row>
    <row r="77" spans="1:11" ht="19.149999999999999" customHeight="1" x14ac:dyDescent="0.25">
      <c r="A77" s="13">
        <v>61</v>
      </c>
      <c r="B77" s="14"/>
      <c r="C77" s="15" t="s">
        <v>142</v>
      </c>
      <c r="D77" s="14">
        <v>46042</v>
      </c>
      <c r="E77" s="16">
        <v>1</v>
      </c>
      <c r="F77" s="16"/>
      <c r="G77" s="17"/>
      <c r="H77" s="17"/>
      <c r="I77" s="17"/>
      <c r="J77" s="17">
        <v>250000</v>
      </c>
      <c r="K77" s="18" t="s">
        <v>44</v>
      </c>
    </row>
    <row r="78" spans="1:11" ht="19.149999999999999" customHeight="1" x14ac:dyDescent="0.25">
      <c r="A78" s="13">
        <v>62</v>
      </c>
      <c r="B78" s="14"/>
      <c r="C78" s="15" t="s">
        <v>143</v>
      </c>
      <c r="D78" s="14">
        <v>46038</v>
      </c>
      <c r="E78" s="16">
        <v>1</v>
      </c>
      <c r="F78" s="16"/>
      <c r="G78" s="17"/>
      <c r="H78" s="17"/>
      <c r="I78" s="17"/>
      <c r="J78" s="17">
        <v>250000</v>
      </c>
      <c r="K78" s="18" t="s">
        <v>47</v>
      </c>
    </row>
    <row r="79" spans="1:11" ht="19.149999999999999" customHeight="1" x14ac:dyDescent="0.25">
      <c r="A79" s="13">
        <v>63</v>
      </c>
      <c r="B79" s="14"/>
      <c r="C79" s="15" t="s">
        <v>144</v>
      </c>
      <c r="D79" s="14">
        <v>46049</v>
      </c>
      <c r="E79" s="16">
        <v>1</v>
      </c>
      <c r="F79" s="16"/>
      <c r="G79" s="17"/>
      <c r="H79" s="17"/>
      <c r="I79" s="17"/>
      <c r="J79" s="17">
        <v>250000</v>
      </c>
      <c r="K79" s="18" t="s">
        <v>44</v>
      </c>
    </row>
    <row r="80" spans="1:11" ht="19.149999999999999" customHeight="1" x14ac:dyDescent="0.25">
      <c r="A80" s="13">
        <v>64</v>
      </c>
      <c r="B80" s="14"/>
      <c r="C80" s="15" t="s">
        <v>140</v>
      </c>
      <c r="D80" s="14">
        <v>46044</v>
      </c>
      <c r="E80" s="16">
        <v>1</v>
      </c>
      <c r="F80" s="16"/>
      <c r="G80" s="17"/>
      <c r="H80" s="17"/>
      <c r="I80" s="17"/>
      <c r="J80" s="17">
        <v>250000</v>
      </c>
      <c r="K80" s="18" t="s">
        <v>41</v>
      </c>
    </row>
    <row r="81" spans="1:11" ht="19.149999999999999" customHeight="1" x14ac:dyDescent="0.25">
      <c r="A81" s="13">
        <v>65</v>
      </c>
      <c r="B81" s="14">
        <v>46039</v>
      </c>
      <c r="C81" s="15" t="s">
        <v>145</v>
      </c>
      <c r="D81" s="14">
        <v>46047</v>
      </c>
      <c r="E81" s="16">
        <v>1</v>
      </c>
      <c r="F81" s="16"/>
      <c r="G81" s="17"/>
      <c r="H81" s="17"/>
      <c r="I81" s="17"/>
      <c r="J81" s="17">
        <v>250000</v>
      </c>
      <c r="K81" s="18" t="s">
        <v>49</v>
      </c>
    </row>
    <row r="82" spans="1:11" ht="19.149999999999999" customHeight="1" x14ac:dyDescent="0.25">
      <c r="A82" s="13">
        <v>66</v>
      </c>
      <c r="B82" s="14"/>
      <c r="C82" s="15" t="s">
        <v>146</v>
      </c>
      <c r="D82" s="14">
        <v>46039</v>
      </c>
      <c r="E82" s="16"/>
      <c r="F82" s="16"/>
      <c r="G82" s="17"/>
      <c r="H82" s="17">
        <v>1</v>
      </c>
      <c r="I82" s="17"/>
      <c r="J82" s="17">
        <v>100000</v>
      </c>
      <c r="K82" s="18" t="s">
        <v>47</v>
      </c>
    </row>
    <row r="83" spans="1:11" ht="19.149999999999999" customHeight="1" x14ac:dyDescent="0.25">
      <c r="A83" s="13">
        <v>67</v>
      </c>
      <c r="B83" s="14">
        <v>46040</v>
      </c>
      <c r="C83" s="15" t="s">
        <v>147</v>
      </c>
      <c r="D83" s="14">
        <v>46061</v>
      </c>
      <c r="E83" s="16">
        <v>2</v>
      </c>
      <c r="F83" s="16"/>
      <c r="G83" s="17"/>
      <c r="H83" s="17"/>
      <c r="I83" s="17"/>
      <c r="J83" s="17">
        <v>500000</v>
      </c>
      <c r="K83" s="18" t="s">
        <v>48</v>
      </c>
    </row>
    <row r="84" spans="1:11" ht="19.149999999999999" customHeight="1" x14ac:dyDescent="0.25">
      <c r="A84" s="13">
        <v>68</v>
      </c>
      <c r="B84" s="14">
        <v>46041</v>
      </c>
      <c r="C84" s="15" t="s">
        <v>148</v>
      </c>
      <c r="D84" s="14">
        <v>46140</v>
      </c>
      <c r="E84" s="16">
        <v>1</v>
      </c>
      <c r="F84" s="16"/>
      <c r="G84" s="17"/>
      <c r="H84" s="17"/>
      <c r="I84" s="17"/>
      <c r="J84" s="17">
        <v>250000</v>
      </c>
      <c r="K84" s="18" t="s">
        <v>44</v>
      </c>
    </row>
    <row r="85" spans="1:11" ht="19.149999999999999" customHeight="1" x14ac:dyDescent="0.25">
      <c r="A85" s="13">
        <v>69</v>
      </c>
      <c r="B85" s="14"/>
      <c r="C85" s="21" t="s">
        <v>149</v>
      </c>
      <c r="D85" s="14">
        <v>46131</v>
      </c>
      <c r="E85" s="16">
        <v>1</v>
      </c>
      <c r="F85" s="16"/>
      <c r="G85" s="17"/>
      <c r="H85" s="17"/>
      <c r="I85" s="17"/>
      <c r="J85" s="17">
        <v>250000</v>
      </c>
      <c r="K85" s="18" t="s">
        <v>47</v>
      </c>
    </row>
    <row r="86" spans="1:11" ht="19.149999999999999" customHeight="1" x14ac:dyDescent="0.25">
      <c r="A86" s="13">
        <v>70</v>
      </c>
      <c r="B86" s="14"/>
      <c r="C86" s="15" t="s">
        <v>150</v>
      </c>
      <c r="D86" s="14">
        <v>46124</v>
      </c>
      <c r="E86" s="16">
        <v>1</v>
      </c>
      <c r="F86" s="16"/>
      <c r="G86" s="17"/>
      <c r="H86" s="17">
        <v>1</v>
      </c>
      <c r="I86" s="17"/>
      <c r="J86" s="17">
        <v>350000</v>
      </c>
      <c r="K86" s="18" t="s">
        <v>49</v>
      </c>
    </row>
    <row r="87" spans="1:11" ht="19.149999999999999" customHeight="1" x14ac:dyDescent="0.25">
      <c r="A87" s="13">
        <v>71</v>
      </c>
      <c r="B87" s="14"/>
      <c r="C87" s="15" t="s">
        <v>151</v>
      </c>
      <c r="D87" s="14">
        <v>46123</v>
      </c>
      <c r="E87" s="16">
        <v>1</v>
      </c>
      <c r="F87" s="16"/>
      <c r="G87" s="17"/>
      <c r="H87" s="17"/>
      <c r="I87" s="17"/>
      <c r="J87" s="17">
        <v>250000</v>
      </c>
      <c r="K87" s="18" t="s">
        <v>41</v>
      </c>
    </row>
    <row r="88" spans="1:11" ht="19.149999999999999" customHeight="1" x14ac:dyDescent="0.25">
      <c r="A88" s="13">
        <v>72</v>
      </c>
      <c r="B88" s="14"/>
      <c r="C88" s="15" t="s">
        <v>140</v>
      </c>
      <c r="D88" s="14">
        <v>46044</v>
      </c>
      <c r="E88" s="16"/>
      <c r="F88" s="16"/>
      <c r="G88" s="17">
        <v>500</v>
      </c>
      <c r="H88" s="17"/>
      <c r="I88" s="17"/>
      <c r="J88" s="17">
        <v>1000000</v>
      </c>
      <c r="K88" s="18" t="s">
        <v>152</v>
      </c>
    </row>
    <row r="89" spans="1:11" ht="19.149999999999999" customHeight="1" x14ac:dyDescent="0.25">
      <c r="A89" s="13">
        <v>73</v>
      </c>
      <c r="B89" s="102">
        <v>46042</v>
      </c>
      <c r="C89" s="15" t="s">
        <v>153</v>
      </c>
      <c r="D89" s="14">
        <v>46054</v>
      </c>
      <c r="E89" s="16"/>
      <c r="F89" s="16"/>
      <c r="G89" s="17">
        <v>50</v>
      </c>
      <c r="H89" s="17"/>
      <c r="I89" s="17"/>
      <c r="J89" s="17">
        <v>100000</v>
      </c>
      <c r="K89" s="18" t="s">
        <v>42</v>
      </c>
    </row>
    <row r="90" spans="1:11" ht="19.149999999999999" customHeight="1" x14ac:dyDescent="0.25">
      <c r="A90" s="13">
        <v>74</v>
      </c>
      <c r="B90" s="102"/>
      <c r="C90" s="15" t="s">
        <v>154</v>
      </c>
      <c r="D90" s="14">
        <v>46047</v>
      </c>
      <c r="E90" s="16"/>
      <c r="F90" s="16"/>
      <c r="G90" s="17">
        <v>200</v>
      </c>
      <c r="H90" s="17"/>
      <c r="I90" s="17"/>
      <c r="J90" s="17">
        <v>400000</v>
      </c>
      <c r="K90" s="18" t="s">
        <v>46</v>
      </c>
    </row>
    <row r="91" spans="1:11" ht="19.149999999999999" customHeight="1" x14ac:dyDescent="0.25">
      <c r="A91" s="13">
        <v>75</v>
      </c>
      <c r="B91" s="14"/>
      <c r="C91" s="15" t="s">
        <v>155</v>
      </c>
      <c r="D91" s="14">
        <v>46047</v>
      </c>
      <c r="E91" s="16"/>
      <c r="F91" s="16"/>
      <c r="G91" s="17">
        <v>50</v>
      </c>
      <c r="H91" s="17"/>
      <c r="I91" s="17"/>
      <c r="J91" s="17">
        <v>100000</v>
      </c>
      <c r="K91" s="18" t="s">
        <v>42</v>
      </c>
    </row>
    <row r="92" spans="1:11" ht="19.149999999999999" customHeight="1" x14ac:dyDescent="0.25">
      <c r="A92" s="13">
        <v>76</v>
      </c>
      <c r="B92" s="46"/>
      <c r="C92" s="15" t="s">
        <v>156</v>
      </c>
      <c r="D92" s="14">
        <v>46054</v>
      </c>
      <c r="E92" s="16"/>
      <c r="F92" s="16"/>
      <c r="G92" s="17">
        <v>100</v>
      </c>
      <c r="H92" s="17"/>
      <c r="I92" s="17"/>
      <c r="J92" s="17">
        <v>200000</v>
      </c>
      <c r="K92" s="18" t="s">
        <v>157</v>
      </c>
    </row>
    <row r="93" spans="1:11" ht="20.25" customHeight="1" x14ac:dyDescent="0.25">
      <c r="A93" s="4"/>
      <c r="B93" s="30"/>
      <c r="C93" s="152" t="s">
        <v>12</v>
      </c>
      <c r="D93" s="152"/>
      <c r="E93" s="101">
        <f>SUM(E66:E92)</f>
        <v>64</v>
      </c>
      <c r="F93" s="101">
        <f t="shared" ref="F93:J93" si="4">SUM(F66:F92)</f>
        <v>1</v>
      </c>
      <c r="G93" s="101">
        <f t="shared" si="4"/>
        <v>2200</v>
      </c>
      <c r="H93" s="101">
        <f t="shared" si="4"/>
        <v>8</v>
      </c>
      <c r="I93" s="101">
        <f t="shared" si="4"/>
        <v>0</v>
      </c>
      <c r="J93" s="101">
        <f t="shared" si="4"/>
        <v>22950000</v>
      </c>
      <c r="K93" s="30"/>
    </row>
    <row r="94" spans="1:11" ht="15.75" x14ac:dyDescent="0.25">
      <c r="A94" s="50"/>
      <c r="B94" s="24"/>
      <c r="C94" s="24"/>
      <c r="D94" s="24"/>
      <c r="E94" s="24"/>
      <c r="F94" s="24"/>
      <c r="G94" s="24"/>
      <c r="H94" s="24"/>
      <c r="I94" s="24"/>
      <c r="J94" s="24"/>
      <c r="K94" s="24"/>
    </row>
    <row r="95" spans="1:11" ht="15.75" x14ac:dyDescent="0.25">
      <c r="A95" s="50"/>
      <c r="B95" s="24"/>
      <c r="C95" s="24"/>
      <c r="D95" s="24"/>
      <c r="E95" s="24"/>
      <c r="F95" s="24"/>
      <c r="G95" s="24"/>
      <c r="H95" s="24"/>
      <c r="I95" s="24"/>
      <c r="J95" s="24"/>
      <c r="K95" s="24"/>
    </row>
    <row r="96" spans="1:11" ht="30.75" customHeight="1" x14ac:dyDescent="0.25">
      <c r="A96" s="4" t="s">
        <v>1</v>
      </c>
      <c r="B96" s="5" t="s">
        <v>2</v>
      </c>
      <c r="C96" s="5" t="s">
        <v>3</v>
      </c>
      <c r="D96" s="5" t="s">
        <v>4</v>
      </c>
      <c r="E96" s="5" t="s">
        <v>5</v>
      </c>
      <c r="F96" s="5" t="s">
        <v>6</v>
      </c>
      <c r="G96" s="6" t="s">
        <v>7</v>
      </c>
      <c r="H96" s="4" t="s">
        <v>8</v>
      </c>
      <c r="I96" s="4" t="s">
        <v>9</v>
      </c>
      <c r="J96" s="4" t="s">
        <v>10</v>
      </c>
      <c r="K96" s="4" t="s">
        <v>11</v>
      </c>
    </row>
    <row r="97" spans="1:11" ht="19.149999999999999" customHeight="1" x14ac:dyDescent="0.25">
      <c r="A97" s="51"/>
      <c r="B97" s="154" t="s">
        <v>13</v>
      </c>
      <c r="C97" s="154"/>
      <c r="D97" s="154"/>
      <c r="E97" s="104">
        <f t="shared" ref="E97:J97" si="5">E93</f>
        <v>64</v>
      </c>
      <c r="F97" s="104">
        <f t="shared" si="5"/>
        <v>1</v>
      </c>
      <c r="G97" s="104">
        <f t="shared" si="5"/>
        <v>2200</v>
      </c>
      <c r="H97" s="104">
        <f t="shared" si="5"/>
        <v>8</v>
      </c>
      <c r="I97" s="104">
        <f t="shared" si="5"/>
        <v>0</v>
      </c>
      <c r="J97" s="104">
        <f t="shared" si="5"/>
        <v>22950000</v>
      </c>
      <c r="K97" s="25"/>
    </row>
    <row r="98" spans="1:11" ht="19.149999999999999" customHeight="1" x14ac:dyDescent="0.25">
      <c r="A98" s="33">
        <v>77</v>
      </c>
      <c r="B98" s="102">
        <v>46042</v>
      </c>
      <c r="C98" s="15" t="s">
        <v>140</v>
      </c>
      <c r="D98" s="14">
        <v>46044</v>
      </c>
      <c r="E98" s="16"/>
      <c r="F98" s="16"/>
      <c r="G98" s="17">
        <v>200</v>
      </c>
      <c r="H98" s="17"/>
      <c r="I98" s="17"/>
      <c r="J98" s="17">
        <v>400000</v>
      </c>
      <c r="K98" s="18" t="s">
        <v>158</v>
      </c>
    </row>
    <row r="99" spans="1:11" ht="19.149999999999999" customHeight="1" x14ac:dyDescent="0.25">
      <c r="A99" s="33">
        <v>78</v>
      </c>
      <c r="B99" s="14"/>
      <c r="C99" s="15" t="s">
        <v>159</v>
      </c>
      <c r="D99" s="14">
        <v>46074</v>
      </c>
      <c r="E99" s="16">
        <v>2</v>
      </c>
      <c r="F99" s="16"/>
      <c r="G99" s="17"/>
      <c r="H99" s="17"/>
      <c r="I99" s="17"/>
      <c r="J99" s="17">
        <v>500000</v>
      </c>
      <c r="K99" s="18" t="s">
        <v>48</v>
      </c>
    </row>
    <row r="100" spans="1:11" ht="19.149999999999999" customHeight="1" x14ac:dyDescent="0.25">
      <c r="A100" s="33">
        <v>79</v>
      </c>
      <c r="B100" s="14"/>
      <c r="C100" s="15"/>
      <c r="D100" s="14"/>
      <c r="E100" s="16">
        <v>1</v>
      </c>
      <c r="F100" s="16"/>
      <c r="G100" s="17"/>
      <c r="H100" s="17"/>
      <c r="I100" s="17"/>
      <c r="J100" s="17">
        <v>250000</v>
      </c>
      <c r="K100" s="18"/>
    </row>
    <row r="101" spans="1:11" ht="19.149999999999999" customHeight="1" x14ac:dyDescent="0.25">
      <c r="A101" s="33">
        <v>80</v>
      </c>
      <c r="B101" s="14">
        <v>46043</v>
      </c>
      <c r="C101" s="15" t="s">
        <v>160</v>
      </c>
      <c r="D101" s="14">
        <v>46138</v>
      </c>
      <c r="E101" s="16">
        <v>2</v>
      </c>
      <c r="F101" s="16"/>
      <c r="G101" s="17"/>
      <c r="H101" s="17"/>
      <c r="I101" s="17"/>
      <c r="J101" s="17">
        <v>500000</v>
      </c>
      <c r="K101" s="18" t="s">
        <v>48</v>
      </c>
    </row>
    <row r="102" spans="1:11" ht="19.149999999999999" customHeight="1" x14ac:dyDescent="0.25">
      <c r="A102" s="33">
        <v>81</v>
      </c>
      <c r="B102" s="14"/>
      <c r="C102" s="15" t="s">
        <v>161</v>
      </c>
      <c r="D102" s="14">
        <v>46056</v>
      </c>
      <c r="E102" s="16">
        <v>1</v>
      </c>
      <c r="F102" s="16"/>
      <c r="G102" s="17"/>
      <c r="H102" s="17"/>
      <c r="I102" s="17"/>
      <c r="J102" s="17">
        <v>250000</v>
      </c>
      <c r="K102" s="18" t="s">
        <v>41</v>
      </c>
    </row>
    <row r="103" spans="1:11" ht="19.149999999999999" customHeight="1" x14ac:dyDescent="0.25">
      <c r="A103" s="33">
        <v>82</v>
      </c>
      <c r="B103" s="14"/>
      <c r="C103" s="21" t="s">
        <v>162</v>
      </c>
      <c r="D103" s="14">
        <v>46043</v>
      </c>
      <c r="E103" s="16">
        <v>1</v>
      </c>
      <c r="F103" s="16"/>
      <c r="G103" s="17"/>
      <c r="H103" s="17"/>
      <c r="I103" s="17"/>
      <c r="J103" s="17">
        <v>250000</v>
      </c>
      <c r="K103" s="18" t="s">
        <v>41</v>
      </c>
    </row>
    <row r="104" spans="1:11" ht="19.149999999999999" customHeight="1" x14ac:dyDescent="0.25">
      <c r="A104" s="33">
        <v>83</v>
      </c>
      <c r="B104" s="14"/>
      <c r="C104" s="15" t="s">
        <v>163</v>
      </c>
      <c r="D104" s="14">
        <v>46047</v>
      </c>
      <c r="E104" s="16"/>
      <c r="F104" s="16"/>
      <c r="G104" s="17">
        <v>50</v>
      </c>
      <c r="H104" s="17"/>
      <c r="I104" s="17"/>
      <c r="J104" s="17">
        <v>100000</v>
      </c>
      <c r="K104" s="18" t="s">
        <v>164</v>
      </c>
    </row>
    <row r="105" spans="1:11" ht="19.149999999999999" customHeight="1" x14ac:dyDescent="0.25">
      <c r="A105" s="33">
        <v>84</v>
      </c>
      <c r="B105" s="14"/>
      <c r="C105" s="15" t="s">
        <v>192</v>
      </c>
      <c r="D105" s="14">
        <v>46058</v>
      </c>
      <c r="E105" s="16">
        <v>1</v>
      </c>
      <c r="F105" s="16"/>
      <c r="G105" s="17"/>
      <c r="H105" s="17"/>
      <c r="I105" s="17"/>
      <c r="J105" s="17">
        <v>250000</v>
      </c>
      <c r="K105" s="18" t="s">
        <v>41</v>
      </c>
    </row>
    <row r="106" spans="1:11" ht="19.149999999999999" customHeight="1" x14ac:dyDescent="0.25">
      <c r="A106" s="33">
        <v>85</v>
      </c>
      <c r="B106" s="14">
        <v>46044</v>
      </c>
      <c r="C106" s="15" t="s">
        <v>243</v>
      </c>
      <c r="D106" s="14">
        <v>46044</v>
      </c>
      <c r="E106" s="16"/>
      <c r="F106" s="16"/>
      <c r="G106" s="17">
        <v>50</v>
      </c>
      <c r="H106" s="17"/>
      <c r="I106" s="17"/>
      <c r="J106" s="17">
        <v>100000</v>
      </c>
      <c r="K106" s="18" t="s">
        <v>42</v>
      </c>
    </row>
    <row r="107" spans="1:11" ht="19.149999999999999" customHeight="1" x14ac:dyDescent="0.25">
      <c r="A107" s="33">
        <v>86</v>
      </c>
      <c r="B107" s="14"/>
      <c r="C107" s="15" t="s">
        <v>165</v>
      </c>
      <c r="D107" s="14">
        <v>46056</v>
      </c>
      <c r="E107" s="16">
        <v>1</v>
      </c>
      <c r="F107" s="16"/>
      <c r="G107" s="17"/>
      <c r="H107" s="17"/>
      <c r="I107" s="17"/>
      <c r="J107" s="17">
        <v>250000</v>
      </c>
      <c r="K107" s="18" t="s">
        <v>47</v>
      </c>
    </row>
    <row r="108" spans="1:11" ht="19.149999999999999" customHeight="1" x14ac:dyDescent="0.25">
      <c r="A108" s="33">
        <v>87</v>
      </c>
      <c r="B108" s="14"/>
      <c r="C108" s="15" t="s">
        <v>166</v>
      </c>
      <c r="D108" s="14">
        <v>46061</v>
      </c>
      <c r="E108" s="16"/>
      <c r="F108" s="16"/>
      <c r="G108" s="17">
        <v>200</v>
      </c>
      <c r="H108" s="17"/>
      <c r="I108" s="17"/>
      <c r="J108" s="17">
        <v>400000</v>
      </c>
      <c r="K108" s="18" t="s">
        <v>164</v>
      </c>
    </row>
    <row r="109" spans="1:11" ht="19.149999999999999" customHeight="1" x14ac:dyDescent="0.25">
      <c r="A109" s="33">
        <v>88</v>
      </c>
      <c r="B109" s="14"/>
      <c r="C109" s="15" t="s">
        <v>167</v>
      </c>
      <c r="D109" s="14">
        <v>46057</v>
      </c>
      <c r="E109" s="16">
        <v>1</v>
      </c>
      <c r="F109" s="16"/>
      <c r="G109" s="17"/>
      <c r="H109" s="17"/>
      <c r="I109" s="17"/>
      <c r="J109" s="17">
        <v>250000</v>
      </c>
      <c r="K109" s="18" t="s">
        <v>47</v>
      </c>
    </row>
    <row r="110" spans="1:11" ht="19.149999999999999" customHeight="1" x14ac:dyDescent="0.25">
      <c r="A110" s="33">
        <v>89</v>
      </c>
      <c r="B110" s="14"/>
      <c r="C110" s="15" t="s">
        <v>168</v>
      </c>
      <c r="D110" s="14">
        <v>46047</v>
      </c>
      <c r="E110" s="16">
        <v>1</v>
      </c>
      <c r="F110" s="16"/>
      <c r="G110" s="17"/>
      <c r="H110" s="17"/>
      <c r="I110" s="17"/>
      <c r="J110" s="17">
        <v>250000</v>
      </c>
      <c r="K110" s="18" t="s">
        <v>44</v>
      </c>
    </row>
    <row r="111" spans="1:11" ht="19.149999999999999" customHeight="1" x14ac:dyDescent="0.25">
      <c r="A111" s="33">
        <v>90</v>
      </c>
      <c r="B111" s="14"/>
      <c r="C111" s="15" t="s">
        <v>169</v>
      </c>
      <c r="D111" s="14">
        <v>46058</v>
      </c>
      <c r="E111" s="16">
        <v>1</v>
      </c>
      <c r="F111" s="16"/>
      <c r="G111" s="17"/>
      <c r="H111" s="17"/>
      <c r="I111" s="17"/>
      <c r="J111" s="17">
        <v>250000</v>
      </c>
      <c r="K111" s="18" t="s">
        <v>43</v>
      </c>
    </row>
    <row r="112" spans="1:11" ht="19.149999999999999" customHeight="1" x14ac:dyDescent="0.25">
      <c r="A112" s="33">
        <v>91</v>
      </c>
      <c r="B112" s="14"/>
      <c r="C112" s="15" t="s">
        <v>169</v>
      </c>
      <c r="D112" s="14">
        <v>46058</v>
      </c>
      <c r="E112" s="16">
        <v>1</v>
      </c>
      <c r="F112" s="16"/>
      <c r="G112" s="17"/>
      <c r="H112" s="17"/>
      <c r="I112" s="17"/>
      <c r="J112" s="17">
        <v>250000</v>
      </c>
      <c r="K112" s="18" t="s">
        <v>44</v>
      </c>
    </row>
    <row r="113" spans="1:11" ht="19.149999999999999" customHeight="1" x14ac:dyDescent="0.25">
      <c r="A113" s="33">
        <v>92</v>
      </c>
      <c r="B113" s="14"/>
      <c r="C113" s="15" t="s">
        <v>170</v>
      </c>
      <c r="D113" s="14">
        <v>46057</v>
      </c>
      <c r="E113" s="16">
        <v>1</v>
      </c>
      <c r="F113" s="16"/>
      <c r="G113" s="17"/>
      <c r="H113" s="17"/>
      <c r="I113" s="17"/>
      <c r="J113" s="17">
        <v>250000</v>
      </c>
      <c r="K113" s="18" t="s">
        <v>41</v>
      </c>
    </row>
    <row r="114" spans="1:11" ht="19.149999999999999" customHeight="1" x14ac:dyDescent="0.25">
      <c r="A114" s="33">
        <v>93</v>
      </c>
      <c r="B114" s="14">
        <v>46045</v>
      </c>
      <c r="C114" s="15" t="s">
        <v>154</v>
      </c>
      <c r="D114" s="14">
        <v>46047</v>
      </c>
      <c r="E114" s="16"/>
      <c r="F114" s="16">
        <v>1</v>
      </c>
      <c r="G114" s="17">
        <v>300</v>
      </c>
      <c r="H114" s="17"/>
      <c r="I114" s="17"/>
      <c r="J114" s="17">
        <f>750000+600000</f>
        <v>1350000</v>
      </c>
      <c r="K114" s="18" t="s">
        <v>99</v>
      </c>
    </row>
    <row r="115" spans="1:11" ht="19.149999999999999" customHeight="1" x14ac:dyDescent="0.25">
      <c r="A115" s="33">
        <v>94</v>
      </c>
      <c r="B115" s="14"/>
      <c r="C115" s="15" t="s">
        <v>171</v>
      </c>
      <c r="D115" s="14">
        <v>46047</v>
      </c>
      <c r="E115" s="16"/>
      <c r="F115" s="16"/>
      <c r="G115" s="17">
        <v>50</v>
      </c>
      <c r="H115" s="17"/>
      <c r="I115" s="17"/>
      <c r="J115" s="17">
        <v>100000</v>
      </c>
      <c r="K115" s="18" t="s">
        <v>164</v>
      </c>
    </row>
    <row r="116" spans="1:11" ht="19.149999999999999" customHeight="1" x14ac:dyDescent="0.25">
      <c r="A116" s="33">
        <v>95</v>
      </c>
      <c r="B116" s="14">
        <v>46046</v>
      </c>
      <c r="C116" s="15"/>
      <c r="D116" s="14"/>
      <c r="E116" s="16"/>
      <c r="F116" s="16"/>
      <c r="G116" s="17">
        <v>50</v>
      </c>
      <c r="H116" s="17"/>
      <c r="I116" s="17"/>
      <c r="J116" s="17">
        <v>100000</v>
      </c>
      <c r="K116" s="18"/>
    </row>
    <row r="117" spans="1:11" ht="19.149999999999999" customHeight="1" x14ac:dyDescent="0.25">
      <c r="A117" s="33">
        <v>96</v>
      </c>
      <c r="B117" s="14"/>
      <c r="C117" s="15" t="s">
        <v>172</v>
      </c>
      <c r="D117" s="14">
        <v>46068</v>
      </c>
      <c r="E117" s="16">
        <v>1</v>
      </c>
      <c r="F117" s="16"/>
      <c r="G117" s="17"/>
      <c r="H117" s="17"/>
      <c r="I117" s="17"/>
      <c r="J117" s="17">
        <v>250000</v>
      </c>
      <c r="K117" s="18" t="s">
        <v>44</v>
      </c>
    </row>
    <row r="118" spans="1:11" ht="19.149999999999999" customHeight="1" x14ac:dyDescent="0.25">
      <c r="A118" s="33">
        <v>97</v>
      </c>
      <c r="B118" s="14"/>
      <c r="C118" s="15" t="s">
        <v>173</v>
      </c>
      <c r="D118" s="14">
        <v>46068</v>
      </c>
      <c r="E118" s="16">
        <v>1</v>
      </c>
      <c r="F118" s="16"/>
      <c r="G118" s="17"/>
      <c r="H118" s="17"/>
      <c r="I118" s="17"/>
      <c r="J118" s="17">
        <v>250000</v>
      </c>
      <c r="K118" s="18" t="s">
        <v>47</v>
      </c>
    </row>
    <row r="119" spans="1:11" ht="19.149999999999999" customHeight="1" x14ac:dyDescent="0.25">
      <c r="A119" s="33">
        <v>98</v>
      </c>
      <c r="B119" s="35"/>
      <c r="C119" s="15" t="s">
        <v>173</v>
      </c>
      <c r="D119" s="14">
        <v>46068</v>
      </c>
      <c r="E119" s="16">
        <v>2</v>
      </c>
      <c r="F119" s="16"/>
      <c r="G119" s="17"/>
      <c r="H119" s="17"/>
      <c r="I119" s="17"/>
      <c r="J119" s="17">
        <v>500000</v>
      </c>
      <c r="K119" s="18" t="s">
        <v>48</v>
      </c>
    </row>
    <row r="120" spans="1:11" ht="19.149999999999999" customHeight="1" x14ac:dyDescent="0.25">
      <c r="A120" s="33">
        <v>99</v>
      </c>
      <c r="B120" s="14">
        <v>46048</v>
      </c>
      <c r="C120" s="15" t="s">
        <v>174</v>
      </c>
      <c r="D120" s="14">
        <v>46053</v>
      </c>
      <c r="E120" s="16">
        <v>1</v>
      </c>
      <c r="F120" s="16"/>
      <c r="G120" s="17"/>
      <c r="H120" s="17"/>
      <c r="I120" s="17"/>
      <c r="J120" s="17">
        <v>250000</v>
      </c>
      <c r="K120" s="18" t="s">
        <v>43</v>
      </c>
    </row>
    <row r="121" spans="1:11" ht="19.149999999999999" customHeight="1" x14ac:dyDescent="0.25">
      <c r="A121" s="33">
        <v>100</v>
      </c>
      <c r="B121" s="46"/>
      <c r="C121" s="27" t="s">
        <v>175</v>
      </c>
      <c r="D121" s="14">
        <v>46050</v>
      </c>
      <c r="E121" s="27">
        <v>1</v>
      </c>
      <c r="F121" s="27"/>
      <c r="G121" s="27"/>
      <c r="H121" s="27"/>
      <c r="I121" s="27"/>
      <c r="J121" s="29">
        <v>250000</v>
      </c>
      <c r="K121" s="18" t="s">
        <v>47</v>
      </c>
    </row>
    <row r="122" spans="1:11" ht="19.149999999999999" customHeight="1" x14ac:dyDescent="0.25">
      <c r="A122" s="33">
        <v>101</v>
      </c>
      <c r="B122" s="46"/>
      <c r="C122" s="27" t="s">
        <v>176</v>
      </c>
      <c r="D122" s="14">
        <v>46048</v>
      </c>
      <c r="E122" s="27">
        <v>1</v>
      </c>
      <c r="F122" s="27"/>
      <c r="G122" s="27"/>
      <c r="H122" s="27"/>
      <c r="I122" s="27"/>
      <c r="J122" s="29">
        <v>250000</v>
      </c>
      <c r="K122" s="18" t="s">
        <v>47</v>
      </c>
    </row>
    <row r="123" spans="1:11" ht="20.25" customHeight="1" x14ac:dyDescent="0.25">
      <c r="A123" s="4"/>
      <c r="B123" s="30"/>
      <c r="C123" s="152" t="s">
        <v>12</v>
      </c>
      <c r="D123" s="152"/>
      <c r="E123" s="101">
        <f>SUM(E97:E122)</f>
        <v>85</v>
      </c>
      <c r="F123" s="101">
        <f t="shared" ref="F123:J123" si="6">SUM(F97:F122)</f>
        <v>2</v>
      </c>
      <c r="G123" s="101">
        <f t="shared" si="6"/>
        <v>3100</v>
      </c>
      <c r="H123" s="101">
        <f t="shared" si="6"/>
        <v>8</v>
      </c>
      <c r="I123" s="101">
        <f t="shared" si="6"/>
        <v>0</v>
      </c>
      <c r="J123" s="101">
        <f t="shared" si="6"/>
        <v>30750000</v>
      </c>
      <c r="K123" s="30"/>
    </row>
    <row r="124" spans="1:11" ht="15.75" x14ac:dyDescent="0.25">
      <c r="A124" s="50"/>
      <c r="B124" s="24"/>
      <c r="C124" s="24"/>
      <c r="D124" s="24"/>
      <c r="E124" s="24"/>
      <c r="F124" s="24"/>
      <c r="G124" s="24"/>
      <c r="H124" s="24"/>
      <c r="I124" s="24"/>
      <c r="J124" s="24"/>
      <c r="K124" s="24"/>
    </row>
    <row r="125" spans="1:11" ht="15.75" x14ac:dyDescent="0.25">
      <c r="A125" s="50"/>
      <c r="B125" s="24"/>
      <c r="C125" s="24"/>
      <c r="D125" s="24"/>
      <c r="E125" s="24"/>
      <c r="F125" s="24"/>
      <c r="G125" s="24"/>
      <c r="H125" s="24"/>
      <c r="I125" s="24"/>
      <c r="J125" s="24"/>
      <c r="K125" s="24"/>
    </row>
    <row r="126" spans="1:11" ht="15.75" x14ac:dyDescent="0.25">
      <c r="A126" s="50"/>
      <c r="B126" s="24"/>
      <c r="C126" s="24"/>
      <c r="D126" s="24"/>
      <c r="E126" s="24"/>
      <c r="F126" s="24"/>
      <c r="G126" s="24"/>
      <c r="H126" s="24"/>
      <c r="I126" s="24"/>
      <c r="J126" s="24"/>
      <c r="K126" s="24"/>
    </row>
    <row r="127" spans="1:11" ht="15.75" x14ac:dyDescent="0.25">
      <c r="A127" s="50"/>
      <c r="B127" s="24"/>
      <c r="C127" s="24"/>
      <c r="D127" s="24"/>
      <c r="E127" s="24"/>
      <c r="F127" s="24"/>
      <c r="G127" s="24"/>
      <c r="H127" s="24"/>
      <c r="I127" s="24"/>
      <c r="J127" s="24"/>
      <c r="K127" s="24"/>
    </row>
    <row r="128" spans="1:11" ht="30.75" customHeight="1" x14ac:dyDescent="0.25">
      <c r="A128" s="4" t="s">
        <v>1</v>
      </c>
      <c r="B128" s="5" t="s">
        <v>2</v>
      </c>
      <c r="C128" s="5" t="s">
        <v>3</v>
      </c>
      <c r="D128" s="5" t="s">
        <v>4</v>
      </c>
      <c r="E128" s="5" t="s">
        <v>5</v>
      </c>
      <c r="F128" s="5" t="s">
        <v>6</v>
      </c>
      <c r="G128" s="6" t="s">
        <v>7</v>
      </c>
      <c r="H128" s="4" t="s">
        <v>8</v>
      </c>
      <c r="I128" s="4" t="s">
        <v>9</v>
      </c>
      <c r="J128" s="4" t="s">
        <v>10</v>
      </c>
      <c r="K128" s="4" t="s">
        <v>11</v>
      </c>
    </row>
    <row r="129" spans="1:11" ht="19.149999999999999" customHeight="1" x14ac:dyDescent="0.25">
      <c r="A129" s="51"/>
      <c r="B129" s="154" t="s">
        <v>13</v>
      </c>
      <c r="C129" s="154"/>
      <c r="D129" s="154"/>
      <c r="E129" s="104">
        <f t="shared" ref="E129:J129" si="7">E123</f>
        <v>85</v>
      </c>
      <c r="F129" s="104">
        <f t="shared" si="7"/>
        <v>2</v>
      </c>
      <c r="G129" s="104">
        <f t="shared" si="7"/>
        <v>3100</v>
      </c>
      <c r="H129" s="104">
        <f t="shared" si="7"/>
        <v>8</v>
      </c>
      <c r="I129" s="104">
        <f t="shared" si="7"/>
        <v>0</v>
      </c>
      <c r="J129" s="104">
        <f t="shared" si="7"/>
        <v>30750000</v>
      </c>
      <c r="K129" s="7"/>
    </row>
    <row r="130" spans="1:11" ht="19.149999999999999" customHeight="1" x14ac:dyDescent="0.25">
      <c r="A130" s="33">
        <v>102</v>
      </c>
      <c r="B130" s="14">
        <v>46049</v>
      </c>
      <c r="C130" s="31" t="s">
        <v>155</v>
      </c>
      <c r="D130" s="14">
        <v>46054</v>
      </c>
      <c r="E130" s="31">
        <v>1</v>
      </c>
      <c r="F130" s="31"/>
      <c r="G130" s="31"/>
      <c r="H130" s="31"/>
      <c r="I130" s="31"/>
      <c r="J130" s="32">
        <v>250000</v>
      </c>
      <c r="K130" s="18" t="s">
        <v>44</v>
      </c>
    </row>
    <row r="131" spans="1:11" ht="19.149999999999999" customHeight="1" x14ac:dyDescent="0.25">
      <c r="A131" s="33">
        <v>103</v>
      </c>
      <c r="B131" s="14"/>
      <c r="C131" s="15" t="s">
        <v>177</v>
      </c>
      <c r="D131" s="14">
        <v>46065</v>
      </c>
      <c r="E131" s="16">
        <v>1</v>
      </c>
      <c r="F131" s="16"/>
      <c r="G131" s="34"/>
      <c r="H131" s="17"/>
      <c r="I131" s="17"/>
      <c r="J131" s="17">
        <v>250000</v>
      </c>
      <c r="K131" s="18" t="s">
        <v>44</v>
      </c>
    </row>
    <row r="132" spans="1:11" ht="19.149999999999999" customHeight="1" x14ac:dyDescent="0.25">
      <c r="A132" s="33">
        <v>104</v>
      </c>
      <c r="B132" s="14">
        <v>46050</v>
      </c>
      <c r="C132" s="15" t="s">
        <v>178</v>
      </c>
      <c r="D132" s="14">
        <v>46050</v>
      </c>
      <c r="E132" s="16">
        <v>1</v>
      </c>
      <c r="F132" s="16"/>
      <c r="G132" s="34"/>
      <c r="H132" s="17"/>
      <c r="I132" s="17"/>
      <c r="J132" s="17">
        <v>250000</v>
      </c>
      <c r="K132" s="18" t="s">
        <v>43</v>
      </c>
    </row>
    <row r="133" spans="1:11" ht="19.149999999999999" customHeight="1" x14ac:dyDescent="0.25">
      <c r="A133" s="33">
        <v>105</v>
      </c>
      <c r="B133" s="14"/>
      <c r="C133" s="15" t="s">
        <v>179</v>
      </c>
      <c r="D133" s="14">
        <v>46059</v>
      </c>
      <c r="E133" s="16">
        <v>1</v>
      </c>
      <c r="F133" s="16"/>
      <c r="G133" s="34"/>
      <c r="H133" s="17"/>
      <c r="I133" s="17"/>
      <c r="J133" s="17">
        <v>250000</v>
      </c>
      <c r="K133" s="18" t="s">
        <v>41</v>
      </c>
    </row>
    <row r="134" spans="1:11" ht="19.149999999999999" customHeight="1" x14ac:dyDescent="0.25">
      <c r="A134" s="33">
        <v>106</v>
      </c>
      <c r="B134" s="14"/>
      <c r="C134" s="15" t="s">
        <v>180</v>
      </c>
      <c r="D134" s="14">
        <v>46037</v>
      </c>
      <c r="E134" s="16">
        <v>1</v>
      </c>
      <c r="F134" s="16"/>
      <c r="G134" s="34"/>
      <c r="H134" s="17">
        <v>1</v>
      </c>
      <c r="I134" s="17"/>
      <c r="J134" s="17">
        <v>350000</v>
      </c>
      <c r="K134" s="18" t="s">
        <v>41</v>
      </c>
    </row>
    <row r="135" spans="1:11" ht="19.149999999999999" customHeight="1" x14ac:dyDescent="0.25">
      <c r="A135" s="33">
        <v>107</v>
      </c>
      <c r="B135" s="14"/>
      <c r="C135" s="15" t="s">
        <v>181</v>
      </c>
      <c r="D135" s="14">
        <v>46040</v>
      </c>
      <c r="E135" s="16">
        <v>2</v>
      </c>
      <c r="F135" s="16"/>
      <c r="G135" s="34"/>
      <c r="H135" s="17"/>
      <c r="I135" s="17"/>
      <c r="J135" s="17">
        <v>500000</v>
      </c>
      <c r="K135" s="18" t="s">
        <v>48</v>
      </c>
    </row>
    <row r="136" spans="1:11" ht="19.149999999999999" customHeight="1" x14ac:dyDescent="0.25">
      <c r="A136" s="33">
        <v>108</v>
      </c>
      <c r="B136" s="14"/>
      <c r="C136" s="15" t="s">
        <v>182</v>
      </c>
      <c r="D136" s="14">
        <v>46060</v>
      </c>
      <c r="E136" s="16"/>
      <c r="F136" s="16"/>
      <c r="G136" s="34">
        <v>100</v>
      </c>
      <c r="H136" s="17"/>
      <c r="I136" s="17"/>
      <c r="J136" s="17">
        <v>200000</v>
      </c>
      <c r="K136" s="18" t="s">
        <v>42</v>
      </c>
    </row>
    <row r="137" spans="1:11" ht="19.149999999999999" customHeight="1" x14ac:dyDescent="0.25">
      <c r="A137" s="33">
        <v>109</v>
      </c>
      <c r="B137" s="14">
        <v>46051</v>
      </c>
      <c r="C137" s="15" t="s">
        <v>183</v>
      </c>
      <c r="D137" s="14">
        <v>46053</v>
      </c>
      <c r="E137" s="16">
        <v>1</v>
      </c>
      <c r="F137" s="16"/>
      <c r="G137" s="34"/>
      <c r="H137" s="17"/>
      <c r="I137" s="17"/>
      <c r="J137" s="17">
        <v>250000</v>
      </c>
      <c r="K137" s="18" t="s">
        <v>49</v>
      </c>
    </row>
    <row r="138" spans="1:11" ht="19.149999999999999" customHeight="1" x14ac:dyDescent="0.25">
      <c r="A138" s="33">
        <v>110</v>
      </c>
      <c r="B138" s="14"/>
      <c r="C138" s="15" t="s">
        <v>184</v>
      </c>
      <c r="D138" s="14">
        <v>46068</v>
      </c>
      <c r="E138" s="16">
        <v>1</v>
      </c>
      <c r="F138" s="16"/>
      <c r="G138" s="34"/>
      <c r="H138" s="17"/>
      <c r="I138" s="17"/>
      <c r="J138" s="17">
        <v>250000</v>
      </c>
      <c r="K138" s="18" t="s">
        <v>49</v>
      </c>
    </row>
    <row r="139" spans="1:11" ht="19.149999999999999" customHeight="1" x14ac:dyDescent="0.25">
      <c r="A139" s="33">
        <v>111</v>
      </c>
      <c r="B139" s="14">
        <v>46052</v>
      </c>
      <c r="C139" s="15" t="s">
        <v>185</v>
      </c>
      <c r="D139" s="14">
        <v>46086</v>
      </c>
      <c r="E139" s="16">
        <v>2</v>
      </c>
      <c r="F139" s="16"/>
      <c r="G139" s="34"/>
      <c r="H139" s="17"/>
      <c r="I139" s="17"/>
      <c r="J139" s="17">
        <v>500000</v>
      </c>
      <c r="K139" s="18" t="s">
        <v>186</v>
      </c>
    </row>
    <row r="140" spans="1:11" ht="19.149999999999999" customHeight="1" x14ac:dyDescent="0.25">
      <c r="A140" s="33">
        <v>112</v>
      </c>
      <c r="B140" s="14"/>
      <c r="C140" s="15" t="s">
        <v>187</v>
      </c>
      <c r="D140" s="14">
        <v>46059</v>
      </c>
      <c r="E140" s="16">
        <v>1</v>
      </c>
      <c r="F140" s="16"/>
      <c r="G140" s="34"/>
      <c r="H140" s="17"/>
      <c r="I140" s="17"/>
      <c r="J140" s="17">
        <v>250000</v>
      </c>
      <c r="K140" s="18" t="s">
        <v>188</v>
      </c>
    </row>
    <row r="141" spans="1:11" ht="19.149999999999999" customHeight="1" x14ac:dyDescent="0.25">
      <c r="A141" s="33">
        <v>113</v>
      </c>
      <c r="B141" s="14"/>
      <c r="C141" s="15"/>
      <c r="D141" s="14"/>
      <c r="E141" s="16"/>
      <c r="F141" s="16"/>
      <c r="G141" s="34">
        <v>50</v>
      </c>
      <c r="H141" s="17"/>
      <c r="I141" s="17"/>
      <c r="J141" s="17">
        <v>100000</v>
      </c>
      <c r="K141" s="18"/>
    </row>
    <row r="142" spans="1:11" ht="20.25" customHeight="1" x14ac:dyDescent="0.25">
      <c r="A142" s="47"/>
      <c r="B142" s="41"/>
      <c r="C142" s="155" t="s">
        <v>12</v>
      </c>
      <c r="D142" s="155"/>
      <c r="E142" s="48">
        <f>SUM(E129:E141)</f>
        <v>97</v>
      </c>
      <c r="F142" s="48">
        <f t="shared" ref="F142:J142" si="8">SUM(F129:F141)</f>
        <v>2</v>
      </c>
      <c r="G142" s="48">
        <f t="shared" si="8"/>
        <v>3250</v>
      </c>
      <c r="H142" s="48">
        <f t="shared" si="8"/>
        <v>9</v>
      </c>
      <c r="I142" s="48">
        <f t="shared" si="8"/>
        <v>0</v>
      </c>
      <c r="J142" s="48">
        <f t="shared" si="8"/>
        <v>34150000</v>
      </c>
      <c r="K142" s="41"/>
    </row>
    <row r="143" spans="1:11" ht="19.149999999999999" customHeight="1" x14ac:dyDescent="0.25">
      <c r="A143" s="50"/>
      <c r="B143" s="24"/>
      <c r="C143" s="24"/>
      <c r="D143" s="24"/>
      <c r="E143" s="24"/>
      <c r="F143" s="24"/>
      <c r="G143" s="24"/>
      <c r="H143" s="24"/>
      <c r="I143" s="24"/>
      <c r="J143" s="24"/>
      <c r="K143" s="24"/>
    </row>
    <row r="144" spans="1:11" ht="15.75" customHeight="1" x14ac:dyDescent="0.25">
      <c r="H144" s="58"/>
      <c r="I144" s="149" t="s">
        <v>371</v>
      </c>
      <c r="J144" s="149"/>
      <c r="K144" s="149"/>
    </row>
    <row r="145" spans="1:11" ht="15.75" customHeight="1" x14ac:dyDescent="0.25">
      <c r="H145" s="58"/>
      <c r="I145" s="57"/>
      <c r="J145" s="57"/>
      <c r="K145" s="57"/>
    </row>
    <row r="146" spans="1:11" ht="15.75" customHeight="1" x14ac:dyDescent="0.25">
      <c r="A146" s="149" t="s">
        <v>369</v>
      </c>
      <c r="B146" s="149"/>
      <c r="C146" s="149"/>
      <c r="D146" s="149"/>
      <c r="H146" s="58"/>
      <c r="I146" s="149" t="s">
        <v>69</v>
      </c>
      <c r="J146" s="149"/>
      <c r="K146" s="149"/>
    </row>
    <row r="147" spans="1:11" ht="15.75" customHeight="1" x14ac:dyDescent="0.25">
      <c r="A147" s="149" t="s">
        <v>370</v>
      </c>
      <c r="B147" s="149"/>
      <c r="C147" s="149"/>
      <c r="D147" s="149"/>
      <c r="H147" s="58"/>
      <c r="I147" s="149"/>
      <c r="J147" s="149"/>
      <c r="K147" s="149"/>
    </row>
    <row r="148" spans="1:11" ht="15.75" customHeight="1" x14ac:dyDescent="0.25">
      <c r="A148" s="148" t="s">
        <v>65</v>
      </c>
      <c r="B148" s="148"/>
      <c r="C148" s="148"/>
      <c r="D148" s="148"/>
      <c r="H148" s="55"/>
      <c r="I148" s="55"/>
      <c r="J148" s="56"/>
      <c r="K148" s="56"/>
    </row>
    <row r="149" spans="1:11" ht="15.75" customHeight="1" x14ac:dyDescent="0.25">
      <c r="A149" s="54"/>
      <c r="B149" s="54"/>
      <c r="C149" s="54"/>
      <c r="D149" s="54"/>
      <c r="H149" s="55"/>
      <c r="I149" s="55"/>
      <c r="J149" s="56"/>
      <c r="K149" s="56"/>
    </row>
    <row r="150" spans="1:11" ht="15.75" customHeight="1" x14ac:dyDescent="0.25">
      <c r="A150" s="54"/>
      <c r="B150" s="54"/>
      <c r="C150" s="54"/>
      <c r="D150" s="54"/>
      <c r="H150" s="55"/>
      <c r="I150" s="55"/>
      <c r="J150" s="56"/>
      <c r="K150" s="56"/>
    </row>
    <row r="151" spans="1:11" ht="15.75" customHeight="1" x14ac:dyDescent="0.25">
      <c r="A151" s="54"/>
      <c r="B151" s="54"/>
      <c r="C151" s="54"/>
      <c r="D151" s="54"/>
      <c r="H151" s="55"/>
      <c r="I151" s="55"/>
      <c r="J151" s="56"/>
      <c r="K151" s="56"/>
    </row>
    <row r="152" spans="1:11" ht="15.75" x14ac:dyDescent="0.25">
      <c r="A152" s="58"/>
      <c r="B152" s="58"/>
      <c r="C152" s="58"/>
      <c r="D152" s="58"/>
      <c r="H152" s="55"/>
      <c r="I152" s="58"/>
      <c r="J152" s="58"/>
      <c r="K152" s="58"/>
    </row>
    <row r="153" spans="1:11" ht="15.75" x14ac:dyDescent="0.25">
      <c r="A153" s="149" t="s">
        <v>67</v>
      </c>
      <c r="B153" s="149"/>
      <c r="C153" s="149"/>
      <c r="D153" s="149"/>
      <c r="H153" s="55"/>
      <c r="I153" s="149" t="s">
        <v>70</v>
      </c>
      <c r="J153" s="149"/>
      <c r="K153" s="149"/>
    </row>
    <row r="154" spans="1:11" ht="15.75" x14ac:dyDescent="0.25">
      <c r="A154" s="149" t="s">
        <v>68</v>
      </c>
      <c r="B154" s="149"/>
      <c r="C154" s="149"/>
      <c r="D154" s="149"/>
      <c r="H154" s="58"/>
      <c r="I154" s="149" t="s">
        <v>71</v>
      </c>
      <c r="J154" s="149"/>
      <c r="K154" s="149"/>
    </row>
    <row r="155" spans="1:11" ht="15.75" customHeight="1" x14ac:dyDescent="0.25">
      <c r="E155" s="148"/>
      <c r="F155" s="148"/>
      <c r="G155" s="148"/>
      <c r="H155" s="148"/>
      <c r="I155" s="58"/>
      <c r="J155" s="58"/>
      <c r="K155" s="58"/>
    </row>
    <row r="156" spans="1:11" ht="15.75" customHeight="1" x14ac:dyDescent="0.25">
      <c r="E156" s="149"/>
      <c r="F156" s="149"/>
      <c r="G156" s="149"/>
      <c r="H156" s="149"/>
    </row>
    <row r="157" spans="1:11" ht="15.75" x14ac:dyDescent="0.25">
      <c r="E157" s="149"/>
      <c r="F157" s="149"/>
      <c r="G157" s="149"/>
      <c r="H157" s="149"/>
    </row>
    <row r="158" spans="1:11" ht="15.75" x14ac:dyDescent="0.25">
      <c r="E158" s="149"/>
      <c r="F158" s="149"/>
      <c r="G158" s="149"/>
      <c r="H158" s="149"/>
    </row>
    <row r="159" spans="1:11" ht="15.75" x14ac:dyDescent="0.25">
      <c r="E159" s="148"/>
      <c r="F159" s="148"/>
      <c r="G159" s="148"/>
      <c r="H159" s="148"/>
    </row>
    <row r="160" spans="1:11" ht="15.75" x14ac:dyDescent="0.25">
      <c r="E160" s="55"/>
      <c r="F160" s="56"/>
      <c r="G160" s="56"/>
    </row>
    <row r="161" spans="5:8" ht="15.75" x14ac:dyDescent="0.25">
      <c r="E161" s="58"/>
      <c r="F161" s="58"/>
      <c r="G161" s="58"/>
    </row>
    <row r="162" spans="5:8" ht="15.75" x14ac:dyDescent="0.25">
      <c r="E162" s="149"/>
      <c r="F162" s="149"/>
      <c r="G162" s="149"/>
      <c r="H162" s="149"/>
    </row>
    <row r="163" spans="5:8" ht="15.75" x14ac:dyDescent="0.25">
      <c r="E163" s="149"/>
      <c r="F163" s="149"/>
      <c r="G163" s="149"/>
      <c r="H163" s="149"/>
    </row>
  </sheetData>
  <mergeCells count="30">
    <mergeCell ref="E163:H163"/>
    <mergeCell ref="E155:H155"/>
    <mergeCell ref="E156:H156"/>
    <mergeCell ref="E157:H157"/>
    <mergeCell ref="E158:H158"/>
    <mergeCell ref="E159:H159"/>
    <mergeCell ref="E162:H162"/>
    <mergeCell ref="A147:D147"/>
    <mergeCell ref="I147:K147"/>
    <mergeCell ref="A153:D153"/>
    <mergeCell ref="I153:K153"/>
    <mergeCell ref="A154:D154"/>
    <mergeCell ref="I154:K154"/>
    <mergeCell ref="A148:D148"/>
    <mergeCell ref="A146:D146"/>
    <mergeCell ref="I146:K146"/>
    <mergeCell ref="B66:D66"/>
    <mergeCell ref="C93:D93"/>
    <mergeCell ref="B97:D97"/>
    <mergeCell ref="C123:D123"/>
    <mergeCell ref="B129:D129"/>
    <mergeCell ref="C142:D142"/>
    <mergeCell ref="I144:K144"/>
    <mergeCell ref="C62:D62"/>
    <mergeCell ref="A1:K1"/>
    <mergeCell ref="A2:K2"/>
    <mergeCell ref="A3:K3"/>
    <mergeCell ref="C31:D31"/>
    <mergeCell ref="B35:D35"/>
    <mergeCell ref="A4:K4"/>
  </mergeCells>
  <pageMargins left="0.35433070866141736" right="0.23622047244094491" top="0.55118110236220474" bottom="0.35433070866141736" header="0.31496062992125984" footer="0.31496062992125984"/>
  <pageSetup paperSize="122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AFFF-E3ED-4F88-8B95-FCC08C4A7134}">
  <dimension ref="A1:K65"/>
  <sheetViews>
    <sheetView topLeftCell="A29" workbookViewId="0">
      <selection activeCell="A36" sqref="A36:A51"/>
    </sheetView>
  </sheetViews>
  <sheetFormatPr defaultRowHeight="15" x14ac:dyDescent="0.25"/>
  <cols>
    <col min="1" max="1" width="5.42578125" customWidth="1"/>
    <col min="2" max="2" width="15.7109375" customWidth="1"/>
    <col min="3" max="3" width="32.85546875" customWidth="1"/>
    <col min="4" max="4" width="14.7109375" customWidth="1"/>
    <col min="5" max="5" width="11.5703125" customWidth="1"/>
    <col min="6" max="6" width="12.42578125" customWidth="1"/>
    <col min="7" max="7" width="8.28515625" customWidth="1"/>
    <col min="8" max="8" width="9.28515625" customWidth="1"/>
    <col min="9" max="9" width="16.85546875" customWidth="1"/>
    <col min="10" max="10" width="19.140625" customWidth="1"/>
    <col min="11" max="11" width="20" customWidth="1"/>
  </cols>
  <sheetData>
    <row r="1" spans="1:11" ht="21.75" customHeight="1" x14ac:dyDescent="0.25">
      <c r="A1" s="150" t="s">
        <v>195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5.75" x14ac:dyDescent="0.25">
      <c r="A2" s="150" t="s">
        <v>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5.75" x14ac:dyDescent="0.25">
      <c r="A3" s="150" t="s">
        <v>62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30.75" customHeight="1" x14ac:dyDescent="0.25">
      <c r="A5" s="4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6" t="s">
        <v>7</v>
      </c>
      <c r="H5" s="4" t="s">
        <v>8</v>
      </c>
      <c r="I5" s="4" t="s">
        <v>9</v>
      </c>
      <c r="J5" s="4" t="s">
        <v>10</v>
      </c>
      <c r="K5" s="4" t="s">
        <v>11</v>
      </c>
    </row>
    <row r="6" spans="1:11" ht="19.149999999999999" customHeight="1" x14ac:dyDescent="0.25">
      <c r="A6" s="7">
        <v>1</v>
      </c>
      <c r="B6" s="8">
        <v>46054</v>
      </c>
      <c r="C6" s="9" t="s">
        <v>196</v>
      </c>
      <c r="D6" s="8">
        <v>46067</v>
      </c>
      <c r="E6" s="10">
        <v>1</v>
      </c>
      <c r="F6" s="10"/>
      <c r="G6" s="11"/>
      <c r="H6" s="11"/>
      <c r="I6" s="11"/>
      <c r="J6" s="11">
        <v>250000</v>
      </c>
      <c r="K6" s="12" t="s">
        <v>197</v>
      </c>
    </row>
    <row r="7" spans="1:11" ht="19.149999999999999" customHeight="1" x14ac:dyDescent="0.25">
      <c r="A7" s="13">
        <v>2</v>
      </c>
      <c r="B7" s="14">
        <v>46056</v>
      </c>
      <c r="C7" s="15" t="s">
        <v>198</v>
      </c>
      <c r="D7" s="14">
        <v>46060</v>
      </c>
      <c r="E7" s="16"/>
      <c r="F7" s="16"/>
      <c r="G7" s="17">
        <v>50</v>
      </c>
      <c r="H7" s="17"/>
      <c r="I7" s="17"/>
      <c r="J7" s="17">
        <v>100000</v>
      </c>
      <c r="K7" s="18" t="s">
        <v>199</v>
      </c>
    </row>
    <row r="8" spans="1:11" ht="19.149999999999999" customHeight="1" x14ac:dyDescent="0.25">
      <c r="A8" s="7">
        <v>3</v>
      </c>
      <c r="B8" s="14"/>
      <c r="C8" s="18" t="s">
        <v>200</v>
      </c>
      <c r="D8" s="14">
        <v>46061</v>
      </c>
      <c r="E8" s="16"/>
      <c r="F8" s="16"/>
      <c r="G8" s="19">
        <v>50</v>
      </c>
      <c r="H8" s="17"/>
      <c r="I8" s="17"/>
      <c r="J8" s="17">
        <v>100000</v>
      </c>
      <c r="K8" s="18" t="s">
        <v>201</v>
      </c>
    </row>
    <row r="9" spans="1:11" ht="19.149999999999999" customHeight="1" x14ac:dyDescent="0.25">
      <c r="A9" s="13">
        <v>4</v>
      </c>
      <c r="B9" s="14"/>
      <c r="C9" s="15" t="s">
        <v>202</v>
      </c>
      <c r="D9" s="14">
        <v>46241</v>
      </c>
      <c r="E9" s="16"/>
      <c r="F9" s="16"/>
      <c r="G9" s="17">
        <v>50</v>
      </c>
      <c r="H9" s="17"/>
      <c r="I9" s="17"/>
      <c r="J9" s="17">
        <v>100000</v>
      </c>
      <c r="K9" s="18" t="s">
        <v>203</v>
      </c>
    </row>
    <row r="10" spans="1:11" ht="19.149999999999999" customHeight="1" x14ac:dyDescent="0.25">
      <c r="A10" s="7">
        <v>5</v>
      </c>
      <c r="B10" s="14">
        <v>46057</v>
      </c>
      <c r="C10" s="15" t="s">
        <v>204</v>
      </c>
      <c r="D10" s="14">
        <v>46057</v>
      </c>
      <c r="E10" s="16">
        <v>1</v>
      </c>
      <c r="F10" s="16"/>
      <c r="G10" s="17"/>
      <c r="H10" s="17"/>
      <c r="I10" s="17"/>
      <c r="J10" s="17">
        <v>250000</v>
      </c>
      <c r="K10" s="18" t="s">
        <v>205</v>
      </c>
    </row>
    <row r="11" spans="1:11" ht="19.149999999999999" customHeight="1" x14ac:dyDescent="0.25">
      <c r="A11" s="13">
        <v>6</v>
      </c>
      <c r="B11" s="14"/>
      <c r="C11" s="15" t="s">
        <v>206</v>
      </c>
      <c r="D11" s="14">
        <v>46057</v>
      </c>
      <c r="E11" s="16">
        <v>2</v>
      </c>
      <c r="F11" s="16"/>
      <c r="G11" s="17"/>
      <c r="H11" s="17"/>
      <c r="I11" s="17"/>
      <c r="J11" s="17">
        <v>500000</v>
      </c>
      <c r="K11" s="18" t="s">
        <v>186</v>
      </c>
    </row>
    <row r="12" spans="1:11" ht="19.149999999999999" customHeight="1" x14ac:dyDescent="0.25">
      <c r="A12" s="7">
        <v>7</v>
      </c>
      <c r="B12" s="14"/>
      <c r="C12" s="15" t="s">
        <v>207</v>
      </c>
      <c r="D12" s="14">
        <v>46145</v>
      </c>
      <c r="E12" s="16">
        <v>1</v>
      </c>
      <c r="F12" s="16"/>
      <c r="G12" s="17"/>
      <c r="H12" s="17"/>
      <c r="I12" s="17"/>
      <c r="J12" s="17">
        <v>250000</v>
      </c>
      <c r="K12" s="18" t="s">
        <v>205</v>
      </c>
    </row>
    <row r="13" spans="1:11" ht="19.149999999999999" customHeight="1" x14ac:dyDescent="0.25">
      <c r="A13" s="13">
        <v>8</v>
      </c>
      <c r="B13" s="14">
        <v>46058</v>
      </c>
      <c r="C13" s="15" t="s">
        <v>208</v>
      </c>
      <c r="D13" s="14">
        <v>46065</v>
      </c>
      <c r="E13" s="16"/>
      <c r="F13" s="16">
        <v>1</v>
      </c>
      <c r="G13" s="17"/>
      <c r="H13" s="17"/>
      <c r="I13" s="17" t="s">
        <v>98</v>
      </c>
      <c r="J13" s="17">
        <v>1750000</v>
      </c>
      <c r="K13" s="18" t="s">
        <v>209</v>
      </c>
    </row>
    <row r="14" spans="1:11" ht="19.149999999999999" customHeight="1" x14ac:dyDescent="0.25">
      <c r="A14" s="7">
        <v>9</v>
      </c>
      <c r="B14" s="14"/>
      <c r="C14" s="15" t="s">
        <v>210</v>
      </c>
      <c r="D14" s="14">
        <v>46061</v>
      </c>
      <c r="E14" s="16"/>
      <c r="F14" s="16"/>
      <c r="G14" s="17">
        <v>50</v>
      </c>
      <c r="H14" s="17"/>
      <c r="I14" s="17"/>
      <c r="J14" s="17">
        <v>100000</v>
      </c>
      <c r="K14" s="18" t="s">
        <v>211</v>
      </c>
    </row>
    <row r="15" spans="1:11" ht="19.149999999999999" customHeight="1" x14ac:dyDescent="0.25">
      <c r="A15" s="13">
        <v>10</v>
      </c>
      <c r="B15" s="14"/>
      <c r="C15" s="15" t="s">
        <v>212</v>
      </c>
      <c r="D15" s="14">
        <v>46058</v>
      </c>
      <c r="E15" s="16">
        <v>1</v>
      </c>
      <c r="F15" s="16"/>
      <c r="G15" s="17"/>
      <c r="H15" s="17"/>
      <c r="I15" s="17"/>
      <c r="J15" s="17">
        <v>250000</v>
      </c>
      <c r="K15" s="18" t="s">
        <v>197</v>
      </c>
    </row>
    <row r="16" spans="1:11" ht="19.149999999999999" customHeight="1" x14ac:dyDescent="0.25">
      <c r="A16" s="7">
        <v>11</v>
      </c>
      <c r="B16" s="14"/>
      <c r="C16" s="15" t="s">
        <v>213</v>
      </c>
      <c r="D16" s="14">
        <v>46061</v>
      </c>
      <c r="E16" s="16">
        <v>1</v>
      </c>
      <c r="F16" s="16"/>
      <c r="G16" s="17"/>
      <c r="H16" s="17"/>
      <c r="I16" s="17"/>
      <c r="J16" s="17">
        <v>250000</v>
      </c>
      <c r="K16" s="18" t="s">
        <v>214</v>
      </c>
    </row>
    <row r="17" spans="1:11" ht="19.149999999999999" customHeight="1" x14ac:dyDescent="0.25">
      <c r="A17" s="13">
        <v>12</v>
      </c>
      <c r="B17" s="110"/>
      <c r="C17" s="111"/>
      <c r="D17" s="110"/>
      <c r="E17" s="112"/>
      <c r="F17" s="112"/>
      <c r="G17" s="113">
        <v>100</v>
      </c>
      <c r="H17" s="113"/>
      <c r="I17" s="113"/>
      <c r="J17" s="113">
        <v>200000</v>
      </c>
      <c r="K17" s="114" t="s">
        <v>201</v>
      </c>
    </row>
    <row r="18" spans="1:11" ht="19.149999999999999" customHeight="1" x14ac:dyDescent="0.25">
      <c r="A18" s="7">
        <v>13</v>
      </c>
      <c r="B18" s="18"/>
      <c r="C18" s="15" t="s">
        <v>215</v>
      </c>
      <c r="D18" s="20">
        <v>46058</v>
      </c>
      <c r="E18" s="16">
        <v>1</v>
      </c>
      <c r="F18" s="18"/>
      <c r="G18" s="18"/>
      <c r="H18" s="18"/>
      <c r="I18" s="18"/>
      <c r="J18" s="17">
        <v>250000</v>
      </c>
      <c r="K18" s="18" t="s">
        <v>205</v>
      </c>
    </row>
    <row r="19" spans="1:11" ht="19.149999999999999" customHeight="1" x14ac:dyDescent="0.25">
      <c r="A19" s="13">
        <v>14</v>
      </c>
      <c r="B19" s="14">
        <v>46059</v>
      </c>
      <c r="C19" s="15" t="s">
        <v>216</v>
      </c>
      <c r="D19" s="14">
        <v>46066</v>
      </c>
      <c r="E19" s="16">
        <v>1</v>
      </c>
      <c r="F19" s="16"/>
      <c r="G19" s="17"/>
      <c r="H19" s="17"/>
      <c r="I19" s="17"/>
      <c r="J19" s="17">
        <v>250000</v>
      </c>
      <c r="K19" s="18" t="s">
        <v>41</v>
      </c>
    </row>
    <row r="20" spans="1:11" x14ac:dyDescent="0.25">
      <c r="A20" s="7">
        <v>15</v>
      </c>
      <c r="B20" s="20"/>
      <c r="C20" s="15" t="s">
        <v>217</v>
      </c>
      <c r="D20" s="20">
        <v>46061</v>
      </c>
      <c r="E20" s="16">
        <v>1</v>
      </c>
      <c r="F20" s="18"/>
      <c r="G20" s="18"/>
      <c r="H20" s="18"/>
      <c r="I20" s="18"/>
      <c r="J20" s="17">
        <v>250000</v>
      </c>
      <c r="K20" s="18" t="s">
        <v>49</v>
      </c>
    </row>
    <row r="21" spans="1:11" ht="19.149999999999999" customHeight="1" x14ac:dyDescent="0.25">
      <c r="A21" s="13">
        <v>16</v>
      </c>
      <c r="B21" s="14"/>
      <c r="C21" s="21" t="s">
        <v>218</v>
      </c>
      <c r="D21" s="14">
        <v>46070</v>
      </c>
      <c r="E21" s="16">
        <v>1</v>
      </c>
      <c r="F21" s="16"/>
      <c r="G21" s="17"/>
      <c r="H21" s="17"/>
      <c r="I21" s="17"/>
      <c r="J21" s="17">
        <v>250000</v>
      </c>
      <c r="K21" s="18" t="s">
        <v>197</v>
      </c>
    </row>
    <row r="22" spans="1:11" ht="19.149999999999999" customHeight="1" x14ac:dyDescent="0.25">
      <c r="A22" s="7">
        <v>17</v>
      </c>
      <c r="B22" s="14"/>
      <c r="C22" s="21" t="s">
        <v>219</v>
      </c>
      <c r="D22" s="14">
        <v>46061</v>
      </c>
      <c r="E22" s="16"/>
      <c r="F22" s="16"/>
      <c r="G22" s="17">
        <v>50</v>
      </c>
      <c r="H22" s="17"/>
      <c r="I22" s="17"/>
      <c r="J22" s="17">
        <v>100000</v>
      </c>
      <c r="K22" s="18" t="s">
        <v>220</v>
      </c>
    </row>
    <row r="23" spans="1:11" ht="19.149999999999999" customHeight="1" x14ac:dyDescent="0.25">
      <c r="A23" s="13">
        <v>18</v>
      </c>
      <c r="B23" s="14">
        <v>46060</v>
      </c>
      <c r="C23" s="21" t="s">
        <v>221</v>
      </c>
      <c r="D23" s="14">
        <v>46067</v>
      </c>
      <c r="E23" s="16"/>
      <c r="F23" s="16"/>
      <c r="G23" s="17">
        <v>50</v>
      </c>
      <c r="H23" s="17"/>
      <c r="I23" s="17"/>
      <c r="J23" s="17">
        <v>100000</v>
      </c>
      <c r="K23" s="18" t="s">
        <v>203</v>
      </c>
    </row>
    <row r="24" spans="1:11" ht="19.149999999999999" customHeight="1" x14ac:dyDescent="0.25">
      <c r="A24" s="7">
        <v>19</v>
      </c>
      <c r="B24" s="14"/>
      <c r="C24" s="15" t="s">
        <v>222</v>
      </c>
      <c r="D24" s="14">
        <v>46061</v>
      </c>
      <c r="E24" s="16">
        <v>1</v>
      </c>
      <c r="F24" s="16"/>
      <c r="G24" s="17"/>
      <c r="H24" s="17"/>
      <c r="I24" s="17"/>
      <c r="J24" s="17">
        <v>250000</v>
      </c>
      <c r="K24" s="18" t="s">
        <v>205</v>
      </c>
    </row>
    <row r="25" spans="1:11" ht="19.149999999999999" customHeight="1" x14ac:dyDescent="0.25">
      <c r="A25" s="13">
        <v>20</v>
      </c>
      <c r="B25" s="14">
        <v>46061</v>
      </c>
      <c r="C25" s="15" t="s">
        <v>223</v>
      </c>
      <c r="D25" s="14">
        <v>46072</v>
      </c>
      <c r="E25" s="16">
        <v>1</v>
      </c>
      <c r="F25" s="16"/>
      <c r="G25" s="17"/>
      <c r="H25" s="17"/>
      <c r="I25" s="17"/>
      <c r="J25" s="17">
        <v>250000</v>
      </c>
      <c r="K25" s="18" t="s">
        <v>41</v>
      </c>
    </row>
    <row r="26" spans="1:11" ht="19.149999999999999" customHeight="1" x14ac:dyDescent="0.25">
      <c r="A26" s="7">
        <v>21</v>
      </c>
      <c r="B26" s="110"/>
      <c r="C26" s="111"/>
      <c r="D26" s="110"/>
      <c r="E26" s="112"/>
      <c r="F26" s="112"/>
      <c r="G26" s="113">
        <v>50</v>
      </c>
      <c r="H26" s="113"/>
      <c r="I26" s="113"/>
      <c r="J26" s="113">
        <v>100000</v>
      </c>
      <c r="K26" s="114" t="s">
        <v>201</v>
      </c>
    </row>
    <row r="27" spans="1:11" ht="19.149999999999999" customHeight="1" x14ac:dyDescent="0.25">
      <c r="A27" s="13">
        <v>22</v>
      </c>
      <c r="B27" s="14">
        <v>46062</v>
      </c>
      <c r="C27" s="15" t="s">
        <v>224</v>
      </c>
      <c r="D27" s="14">
        <v>46071</v>
      </c>
      <c r="E27" s="16">
        <v>1</v>
      </c>
      <c r="F27" s="16"/>
      <c r="G27" s="17"/>
      <c r="H27" s="17"/>
      <c r="I27" s="17"/>
      <c r="J27" s="17">
        <v>250000</v>
      </c>
      <c r="K27" s="18" t="s">
        <v>214</v>
      </c>
    </row>
    <row r="28" spans="1:11" ht="19.149999999999999" customHeight="1" x14ac:dyDescent="0.25">
      <c r="A28" s="7">
        <v>23</v>
      </c>
      <c r="B28" s="14"/>
      <c r="C28" s="21" t="s">
        <v>225</v>
      </c>
      <c r="D28" s="14">
        <v>46068</v>
      </c>
      <c r="E28" s="16"/>
      <c r="F28" s="16"/>
      <c r="G28" s="17">
        <v>50</v>
      </c>
      <c r="H28" s="22"/>
      <c r="I28" s="22"/>
      <c r="J28" s="17">
        <v>100000</v>
      </c>
      <c r="K28" s="21" t="s">
        <v>226</v>
      </c>
    </row>
    <row r="29" spans="1:11" ht="19.149999999999999" customHeight="1" x14ac:dyDescent="0.25">
      <c r="A29" s="13">
        <v>24</v>
      </c>
      <c r="B29" s="14">
        <v>46063</v>
      </c>
      <c r="C29" s="21" t="s">
        <v>227</v>
      </c>
      <c r="D29" s="14">
        <v>46068</v>
      </c>
      <c r="E29" s="23"/>
      <c r="F29" s="22">
        <v>1</v>
      </c>
      <c r="G29" s="22"/>
      <c r="H29" s="22"/>
      <c r="I29" s="22" t="s">
        <v>98</v>
      </c>
      <c r="J29" s="17">
        <v>1750000</v>
      </c>
      <c r="K29" s="21" t="s">
        <v>209</v>
      </c>
    </row>
    <row r="30" spans="1:11" ht="20.25" customHeight="1" x14ac:dyDescent="0.25">
      <c r="A30" s="4"/>
      <c r="B30" s="30"/>
      <c r="C30" s="151" t="s">
        <v>12</v>
      </c>
      <c r="D30" s="151"/>
      <c r="E30" s="43">
        <f>SUM(E6:E29)</f>
        <v>14</v>
      </c>
      <c r="F30" s="43">
        <f t="shared" ref="F30:J30" si="0">SUM(F6:F29)</f>
        <v>2</v>
      </c>
      <c r="G30" s="43">
        <f t="shared" si="0"/>
        <v>500</v>
      </c>
      <c r="H30" s="43">
        <f t="shared" si="0"/>
        <v>0</v>
      </c>
      <c r="I30" s="43">
        <f t="shared" si="0"/>
        <v>0</v>
      </c>
      <c r="J30" s="43">
        <f t="shared" si="0"/>
        <v>8000000</v>
      </c>
      <c r="K30" s="30"/>
    </row>
    <row r="31" spans="1:11" ht="15.75" x14ac:dyDescent="0.25">
      <c r="A31" s="52"/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1" ht="15.75" x14ac:dyDescent="0.25">
      <c r="A32" s="53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1" ht="15.75" x14ac:dyDescent="0.25">
      <c r="A33" s="49"/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1:11" ht="30.75" customHeight="1" x14ac:dyDescent="0.25">
      <c r="A34" s="4"/>
      <c r="B34" s="5" t="s">
        <v>2</v>
      </c>
      <c r="C34" s="5" t="s">
        <v>3</v>
      </c>
      <c r="D34" s="5" t="s">
        <v>4</v>
      </c>
      <c r="E34" s="5" t="s">
        <v>5</v>
      </c>
      <c r="F34" s="5" t="s">
        <v>6</v>
      </c>
      <c r="G34" s="6" t="s">
        <v>7</v>
      </c>
      <c r="H34" s="4" t="s">
        <v>8</v>
      </c>
      <c r="I34" s="4" t="s">
        <v>9</v>
      </c>
      <c r="J34" s="4" t="s">
        <v>10</v>
      </c>
      <c r="K34" s="4" t="s">
        <v>11</v>
      </c>
    </row>
    <row r="35" spans="1:11" ht="19.149999999999999" customHeight="1" x14ac:dyDescent="0.25">
      <c r="A35" s="7"/>
      <c r="B35" s="153" t="s">
        <v>13</v>
      </c>
      <c r="C35" s="153"/>
      <c r="D35" s="153"/>
      <c r="E35" s="44">
        <f t="shared" ref="E35:J35" si="1">E30</f>
        <v>14</v>
      </c>
      <c r="F35" s="44">
        <f t="shared" si="1"/>
        <v>2</v>
      </c>
      <c r="G35" s="44">
        <f t="shared" si="1"/>
        <v>500</v>
      </c>
      <c r="H35" s="44">
        <f t="shared" si="1"/>
        <v>0</v>
      </c>
      <c r="I35" s="44">
        <f t="shared" si="1"/>
        <v>0</v>
      </c>
      <c r="J35" s="44">
        <f t="shared" si="1"/>
        <v>8000000</v>
      </c>
      <c r="K35" s="25"/>
    </row>
    <row r="36" spans="1:11" ht="19.149999999999999" customHeight="1" x14ac:dyDescent="0.25">
      <c r="A36" s="13">
        <v>25</v>
      </c>
      <c r="B36" s="14">
        <v>46063</v>
      </c>
      <c r="C36" s="21" t="s">
        <v>228</v>
      </c>
      <c r="D36" s="14">
        <v>46138</v>
      </c>
      <c r="E36" s="23">
        <v>1</v>
      </c>
      <c r="F36" s="22"/>
      <c r="G36" s="22"/>
      <c r="H36" s="22"/>
      <c r="I36" s="22"/>
      <c r="J36" s="17">
        <v>250000</v>
      </c>
      <c r="K36" s="21" t="s">
        <v>49</v>
      </c>
    </row>
    <row r="37" spans="1:11" ht="19.149999999999999" customHeight="1" x14ac:dyDescent="0.25">
      <c r="A37" s="13">
        <v>26</v>
      </c>
      <c r="B37" s="14"/>
      <c r="C37" s="21" t="s">
        <v>229</v>
      </c>
      <c r="D37" s="14">
        <v>46135</v>
      </c>
      <c r="E37" s="23">
        <v>1</v>
      </c>
      <c r="F37" s="23"/>
      <c r="G37" s="26"/>
      <c r="H37" s="26"/>
      <c r="I37" s="26"/>
      <c r="J37" s="17">
        <v>250000</v>
      </c>
      <c r="K37" s="18" t="s">
        <v>205</v>
      </c>
    </row>
    <row r="38" spans="1:11" ht="19.149999999999999" customHeight="1" x14ac:dyDescent="0.25">
      <c r="A38" s="13">
        <v>27</v>
      </c>
      <c r="B38" s="14">
        <v>46064</v>
      </c>
      <c r="C38" s="15" t="s">
        <v>230</v>
      </c>
      <c r="D38" s="14">
        <v>46064</v>
      </c>
      <c r="E38" s="23">
        <v>1</v>
      </c>
      <c r="F38" s="23"/>
      <c r="G38" s="26"/>
      <c r="H38" s="26"/>
      <c r="I38" s="26"/>
      <c r="J38" s="17">
        <v>250000</v>
      </c>
      <c r="K38" s="18" t="s">
        <v>197</v>
      </c>
    </row>
    <row r="39" spans="1:11" ht="19.149999999999999" customHeight="1" x14ac:dyDescent="0.25">
      <c r="A39" s="13">
        <v>28</v>
      </c>
      <c r="B39" s="14"/>
      <c r="C39" s="15" t="s">
        <v>231</v>
      </c>
      <c r="D39" s="14">
        <v>46065</v>
      </c>
      <c r="E39" s="16"/>
      <c r="F39" s="16"/>
      <c r="G39" s="17"/>
      <c r="H39" s="17">
        <v>1</v>
      </c>
      <c r="I39" s="17"/>
      <c r="J39" s="17">
        <v>100000</v>
      </c>
      <c r="K39" s="18" t="s">
        <v>214</v>
      </c>
    </row>
    <row r="40" spans="1:11" ht="19.149999999999999" customHeight="1" x14ac:dyDescent="0.25">
      <c r="A40" s="13">
        <v>29</v>
      </c>
      <c r="B40" s="14">
        <v>46065</v>
      </c>
      <c r="C40" s="15" t="s">
        <v>232</v>
      </c>
      <c r="D40" s="14">
        <v>46067</v>
      </c>
      <c r="E40" s="16"/>
      <c r="F40" s="16"/>
      <c r="G40" s="17">
        <v>50</v>
      </c>
      <c r="H40" s="17"/>
      <c r="I40" s="17"/>
      <c r="J40" s="17">
        <v>100000</v>
      </c>
      <c r="K40" s="18" t="s">
        <v>220</v>
      </c>
    </row>
    <row r="41" spans="1:11" ht="19.149999999999999" customHeight="1" x14ac:dyDescent="0.25">
      <c r="A41" s="13">
        <v>30</v>
      </c>
      <c r="B41" s="14"/>
      <c r="C41" s="15" t="s">
        <v>233</v>
      </c>
      <c r="D41" s="14">
        <v>46070</v>
      </c>
      <c r="E41" s="16">
        <v>1</v>
      </c>
      <c r="F41" s="16"/>
      <c r="G41" s="17"/>
      <c r="H41" s="17"/>
      <c r="I41" s="17"/>
      <c r="J41" s="17">
        <v>250000</v>
      </c>
      <c r="K41" s="18" t="s">
        <v>205</v>
      </c>
    </row>
    <row r="42" spans="1:11" ht="19.149999999999999" customHeight="1" x14ac:dyDescent="0.25">
      <c r="A42" s="13">
        <v>31</v>
      </c>
      <c r="B42" s="14"/>
      <c r="C42" s="15" t="s">
        <v>234</v>
      </c>
      <c r="D42" s="14">
        <v>46067</v>
      </c>
      <c r="E42" s="16">
        <v>2</v>
      </c>
      <c r="F42" s="16"/>
      <c r="G42" s="17"/>
      <c r="H42" s="17"/>
      <c r="I42" s="17"/>
      <c r="J42" s="17">
        <v>500000</v>
      </c>
      <c r="K42" s="18" t="s">
        <v>186</v>
      </c>
    </row>
    <row r="43" spans="1:11" ht="19.149999999999999" customHeight="1" x14ac:dyDescent="0.25">
      <c r="A43" s="13">
        <v>32</v>
      </c>
      <c r="B43" s="14">
        <v>46066</v>
      </c>
      <c r="C43" s="15" t="s">
        <v>235</v>
      </c>
      <c r="D43" s="14">
        <v>46138</v>
      </c>
      <c r="E43" s="16">
        <v>1</v>
      </c>
      <c r="F43" s="16"/>
      <c r="G43" s="17"/>
      <c r="H43" s="17"/>
      <c r="I43" s="17"/>
      <c r="J43" s="17">
        <v>250000</v>
      </c>
      <c r="K43" s="18" t="s">
        <v>197</v>
      </c>
    </row>
    <row r="44" spans="1:11" ht="19.149999999999999" customHeight="1" x14ac:dyDescent="0.25">
      <c r="A44" s="13">
        <v>33</v>
      </c>
      <c r="B44" s="14">
        <v>46068</v>
      </c>
      <c r="C44" s="15" t="s">
        <v>236</v>
      </c>
      <c r="D44" s="14">
        <v>46071</v>
      </c>
      <c r="E44" s="16">
        <v>1</v>
      </c>
      <c r="F44" s="16"/>
      <c r="G44" s="17"/>
      <c r="H44" s="17"/>
      <c r="I44" s="17"/>
      <c r="J44" s="17">
        <v>250000</v>
      </c>
      <c r="K44" s="18" t="s">
        <v>49</v>
      </c>
    </row>
    <row r="45" spans="1:11" ht="19.149999999999999" customHeight="1" x14ac:dyDescent="0.25">
      <c r="A45" s="13">
        <v>34</v>
      </c>
      <c r="B45" s="14">
        <v>46069</v>
      </c>
      <c r="C45" s="15" t="s">
        <v>237</v>
      </c>
      <c r="D45" s="14">
        <v>46152</v>
      </c>
      <c r="E45" s="16">
        <v>1</v>
      </c>
      <c r="F45" s="16"/>
      <c r="G45" s="17"/>
      <c r="H45" s="17"/>
      <c r="I45" s="17"/>
      <c r="J45" s="17">
        <v>250000</v>
      </c>
      <c r="K45" s="18" t="s">
        <v>197</v>
      </c>
    </row>
    <row r="46" spans="1:11" ht="19.149999999999999" customHeight="1" x14ac:dyDescent="0.25">
      <c r="A46" s="13">
        <v>35</v>
      </c>
      <c r="B46" s="14"/>
      <c r="C46" s="15" t="s">
        <v>238</v>
      </c>
      <c r="D46" s="14">
        <v>46151</v>
      </c>
      <c r="E46" s="16">
        <v>1</v>
      </c>
      <c r="F46" s="16"/>
      <c r="G46" s="17"/>
      <c r="H46" s="17"/>
      <c r="I46" s="17"/>
      <c r="J46" s="17">
        <v>250000</v>
      </c>
      <c r="K46" s="18" t="s">
        <v>197</v>
      </c>
    </row>
    <row r="47" spans="1:11" ht="19.149999999999999" customHeight="1" x14ac:dyDescent="0.25">
      <c r="A47" s="13">
        <v>36</v>
      </c>
      <c r="B47" s="14">
        <v>46070</v>
      </c>
      <c r="C47" s="15" t="s">
        <v>218</v>
      </c>
      <c r="D47" s="14">
        <v>46070</v>
      </c>
      <c r="E47" s="16"/>
      <c r="F47" s="16"/>
      <c r="G47" s="17"/>
      <c r="H47" s="17">
        <v>1</v>
      </c>
      <c r="I47" s="17"/>
      <c r="J47" s="17">
        <v>100000</v>
      </c>
      <c r="K47" s="18" t="s">
        <v>197</v>
      </c>
    </row>
    <row r="48" spans="1:11" ht="19.149999999999999" customHeight="1" x14ac:dyDescent="0.25">
      <c r="A48" s="13">
        <v>37</v>
      </c>
      <c r="B48" s="14">
        <v>46071</v>
      </c>
      <c r="C48" s="15" t="s">
        <v>239</v>
      </c>
      <c r="D48" s="14">
        <v>46137</v>
      </c>
      <c r="E48" s="16">
        <v>2</v>
      </c>
      <c r="F48" s="16"/>
      <c r="G48" s="17"/>
      <c r="H48" s="17"/>
      <c r="I48" s="17"/>
      <c r="J48" s="17">
        <v>500000</v>
      </c>
      <c r="K48" s="18" t="s">
        <v>186</v>
      </c>
    </row>
    <row r="49" spans="1:11" ht="19.149999999999999" customHeight="1" x14ac:dyDescent="0.25">
      <c r="A49" s="13">
        <v>38</v>
      </c>
      <c r="B49" s="14">
        <v>46072</v>
      </c>
      <c r="C49" s="15" t="s">
        <v>241</v>
      </c>
      <c r="D49" s="14">
        <v>46071</v>
      </c>
      <c r="E49" s="16">
        <v>1</v>
      </c>
      <c r="F49" s="16"/>
      <c r="G49" s="17"/>
      <c r="H49" s="17"/>
      <c r="I49" s="17"/>
      <c r="J49" s="17">
        <v>250000</v>
      </c>
      <c r="K49" s="18" t="s">
        <v>205</v>
      </c>
    </row>
    <row r="50" spans="1:11" ht="19.149999999999999" customHeight="1" x14ac:dyDescent="0.25">
      <c r="A50" s="13">
        <v>39</v>
      </c>
      <c r="B50" s="115">
        <v>46076</v>
      </c>
      <c r="C50" s="116"/>
      <c r="D50" s="115"/>
      <c r="E50" s="117">
        <v>1</v>
      </c>
      <c r="F50" s="117"/>
      <c r="G50" s="118"/>
      <c r="H50" s="118"/>
      <c r="I50" s="118"/>
      <c r="J50" s="118">
        <v>250000</v>
      </c>
      <c r="K50" s="119"/>
    </row>
    <row r="51" spans="1:11" ht="19.149999999999999" customHeight="1" x14ac:dyDescent="0.25">
      <c r="A51" s="13">
        <v>40</v>
      </c>
      <c r="B51" s="14">
        <v>46077</v>
      </c>
      <c r="C51" s="15" t="s">
        <v>240</v>
      </c>
      <c r="D51" s="14">
        <v>46119</v>
      </c>
      <c r="E51" s="16">
        <v>2</v>
      </c>
      <c r="F51" s="16"/>
      <c r="G51" s="17"/>
      <c r="H51" s="17"/>
      <c r="I51" s="17"/>
      <c r="J51" s="17">
        <v>500000</v>
      </c>
      <c r="K51" s="18" t="s">
        <v>186</v>
      </c>
    </row>
    <row r="52" spans="1:11" ht="20.25" customHeight="1" x14ac:dyDescent="0.25">
      <c r="A52" s="4"/>
      <c r="B52" s="30"/>
      <c r="C52" s="151" t="s">
        <v>12</v>
      </c>
      <c r="D52" s="151"/>
      <c r="E52" s="45">
        <f>SUM(E35:E51)</f>
        <v>30</v>
      </c>
      <c r="F52" s="45">
        <f t="shared" ref="F52:J52" si="2">SUM(F35:F51)</f>
        <v>2</v>
      </c>
      <c r="G52" s="45">
        <f t="shared" si="2"/>
        <v>550</v>
      </c>
      <c r="H52" s="45">
        <f t="shared" si="2"/>
        <v>2</v>
      </c>
      <c r="I52" s="45">
        <f t="shared" si="2"/>
        <v>0</v>
      </c>
      <c r="J52" s="45">
        <f t="shared" si="2"/>
        <v>12300000</v>
      </c>
      <c r="K52" s="30"/>
    </row>
    <row r="53" spans="1:11" ht="15.75" x14ac:dyDescent="0.25">
      <c r="A53" s="50"/>
      <c r="B53" s="24"/>
      <c r="C53" s="24"/>
      <c r="D53" s="24"/>
      <c r="E53" s="24"/>
      <c r="F53" s="24"/>
      <c r="G53" s="24"/>
      <c r="H53" s="24"/>
      <c r="I53" s="24"/>
      <c r="J53" s="24"/>
      <c r="K53" s="24"/>
    </row>
    <row r="55" spans="1:11" ht="15.75" x14ac:dyDescent="0.25">
      <c r="H55" s="58"/>
      <c r="I55" s="149" t="s">
        <v>372</v>
      </c>
      <c r="J55" s="149"/>
      <c r="K55" s="149"/>
    </row>
    <row r="56" spans="1:11" ht="15.75" x14ac:dyDescent="0.25">
      <c r="H56" s="58"/>
      <c r="I56" s="57"/>
      <c r="J56" s="57"/>
      <c r="K56" s="57"/>
    </row>
    <row r="57" spans="1:11" ht="15.75" x14ac:dyDescent="0.25">
      <c r="A57" s="149" t="s">
        <v>369</v>
      </c>
      <c r="B57" s="149"/>
      <c r="C57" s="149"/>
      <c r="D57" s="149"/>
      <c r="H57" s="58"/>
      <c r="I57" s="149" t="s">
        <v>69</v>
      </c>
      <c r="J57" s="149"/>
      <c r="K57" s="149"/>
    </row>
    <row r="58" spans="1:11" ht="15.75" x14ac:dyDescent="0.25">
      <c r="A58" s="149" t="s">
        <v>370</v>
      </c>
      <c r="B58" s="149"/>
      <c r="C58" s="149"/>
      <c r="D58" s="149"/>
      <c r="H58" s="58"/>
      <c r="I58" s="149"/>
      <c r="J58" s="149"/>
      <c r="K58" s="149"/>
    </row>
    <row r="59" spans="1:11" ht="15.75" x14ac:dyDescent="0.25">
      <c r="A59" s="148" t="s">
        <v>65</v>
      </c>
      <c r="B59" s="148"/>
      <c r="C59" s="148"/>
      <c r="D59" s="148"/>
      <c r="H59" s="55"/>
      <c r="I59" s="55"/>
      <c r="J59" s="56"/>
      <c r="K59" s="56"/>
    </row>
    <row r="60" spans="1:11" ht="15.75" x14ac:dyDescent="0.25">
      <c r="A60" s="54"/>
      <c r="B60" s="54"/>
      <c r="C60" s="54"/>
      <c r="D60" s="54"/>
      <c r="H60" s="55"/>
      <c r="I60" s="55"/>
      <c r="J60" s="56"/>
      <c r="K60" s="56"/>
    </row>
    <row r="61" spans="1:11" ht="15.75" x14ac:dyDescent="0.25">
      <c r="A61" s="54"/>
      <c r="B61" s="54"/>
      <c r="C61" s="54"/>
      <c r="D61" s="54"/>
      <c r="H61" s="55"/>
      <c r="I61" s="55"/>
      <c r="J61" s="56"/>
      <c r="K61" s="56"/>
    </row>
    <row r="62" spans="1:11" ht="15.75" x14ac:dyDescent="0.25">
      <c r="A62" s="54"/>
      <c r="B62" s="54"/>
      <c r="C62" s="54"/>
      <c r="D62" s="54"/>
      <c r="H62" s="55"/>
      <c r="I62" s="55"/>
      <c r="J62" s="56"/>
      <c r="K62" s="56"/>
    </row>
    <row r="63" spans="1:11" ht="15.75" x14ac:dyDescent="0.25">
      <c r="A63" s="58"/>
      <c r="B63" s="58"/>
      <c r="C63" s="58"/>
      <c r="D63" s="58"/>
      <c r="H63" s="55"/>
      <c r="I63" s="58"/>
      <c r="J63" s="58"/>
      <c r="K63" s="58"/>
    </row>
    <row r="64" spans="1:11" ht="15.75" x14ac:dyDescent="0.25">
      <c r="A64" s="149" t="s">
        <v>67</v>
      </c>
      <c r="B64" s="149"/>
      <c r="C64" s="149"/>
      <c r="D64" s="149"/>
      <c r="H64" s="55"/>
      <c r="I64" s="149" t="s">
        <v>70</v>
      </c>
      <c r="J64" s="149"/>
      <c r="K64" s="149"/>
    </row>
    <row r="65" spans="1:11" ht="15.75" x14ac:dyDescent="0.25">
      <c r="A65" s="149" t="s">
        <v>68</v>
      </c>
      <c r="B65" s="149"/>
      <c r="C65" s="149"/>
      <c r="D65" s="149"/>
      <c r="H65" s="58"/>
      <c r="I65" s="149" t="s">
        <v>71</v>
      </c>
      <c r="J65" s="149"/>
      <c r="K65" s="149"/>
    </row>
  </sheetData>
  <mergeCells count="16">
    <mergeCell ref="C52:D52"/>
    <mergeCell ref="A58:D58"/>
    <mergeCell ref="I58:K58"/>
    <mergeCell ref="A59:D59"/>
    <mergeCell ref="A1:K1"/>
    <mergeCell ref="A2:K2"/>
    <mergeCell ref="A3:K3"/>
    <mergeCell ref="C30:D30"/>
    <mergeCell ref="B35:D35"/>
    <mergeCell ref="A64:D64"/>
    <mergeCell ref="I64:K64"/>
    <mergeCell ref="A65:D65"/>
    <mergeCell ref="I65:K65"/>
    <mergeCell ref="I55:K55"/>
    <mergeCell ref="A57:D57"/>
    <mergeCell ref="I57:K57"/>
  </mergeCells>
  <pageMargins left="0.35433070866141736" right="0.23622047244094491" top="0.35433070866141736" bottom="0.35433070866141736" header="0.31496062992125984" footer="0.31496062992125984"/>
  <pageSetup paperSize="122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B255-0C08-47FD-A0B7-21A95574D2C7}">
  <dimension ref="A1:K63"/>
  <sheetViews>
    <sheetView topLeftCell="A25" workbookViewId="0">
      <selection activeCell="Q38" sqref="Q38"/>
    </sheetView>
  </sheetViews>
  <sheetFormatPr defaultRowHeight="15" x14ac:dyDescent="0.25"/>
  <cols>
    <col min="1" max="1" width="5.42578125" customWidth="1"/>
    <col min="2" max="2" width="15.7109375" customWidth="1"/>
    <col min="3" max="3" width="32.85546875" customWidth="1"/>
    <col min="4" max="4" width="14.7109375" customWidth="1"/>
    <col min="5" max="5" width="11.5703125" customWidth="1"/>
    <col min="6" max="6" width="12.42578125" customWidth="1"/>
    <col min="7" max="7" width="8.28515625" customWidth="1"/>
    <col min="8" max="8" width="9.28515625" customWidth="1"/>
    <col min="9" max="9" width="16.85546875" customWidth="1"/>
    <col min="10" max="11" width="20" customWidth="1"/>
  </cols>
  <sheetData>
    <row r="1" spans="1:11" ht="21.75" customHeight="1" x14ac:dyDescent="0.25">
      <c r="A1" s="150" t="s">
        <v>254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5.75" x14ac:dyDescent="0.25">
      <c r="A2" s="150" t="s">
        <v>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5.75" x14ac:dyDescent="0.25">
      <c r="A3" s="150" t="s">
        <v>62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30.75" customHeight="1" x14ac:dyDescent="0.25">
      <c r="A5" s="4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6" t="s">
        <v>7</v>
      </c>
      <c r="H5" s="4" t="s">
        <v>8</v>
      </c>
      <c r="I5" s="4" t="s">
        <v>9</v>
      </c>
      <c r="J5" s="4" t="s">
        <v>10</v>
      </c>
      <c r="K5" s="4" t="s">
        <v>11</v>
      </c>
    </row>
    <row r="6" spans="1:11" ht="19.149999999999999" customHeight="1" x14ac:dyDescent="0.25">
      <c r="A6" s="7">
        <v>1</v>
      </c>
      <c r="B6" s="8">
        <v>46082</v>
      </c>
      <c r="C6" s="9" t="s">
        <v>244</v>
      </c>
      <c r="D6" s="8">
        <v>46084</v>
      </c>
      <c r="E6" s="10">
        <v>1</v>
      </c>
      <c r="F6" s="10"/>
      <c r="G6" s="11"/>
      <c r="H6" s="11"/>
      <c r="I6" s="11"/>
      <c r="J6" s="11">
        <v>250000</v>
      </c>
      <c r="K6" s="12" t="s">
        <v>44</v>
      </c>
    </row>
    <row r="7" spans="1:11" ht="19.149999999999999" customHeight="1" x14ac:dyDescent="0.25">
      <c r="A7" s="13">
        <v>2</v>
      </c>
      <c r="B7" s="14"/>
      <c r="C7" s="15" t="s">
        <v>245</v>
      </c>
      <c r="D7" s="14">
        <v>46124</v>
      </c>
      <c r="E7" s="16"/>
      <c r="F7" s="16"/>
      <c r="G7" s="17">
        <v>100</v>
      </c>
      <c r="H7" s="17"/>
      <c r="I7" s="17"/>
      <c r="J7" s="17">
        <v>200000</v>
      </c>
      <c r="K7" s="18"/>
    </row>
    <row r="8" spans="1:11" ht="19.149999999999999" customHeight="1" x14ac:dyDescent="0.25">
      <c r="A8" s="13">
        <v>3</v>
      </c>
      <c r="B8" s="14">
        <v>46083</v>
      </c>
      <c r="C8" s="18" t="s">
        <v>246</v>
      </c>
      <c r="D8" s="14">
        <v>46137</v>
      </c>
      <c r="E8" s="16">
        <v>1</v>
      </c>
      <c r="F8" s="16"/>
      <c r="G8" s="19"/>
      <c r="H8" s="17"/>
      <c r="I8" s="17"/>
      <c r="J8" s="17">
        <v>250000</v>
      </c>
      <c r="K8" s="18" t="s">
        <v>41</v>
      </c>
    </row>
    <row r="9" spans="1:11" ht="19.149999999999999" customHeight="1" x14ac:dyDescent="0.25">
      <c r="A9" s="13">
        <v>4</v>
      </c>
      <c r="B9" s="14">
        <v>46084</v>
      </c>
      <c r="C9" s="15" t="s">
        <v>247</v>
      </c>
      <c r="D9" s="14">
        <v>46088</v>
      </c>
      <c r="E9" s="16">
        <v>1</v>
      </c>
      <c r="F9" s="16"/>
      <c r="G9" s="17"/>
      <c r="H9" s="17"/>
      <c r="I9" s="17"/>
      <c r="J9" s="17">
        <v>250000</v>
      </c>
      <c r="K9" s="18" t="s">
        <v>41</v>
      </c>
    </row>
    <row r="10" spans="1:11" ht="19.149999999999999" customHeight="1" x14ac:dyDescent="0.25">
      <c r="A10" s="13">
        <v>5</v>
      </c>
      <c r="B10" s="14">
        <v>46085</v>
      </c>
      <c r="C10" s="15" t="s">
        <v>248</v>
      </c>
      <c r="D10" s="14">
        <v>46089</v>
      </c>
      <c r="E10" s="16">
        <v>1</v>
      </c>
      <c r="F10" s="16"/>
      <c r="G10" s="17"/>
      <c r="H10" s="17"/>
      <c r="I10" s="17"/>
      <c r="J10" s="17">
        <v>250000</v>
      </c>
      <c r="K10" s="18" t="s">
        <v>41</v>
      </c>
    </row>
    <row r="11" spans="1:11" ht="19.149999999999999" customHeight="1" x14ac:dyDescent="0.25">
      <c r="A11" s="13">
        <v>6</v>
      </c>
      <c r="B11" s="14">
        <v>46086</v>
      </c>
      <c r="C11" s="15" t="s">
        <v>249</v>
      </c>
      <c r="D11" s="14">
        <v>46143</v>
      </c>
      <c r="E11" s="16">
        <v>1</v>
      </c>
      <c r="F11" s="16"/>
      <c r="G11" s="17"/>
      <c r="H11" s="17"/>
      <c r="I11" s="17"/>
      <c r="J11" s="17">
        <v>250000</v>
      </c>
      <c r="K11" s="18" t="s">
        <v>44</v>
      </c>
    </row>
    <row r="12" spans="1:11" ht="19.149999999999999" customHeight="1" x14ac:dyDescent="0.25">
      <c r="A12" s="13">
        <v>7</v>
      </c>
      <c r="B12" s="14">
        <v>46087</v>
      </c>
      <c r="C12" s="15" t="s">
        <v>250</v>
      </c>
      <c r="D12" s="14">
        <v>46156</v>
      </c>
      <c r="E12" s="16">
        <v>1</v>
      </c>
      <c r="F12" s="16"/>
      <c r="G12" s="17"/>
      <c r="H12" s="17"/>
      <c r="I12" s="17"/>
      <c r="J12" s="17">
        <v>250000</v>
      </c>
      <c r="K12" s="18" t="s">
        <v>49</v>
      </c>
    </row>
    <row r="13" spans="1:11" ht="19.149999999999999" customHeight="1" x14ac:dyDescent="0.25">
      <c r="A13" s="13">
        <v>8</v>
      </c>
      <c r="B13" s="14"/>
      <c r="C13" s="15" t="s">
        <v>250</v>
      </c>
      <c r="D13" s="14">
        <v>46156</v>
      </c>
      <c r="E13" s="16"/>
      <c r="F13" s="16"/>
      <c r="G13" s="17">
        <v>100</v>
      </c>
      <c r="H13" s="17"/>
      <c r="I13" s="17"/>
      <c r="J13" s="17">
        <v>200000</v>
      </c>
      <c r="K13" s="18"/>
    </row>
    <row r="14" spans="1:11" ht="19.149999999999999" customHeight="1" x14ac:dyDescent="0.25">
      <c r="A14" s="13">
        <v>9</v>
      </c>
      <c r="B14" s="14">
        <v>46088</v>
      </c>
      <c r="C14" s="15" t="s">
        <v>251</v>
      </c>
      <c r="D14" s="14">
        <v>46088</v>
      </c>
      <c r="E14" s="16">
        <v>1</v>
      </c>
      <c r="F14" s="16"/>
      <c r="G14" s="17"/>
      <c r="H14" s="17"/>
      <c r="I14" s="17"/>
      <c r="J14" s="17">
        <v>250000</v>
      </c>
      <c r="K14" s="18" t="s">
        <v>47</v>
      </c>
    </row>
    <row r="15" spans="1:11" ht="19.149999999999999" customHeight="1" x14ac:dyDescent="0.25">
      <c r="A15" s="13">
        <v>10</v>
      </c>
      <c r="B15" s="14">
        <v>46089</v>
      </c>
      <c r="C15" s="15" t="s">
        <v>252</v>
      </c>
      <c r="D15" s="14">
        <v>46095</v>
      </c>
      <c r="E15" s="16">
        <v>1</v>
      </c>
      <c r="F15" s="16"/>
      <c r="G15" s="17"/>
      <c r="H15" s="17"/>
      <c r="I15" s="17"/>
      <c r="J15" s="17">
        <v>250000</v>
      </c>
      <c r="K15" s="18" t="s">
        <v>44</v>
      </c>
    </row>
    <row r="16" spans="1:11" ht="19.149999999999999" customHeight="1" x14ac:dyDescent="0.25">
      <c r="A16" s="13">
        <v>11</v>
      </c>
      <c r="B16" s="14"/>
      <c r="C16" s="15" t="s">
        <v>253</v>
      </c>
      <c r="D16" s="14">
        <v>46131</v>
      </c>
      <c r="E16" s="16"/>
      <c r="F16" s="16"/>
      <c r="G16" s="17">
        <v>100</v>
      </c>
      <c r="H16" s="17"/>
      <c r="I16" s="17"/>
      <c r="J16" s="17">
        <v>200000</v>
      </c>
      <c r="K16" s="18"/>
    </row>
    <row r="17" spans="1:11" ht="19.149999999999999" customHeight="1" x14ac:dyDescent="0.25">
      <c r="A17" s="13">
        <v>12</v>
      </c>
      <c r="B17" s="14">
        <v>46090</v>
      </c>
      <c r="C17" s="15" t="s">
        <v>255</v>
      </c>
      <c r="D17" s="14">
        <v>46100</v>
      </c>
      <c r="E17" s="16">
        <v>2</v>
      </c>
      <c r="F17" s="16"/>
      <c r="G17" s="17"/>
      <c r="H17" s="17"/>
      <c r="I17" s="17"/>
      <c r="J17" s="17">
        <v>500000</v>
      </c>
      <c r="K17" s="18" t="s">
        <v>48</v>
      </c>
    </row>
    <row r="18" spans="1:11" ht="19.149999999999999" customHeight="1" x14ac:dyDescent="0.25">
      <c r="A18" s="13">
        <v>13</v>
      </c>
      <c r="B18" s="18"/>
      <c r="C18" s="15" t="s">
        <v>256</v>
      </c>
      <c r="D18" s="20">
        <v>46095</v>
      </c>
      <c r="E18" s="16">
        <v>1</v>
      </c>
      <c r="F18" s="18"/>
      <c r="G18" s="18"/>
      <c r="H18" s="18">
        <v>1</v>
      </c>
      <c r="I18" s="18"/>
      <c r="J18" s="17">
        <v>350000</v>
      </c>
      <c r="K18" s="18" t="s">
        <v>41</v>
      </c>
    </row>
    <row r="19" spans="1:11" ht="19.149999999999999" customHeight="1" x14ac:dyDescent="0.25">
      <c r="A19" s="13">
        <v>14</v>
      </c>
      <c r="B19" s="14">
        <v>46093</v>
      </c>
      <c r="C19" s="15" t="s">
        <v>257</v>
      </c>
      <c r="D19" s="14">
        <v>46124</v>
      </c>
      <c r="E19" s="16"/>
      <c r="F19" s="16"/>
      <c r="G19" s="17">
        <v>150</v>
      </c>
      <c r="H19" s="17"/>
      <c r="I19" s="17"/>
      <c r="J19" s="17">
        <v>300000</v>
      </c>
      <c r="K19" s="18"/>
    </row>
    <row r="20" spans="1:11" ht="19.5" customHeight="1" x14ac:dyDescent="0.25">
      <c r="A20" s="13">
        <v>15</v>
      </c>
      <c r="B20" s="14">
        <v>46094</v>
      </c>
      <c r="C20" s="15" t="s">
        <v>258</v>
      </c>
      <c r="D20" s="20">
        <v>46168</v>
      </c>
      <c r="E20" s="16">
        <v>1</v>
      </c>
      <c r="F20" s="18"/>
      <c r="G20" s="18"/>
      <c r="H20" s="18"/>
      <c r="I20" s="18"/>
      <c r="J20" s="17">
        <v>250000</v>
      </c>
      <c r="K20" s="18" t="s">
        <v>41</v>
      </c>
    </row>
    <row r="21" spans="1:11" ht="19.149999999999999" customHeight="1" x14ac:dyDescent="0.25">
      <c r="A21" s="13">
        <v>16</v>
      </c>
      <c r="B21" s="14"/>
      <c r="C21" s="21" t="s">
        <v>259</v>
      </c>
      <c r="D21" s="14">
        <v>46159</v>
      </c>
      <c r="E21" s="16">
        <v>2</v>
      </c>
      <c r="F21" s="16"/>
      <c r="G21" s="17"/>
      <c r="H21" s="17"/>
      <c r="I21" s="17"/>
      <c r="J21" s="17">
        <v>500000</v>
      </c>
      <c r="K21" s="18" t="s">
        <v>48</v>
      </c>
    </row>
    <row r="22" spans="1:11" ht="19.149999999999999" customHeight="1" x14ac:dyDescent="0.25">
      <c r="A22" s="13">
        <v>17</v>
      </c>
      <c r="B22" s="14">
        <v>46098</v>
      </c>
      <c r="C22" s="21" t="s">
        <v>260</v>
      </c>
      <c r="D22" s="14">
        <v>46193</v>
      </c>
      <c r="E22" s="16">
        <v>1</v>
      </c>
      <c r="F22" s="16"/>
      <c r="G22" s="17"/>
      <c r="H22" s="17"/>
      <c r="I22" s="17"/>
      <c r="J22" s="17">
        <v>250000</v>
      </c>
      <c r="K22" s="18" t="s">
        <v>41</v>
      </c>
    </row>
    <row r="23" spans="1:11" ht="19.149999999999999" customHeight="1" x14ac:dyDescent="0.25">
      <c r="A23" s="13">
        <v>18</v>
      </c>
      <c r="B23" s="14"/>
      <c r="C23" s="15" t="s">
        <v>261</v>
      </c>
      <c r="D23" s="14">
        <v>46124</v>
      </c>
      <c r="E23" s="16"/>
      <c r="F23" s="16"/>
      <c r="G23" s="17">
        <v>200</v>
      </c>
      <c r="H23" s="17"/>
      <c r="I23" s="17"/>
      <c r="J23" s="17">
        <v>400000</v>
      </c>
      <c r="K23" s="18"/>
    </row>
    <row r="24" spans="1:11" ht="19.149999999999999" customHeight="1" x14ac:dyDescent="0.25">
      <c r="A24" s="13">
        <v>19</v>
      </c>
      <c r="B24" s="14">
        <v>46099</v>
      </c>
      <c r="C24" s="15" t="s">
        <v>262</v>
      </c>
      <c r="D24" s="14">
        <v>46124</v>
      </c>
      <c r="E24" s="16"/>
      <c r="F24" s="16"/>
      <c r="G24" s="17">
        <v>100</v>
      </c>
      <c r="H24" s="17"/>
      <c r="I24" s="17"/>
      <c r="J24" s="17">
        <v>200000</v>
      </c>
      <c r="K24" s="18" t="s">
        <v>45</v>
      </c>
    </row>
    <row r="25" spans="1:11" ht="19.149999999999999" customHeight="1" x14ac:dyDescent="0.25">
      <c r="A25" s="13">
        <v>20</v>
      </c>
      <c r="B25" s="14">
        <v>46100</v>
      </c>
      <c r="C25" s="15" t="s">
        <v>263</v>
      </c>
      <c r="D25" s="14">
        <v>46133</v>
      </c>
      <c r="E25" s="16">
        <v>1</v>
      </c>
      <c r="F25" s="16"/>
      <c r="G25" s="17"/>
      <c r="H25" s="17">
        <v>1</v>
      </c>
      <c r="I25" s="17"/>
      <c r="J25" s="17">
        <v>350000</v>
      </c>
      <c r="K25" s="18" t="s">
        <v>44</v>
      </c>
    </row>
    <row r="26" spans="1:11" ht="19.149999999999999" customHeight="1" x14ac:dyDescent="0.25">
      <c r="A26" s="13">
        <v>21</v>
      </c>
      <c r="B26" s="14"/>
      <c r="C26" s="15" t="s">
        <v>264</v>
      </c>
      <c r="D26" s="14">
        <v>46123</v>
      </c>
      <c r="E26" s="16"/>
      <c r="F26" s="16"/>
      <c r="G26" s="17">
        <v>50</v>
      </c>
      <c r="H26" s="17"/>
      <c r="I26" s="17"/>
      <c r="J26" s="17">
        <v>100000</v>
      </c>
      <c r="K26" s="18"/>
    </row>
    <row r="27" spans="1:11" ht="19.149999999999999" customHeight="1" x14ac:dyDescent="0.25">
      <c r="A27" s="13">
        <v>22</v>
      </c>
      <c r="B27" s="14">
        <v>46103</v>
      </c>
      <c r="C27" s="21" t="s">
        <v>265</v>
      </c>
      <c r="D27" s="14">
        <v>46129</v>
      </c>
      <c r="E27" s="16">
        <v>1</v>
      </c>
      <c r="F27" s="16"/>
      <c r="G27" s="17"/>
      <c r="H27" s="22"/>
      <c r="I27" s="22"/>
      <c r="J27" s="17">
        <v>250000</v>
      </c>
      <c r="K27" s="21" t="s">
        <v>44</v>
      </c>
    </row>
    <row r="28" spans="1:11" ht="19.149999999999999" customHeight="1" x14ac:dyDescent="0.25">
      <c r="A28" s="13">
        <v>23</v>
      </c>
      <c r="B28" s="28">
        <v>46106</v>
      </c>
      <c r="C28" s="121" t="s">
        <v>266</v>
      </c>
      <c r="D28" s="35">
        <v>46107</v>
      </c>
      <c r="E28" s="122"/>
      <c r="F28" s="123"/>
      <c r="G28" s="123">
        <v>100</v>
      </c>
      <c r="H28" s="123"/>
      <c r="I28" s="123"/>
      <c r="J28" s="39">
        <v>200000</v>
      </c>
      <c r="K28" s="121"/>
    </row>
    <row r="29" spans="1:11" ht="20.25" customHeight="1" x14ac:dyDescent="0.25">
      <c r="A29" s="4"/>
      <c r="B29" s="30"/>
      <c r="C29" s="151" t="s">
        <v>12</v>
      </c>
      <c r="D29" s="151"/>
      <c r="E29" s="43">
        <f t="shared" ref="E29:J29" si="0">SUM(E6:E28)</f>
        <v>17</v>
      </c>
      <c r="F29" s="43">
        <f t="shared" si="0"/>
        <v>0</v>
      </c>
      <c r="G29" s="43">
        <f t="shared" si="0"/>
        <v>900</v>
      </c>
      <c r="H29" s="43">
        <f t="shared" si="0"/>
        <v>2</v>
      </c>
      <c r="I29" s="43">
        <f t="shared" si="0"/>
        <v>0</v>
      </c>
      <c r="J29" s="43">
        <f t="shared" si="0"/>
        <v>6250000</v>
      </c>
      <c r="K29" s="30"/>
    </row>
    <row r="30" spans="1:11" ht="15.75" x14ac:dyDescent="0.25">
      <c r="A30" s="52"/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1" ht="15.75" x14ac:dyDescent="0.25">
      <c r="A31" s="53"/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1" ht="15.75" x14ac:dyDescent="0.25">
      <c r="A32" s="49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1" ht="30.75" customHeight="1" x14ac:dyDescent="0.25">
      <c r="A33" s="4"/>
      <c r="B33" s="5" t="s">
        <v>2</v>
      </c>
      <c r="C33" s="5" t="s">
        <v>3</v>
      </c>
      <c r="D33" s="5" t="s">
        <v>4</v>
      </c>
      <c r="E33" s="5" t="s">
        <v>5</v>
      </c>
      <c r="F33" s="5" t="s">
        <v>6</v>
      </c>
      <c r="G33" s="6" t="s">
        <v>7</v>
      </c>
      <c r="H33" s="4" t="s">
        <v>8</v>
      </c>
      <c r="I33" s="4" t="s">
        <v>9</v>
      </c>
      <c r="J33" s="4" t="s">
        <v>10</v>
      </c>
      <c r="K33" s="4" t="s">
        <v>11</v>
      </c>
    </row>
    <row r="34" spans="1:11" ht="19.149999999999999" customHeight="1" x14ac:dyDescent="0.25">
      <c r="A34" s="7"/>
      <c r="B34" s="153" t="s">
        <v>13</v>
      </c>
      <c r="C34" s="153"/>
      <c r="D34" s="153"/>
      <c r="E34" s="44">
        <f t="shared" ref="E34:J34" si="1">E29</f>
        <v>17</v>
      </c>
      <c r="F34" s="44">
        <f t="shared" si="1"/>
        <v>0</v>
      </c>
      <c r="G34" s="44">
        <f t="shared" si="1"/>
        <v>900</v>
      </c>
      <c r="H34" s="44">
        <f t="shared" si="1"/>
        <v>2</v>
      </c>
      <c r="I34" s="44">
        <f t="shared" si="1"/>
        <v>0</v>
      </c>
      <c r="J34" s="44">
        <f t="shared" si="1"/>
        <v>6250000</v>
      </c>
      <c r="K34" s="25"/>
    </row>
    <row r="35" spans="1:11" ht="19.149999999999999" customHeight="1" x14ac:dyDescent="0.25">
      <c r="A35" s="13">
        <v>24</v>
      </c>
      <c r="B35" s="14">
        <v>46106</v>
      </c>
      <c r="C35" s="21" t="s">
        <v>267</v>
      </c>
      <c r="D35" s="14">
        <v>46152</v>
      </c>
      <c r="E35" s="23">
        <v>1</v>
      </c>
      <c r="F35" s="22"/>
      <c r="G35" s="22"/>
      <c r="H35" s="22"/>
      <c r="I35" s="22"/>
      <c r="J35" s="17">
        <v>250000</v>
      </c>
      <c r="K35" s="21" t="s">
        <v>43</v>
      </c>
    </row>
    <row r="36" spans="1:11" ht="19.149999999999999" customHeight="1" x14ac:dyDescent="0.25">
      <c r="A36" s="13">
        <v>25</v>
      </c>
      <c r="B36" s="14"/>
      <c r="C36" s="21" t="s">
        <v>268</v>
      </c>
      <c r="D36" s="14">
        <v>46145</v>
      </c>
      <c r="E36" s="23">
        <v>2</v>
      </c>
      <c r="F36" s="23"/>
      <c r="G36" s="26"/>
      <c r="H36" s="26"/>
      <c r="I36" s="26"/>
      <c r="J36" s="17">
        <v>500000</v>
      </c>
      <c r="K36" s="18" t="s">
        <v>48</v>
      </c>
    </row>
    <row r="37" spans="1:11" ht="19.149999999999999" customHeight="1" x14ac:dyDescent="0.25">
      <c r="A37" s="13">
        <v>26</v>
      </c>
      <c r="B37" s="14">
        <v>46107</v>
      </c>
      <c r="C37" s="15" t="s">
        <v>269</v>
      </c>
      <c r="D37" s="14">
        <v>46089</v>
      </c>
      <c r="E37" s="23">
        <v>1</v>
      </c>
      <c r="F37" s="23"/>
      <c r="G37" s="26"/>
      <c r="H37" s="26"/>
      <c r="I37" s="26"/>
      <c r="J37" s="17">
        <v>250000</v>
      </c>
      <c r="K37" s="18" t="s">
        <v>41</v>
      </c>
    </row>
    <row r="38" spans="1:11" ht="19.149999999999999" customHeight="1" x14ac:dyDescent="0.25">
      <c r="A38" s="13">
        <v>27</v>
      </c>
      <c r="B38" s="14"/>
      <c r="C38" s="15" t="s">
        <v>270</v>
      </c>
      <c r="D38" s="14">
        <v>46143</v>
      </c>
      <c r="E38" s="16">
        <v>2</v>
      </c>
      <c r="F38" s="16"/>
      <c r="G38" s="17"/>
      <c r="H38" s="17"/>
      <c r="I38" s="17"/>
      <c r="J38" s="17">
        <v>500000</v>
      </c>
      <c r="K38" s="18"/>
    </row>
    <row r="39" spans="1:11" ht="19.149999999999999" customHeight="1" x14ac:dyDescent="0.25">
      <c r="A39" s="13">
        <v>28</v>
      </c>
      <c r="B39" s="14">
        <v>46108</v>
      </c>
      <c r="C39" s="15" t="s">
        <v>271</v>
      </c>
      <c r="D39" s="14">
        <v>46144</v>
      </c>
      <c r="E39" s="16"/>
      <c r="F39" s="16"/>
      <c r="G39" s="17">
        <v>50</v>
      </c>
      <c r="H39" s="17"/>
      <c r="I39" s="17"/>
      <c r="J39" s="17">
        <v>100000</v>
      </c>
      <c r="K39" s="18" t="s">
        <v>46</v>
      </c>
    </row>
    <row r="40" spans="1:11" ht="19.149999999999999" customHeight="1" x14ac:dyDescent="0.25">
      <c r="A40" s="13">
        <v>29</v>
      </c>
      <c r="B40" s="14"/>
      <c r="C40" s="15" t="s">
        <v>272</v>
      </c>
      <c r="D40" s="14">
        <v>46151</v>
      </c>
      <c r="E40" s="16">
        <v>1</v>
      </c>
      <c r="F40" s="16"/>
      <c r="G40" s="17"/>
      <c r="H40" s="17"/>
      <c r="I40" s="17"/>
      <c r="J40" s="17">
        <v>250000</v>
      </c>
      <c r="K40" s="18" t="s">
        <v>41</v>
      </c>
    </row>
    <row r="41" spans="1:11" ht="19.149999999999999" customHeight="1" x14ac:dyDescent="0.25">
      <c r="A41" s="13">
        <v>30</v>
      </c>
      <c r="B41" s="14">
        <v>46109</v>
      </c>
      <c r="C41" s="15" t="s">
        <v>273</v>
      </c>
      <c r="D41" s="14">
        <v>46158</v>
      </c>
      <c r="E41" s="16">
        <v>2</v>
      </c>
      <c r="F41" s="16"/>
      <c r="G41" s="17"/>
      <c r="H41" s="17"/>
      <c r="I41" s="17"/>
      <c r="J41" s="17">
        <v>500000</v>
      </c>
      <c r="K41" s="18" t="s">
        <v>48</v>
      </c>
    </row>
    <row r="42" spans="1:11" ht="19.149999999999999" customHeight="1" x14ac:dyDescent="0.25">
      <c r="A42" s="13">
        <v>31</v>
      </c>
      <c r="B42" s="14"/>
      <c r="C42" s="15" t="s">
        <v>274</v>
      </c>
      <c r="D42" s="14">
        <v>46145</v>
      </c>
      <c r="E42" s="16">
        <v>1</v>
      </c>
      <c r="F42" s="16"/>
      <c r="G42" s="17"/>
      <c r="H42" s="17"/>
      <c r="I42" s="17"/>
      <c r="J42" s="17">
        <v>250000</v>
      </c>
      <c r="K42" s="18" t="s">
        <v>49</v>
      </c>
    </row>
    <row r="43" spans="1:11" ht="19.149999999999999" customHeight="1" x14ac:dyDescent="0.25">
      <c r="A43" s="13">
        <v>32</v>
      </c>
      <c r="B43" s="14">
        <v>46110</v>
      </c>
      <c r="C43" s="15" t="s">
        <v>275</v>
      </c>
      <c r="D43" s="14">
        <v>46124</v>
      </c>
      <c r="E43" s="16"/>
      <c r="F43" s="16"/>
      <c r="G43" s="17">
        <v>100</v>
      </c>
      <c r="H43" s="17"/>
      <c r="I43" s="17"/>
      <c r="J43" s="17">
        <v>200000</v>
      </c>
      <c r="K43" s="18"/>
    </row>
    <row r="44" spans="1:11" ht="19.149999999999999" customHeight="1" x14ac:dyDescent="0.25">
      <c r="A44" s="13">
        <v>33</v>
      </c>
      <c r="B44" s="14">
        <v>46111</v>
      </c>
      <c r="C44" s="15" t="s">
        <v>276</v>
      </c>
      <c r="D44" s="14">
        <v>46123</v>
      </c>
      <c r="E44" s="16"/>
      <c r="F44" s="16"/>
      <c r="G44" s="17">
        <v>100</v>
      </c>
      <c r="H44" s="17"/>
      <c r="I44" s="17"/>
      <c r="J44" s="17">
        <v>200000</v>
      </c>
      <c r="K44" s="18" t="s">
        <v>42</v>
      </c>
    </row>
    <row r="45" spans="1:11" ht="19.149999999999999" customHeight="1" x14ac:dyDescent="0.25">
      <c r="A45" s="13">
        <v>34</v>
      </c>
      <c r="B45" s="14"/>
      <c r="C45" s="15" t="s">
        <v>277</v>
      </c>
      <c r="D45" s="14">
        <v>46137</v>
      </c>
      <c r="E45" s="16"/>
      <c r="F45" s="16"/>
      <c r="G45" s="17">
        <v>150</v>
      </c>
      <c r="H45" s="17"/>
      <c r="I45" s="17"/>
      <c r="J45" s="17">
        <v>300000</v>
      </c>
      <c r="K45" s="18" t="s">
        <v>42</v>
      </c>
    </row>
    <row r="46" spans="1:11" ht="19.149999999999999" customHeight="1" x14ac:dyDescent="0.25">
      <c r="A46" s="13">
        <v>35</v>
      </c>
      <c r="B46" s="14">
        <v>46112</v>
      </c>
      <c r="C46" s="15" t="s">
        <v>278</v>
      </c>
      <c r="D46" s="14">
        <v>46122</v>
      </c>
      <c r="E46" s="16">
        <v>1</v>
      </c>
      <c r="F46" s="16"/>
      <c r="G46" s="17"/>
      <c r="H46" s="17"/>
      <c r="I46" s="17"/>
      <c r="J46" s="17">
        <v>250000</v>
      </c>
      <c r="K46" s="18" t="s">
        <v>44</v>
      </c>
    </row>
    <row r="47" spans="1:11" ht="19.149999999999999" customHeight="1" x14ac:dyDescent="0.25">
      <c r="A47" s="13">
        <v>36</v>
      </c>
      <c r="B47" s="14"/>
      <c r="C47" s="15" t="s">
        <v>275</v>
      </c>
      <c r="D47" s="14">
        <v>46144</v>
      </c>
      <c r="E47" s="16">
        <v>1</v>
      </c>
      <c r="F47" s="16"/>
      <c r="G47" s="17"/>
      <c r="H47" s="17"/>
      <c r="I47" s="17"/>
      <c r="J47" s="17">
        <v>250000</v>
      </c>
      <c r="K47" s="18" t="s">
        <v>41</v>
      </c>
    </row>
    <row r="48" spans="1:11" ht="19.149999999999999" customHeight="1" x14ac:dyDescent="0.25">
      <c r="A48" s="13">
        <v>37</v>
      </c>
      <c r="B48" s="14"/>
      <c r="C48" s="15" t="s">
        <v>279</v>
      </c>
      <c r="D48" s="14">
        <v>46123</v>
      </c>
      <c r="E48" s="16"/>
      <c r="F48" s="16"/>
      <c r="G48" s="17">
        <v>50</v>
      </c>
      <c r="H48" s="17"/>
      <c r="I48" s="17"/>
      <c r="J48" s="17">
        <v>100000</v>
      </c>
      <c r="K48" s="18"/>
    </row>
    <row r="49" spans="1:11" ht="19.149999999999999" customHeight="1" x14ac:dyDescent="0.25">
      <c r="A49" s="13">
        <v>38</v>
      </c>
      <c r="B49" s="14"/>
      <c r="C49" s="15" t="s">
        <v>280</v>
      </c>
      <c r="D49" s="14">
        <v>46123</v>
      </c>
      <c r="E49" s="16"/>
      <c r="F49" s="16"/>
      <c r="G49" s="17">
        <v>100</v>
      </c>
      <c r="H49" s="17"/>
      <c r="I49" s="17"/>
      <c r="J49" s="17">
        <v>200000</v>
      </c>
      <c r="K49" s="18" t="s">
        <v>42</v>
      </c>
    </row>
    <row r="50" spans="1:11" ht="20.25" customHeight="1" x14ac:dyDescent="0.25">
      <c r="A50" s="4"/>
      <c r="B50" s="30"/>
      <c r="C50" s="151" t="s">
        <v>12</v>
      </c>
      <c r="D50" s="151"/>
      <c r="E50" s="45">
        <f t="shared" ref="E50:J50" si="2">SUM(E34:E49)</f>
        <v>29</v>
      </c>
      <c r="F50" s="45">
        <f t="shared" si="2"/>
        <v>0</v>
      </c>
      <c r="G50" s="45">
        <f t="shared" si="2"/>
        <v>1450</v>
      </c>
      <c r="H50" s="45">
        <f t="shared" si="2"/>
        <v>2</v>
      </c>
      <c r="I50" s="45">
        <f t="shared" si="2"/>
        <v>0</v>
      </c>
      <c r="J50" s="45">
        <f t="shared" si="2"/>
        <v>10350000</v>
      </c>
      <c r="K50" s="30"/>
    </row>
    <row r="51" spans="1:11" ht="15.75" x14ac:dyDescent="0.25">
      <c r="A51" s="50"/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3" spans="1:11" ht="15.75" customHeight="1" x14ac:dyDescent="0.25">
      <c r="H53" s="58"/>
      <c r="I53" s="149" t="s">
        <v>373</v>
      </c>
      <c r="J53" s="149"/>
      <c r="K53" s="149"/>
    </row>
    <row r="54" spans="1:11" ht="15.75" customHeight="1" x14ac:dyDescent="0.25">
      <c r="H54" s="58"/>
      <c r="I54" s="57"/>
      <c r="J54" s="57"/>
      <c r="K54" s="57"/>
    </row>
    <row r="55" spans="1:11" ht="15.75" customHeight="1" x14ac:dyDescent="0.25">
      <c r="A55" s="149" t="s">
        <v>369</v>
      </c>
      <c r="B55" s="149"/>
      <c r="C55" s="149"/>
      <c r="D55" s="149"/>
      <c r="H55" s="58"/>
      <c r="I55" s="149" t="s">
        <v>69</v>
      </c>
      <c r="J55" s="149"/>
      <c r="K55" s="149"/>
    </row>
    <row r="56" spans="1:11" ht="15.75" customHeight="1" x14ac:dyDescent="0.25">
      <c r="A56" s="149" t="s">
        <v>370</v>
      </c>
      <c r="B56" s="149"/>
      <c r="C56" s="149"/>
      <c r="D56" s="149"/>
      <c r="H56" s="58"/>
      <c r="I56" s="149"/>
      <c r="J56" s="149"/>
      <c r="K56" s="149"/>
    </row>
    <row r="57" spans="1:11" ht="15.75" customHeight="1" x14ac:dyDescent="0.25">
      <c r="A57" s="148" t="s">
        <v>65</v>
      </c>
      <c r="B57" s="148"/>
      <c r="C57" s="148"/>
      <c r="D57" s="148"/>
      <c r="H57" s="55"/>
      <c r="I57" s="55"/>
      <c r="J57" s="56"/>
      <c r="K57" s="56"/>
    </row>
    <row r="58" spans="1:11" ht="15.75" x14ac:dyDescent="0.25">
      <c r="A58" s="54"/>
      <c r="B58" s="54"/>
      <c r="C58" s="54"/>
      <c r="D58" s="54"/>
      <c r="H58" s="55"/>
      <c r="I58" s="55"/>
      <c r="J58" s="56"/>
      <c r="K58" s="56"/>
    </row>
    <row r="59" spans="1:11" ht="15.75" customHeight="1" x14ac:dyDescent="0.25">
      <c r="A59" s="54"/>
      <c r="B59" s="54"/>
      <c r="C59" s="54"/>
      <c r="D59" s="54"/>
      <c r="H59" s="55"/>
      <c r="I59" s="55"/>
      <c r="J59" s="56"/>
      <c r="K59" s="56"/>
    </row>
    <row r="60" spans="1:11" ht="15.75" customHeight="1" x14ac:dyDescent="0.25">
      <c r="A60" s="54"/>
      <c r="B60" s="54"/>
      <c r="C60" s="54"/>
      <c r="D60" s="54"/>
      <c r="H60" s="55"/>
      <c r="I60" s="55"/>
      <c r="J60" s="56"/>
      <c r="K60" s="56"/>
    </row>
    <row r="61" spans="1:11" ht="15.75" customHeight="1" x14ac:dyDescent="0.25">
      <c r="A61" s="58"/>
      <c r="B61" s="58"/>
      <c r="C61" s="58"/>
      <c r="D61" s="58"/>
      <c r="H61" s="55"/>
      <c r="I61" s="58"/>
      <c r="J61" s="58"/>
      <c r="K61" s="58"/>
    </row>
    <row r="62" spans="1:11" ht="15.75" customHeight="1" x14ac:dyDescent="0.25">
      <c r="A62" s="149" t="s">
        <v>67</v>
      </c>
      <c r="B62" s="149"/>
      <c r="C62" s="149"/>
      <c r="D62" s="149"/>
      <c r="H62" s="55"/>
      <c r="I62" s="149" t="s">
        <v>70</v>
      </c>
      <c r="J62" s="149"/>
      <c r="K62" s="149"/>
    </row>
    <row r="63" spans="1:11" ht="15.75" customHeight="1" x14ac:dyDescent="0.25">
      <c r="A63" s="149" t="s">
        <v>68</v>
      </c>
      <c r="B63" s="149"/>
      <c r="C63" s="149"/>
      <c r="D63" s="149"/>
      <c r="H63" s="58"/>
      <c r="I63" s="149" t="s">
        <v>71</v>
      </c>
      <c r="J63" s="149"/>
      <c r="K63" s="149"/>
    </row>
  </sheetData>
  <mergeCells count="16">
    <mergeCell ref="I53:K53"/>
    <mergeCell ref="C50:D50"/>
    <mergeCell ref="A1:K1"/>
    <mergeCell ref="A2:K2"/>
    <mergeCell ref="A3:K3"/>
    <mergeCell ref="C29:D29"/>
    <mergeCell ref="B34:D34"/>
    <mergeCell ref="A62:D62"/>
    <mergeCell ref="I62:K62"/>
    <mergeCell ref="A63:D63"/>
    <mergeCell ref="I63:K63"/>
    <mergeCell ref="A55:D55"/>
    <mergeCell ref="I55:K55"/>
    <mergeCell ref="A56:D56"/>
    <mergeCell ref="I56:K56"/>
    <mergeCell ref="A57:D57"/>
  </mergeCells>
  <pageMargins left="0.35433070866141736" right="0.23622047244094491" top="0.43307086614173229" bottom="0.35433070866141736" header="0.31496062992125984" footer="0.31496062992125984"/>
  <pageSetup paperSize="122" scale="95" orientation="landscape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208B6C4-F37A-41A9-BF57-42577C357CF4}">
          <x14:formula1>
            <xm:f>Sheet1!$B$3:$B$13</xm:f>
          </x14:formula1>
          <xm:sqref>K27:K33 K35 K2 K55:K56 K4:K24 K50:K52 K58:K1048576</xm:sqref>
        </x14:dataValidation>
        <x14:dataValidation type="list" allowBlank="1" showInputMessage="1" showErrorMessage="1" xr:uid="{45D0E94C-5F9D-4E62-A5C6-497706040A32}">
          <x14:formula1>
            <xm:f>Sheet1!$F$3:$F$51</xm:f>
          </x14:formula1>
          <xm:sqref>J19 J38:J41 J21:J22</xm:sqref>
        </x14:dataValidation>
        <x14:dataValidation type="list" allowBlank="1" showInputMessage="1" showErrorMessage="1" xr:uid="{F0118D05-14A1-4253-88B5-3AF68FDCB485}">
          <x14:formula1>
            <xm:f>Sheet1!$C$3:$C$12</xm:f>
          </x14:formula1>
          <xm:sqref>H38:H41 E19:F19 H19 E38:F41 E21:F22 H21:H22</xm:sqref>
        </x14:dataValidation>
        <x14:dataValidation type="list" allowBlank="1" showInputMessage="1" showErrorMessage="1" xr:uid="{817B166C-8282-42E8-AFB9-96D3E614633C}">
          <x14:formula1>
            <xm:f>Sheet1!$D$3:$D$12</xm:f>
          </x14:formula1>
          <xm:sqref>I19 I38:I41 I21:I22</xm:sqref>
        </x14:dataValidation>
        <x14:dataValidation type="list" allowBlank="1" showInputMessage="1" showErrorMessage="1" xr:uid="{065C4F0B-4C0A-4A96-B495-C6C4089ACD10}">
          <x14:formula1>
            <xm:f>Sheet1!$E$3:$E$51</xm:f>
          </x14:formula1>
          <xm:sqref>G38:G41</xm:sqref>
        </x14:dataValidation>
        <x14:dataValidation type="list" allowBlank="1" showInputMessage="1" showErrorMessage="1" xr:uid="{6BF45901-159B-45DA-96CD-C4BAA2484823}">
          <x14:formula1>
            <xm:f>Sheet1!$E$3:$E$42</xm:f>
          </x14:formula1>
          <xm:sqref>G19 G21:G22</xm:sqref>
        </x14:dataValidation>
        <x14:dataValidation type="list" allowBlank="1" showInputMessage="1" showErrorMessage="1" xr:uid="{6C3C617A-8924-4CDA-A03D-804539AAEBC5}">
          <x14:formula1>
            <xm:f>Sheet1!$B$3:$B$19</xm:f>
          </x14:formula1>
          <xm:sqref>K25:K26 K34 K36:K49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D6B9-B143-4CEC-AA37-2F70D8563D37}">
  <dimension ref="A1:K258"/>
  <sheetViews>
    <sheetView topLeftCell="A220" workbookViewId="0">
      <selection activeCell="A203" sqref="A203:A229"/>
    </sheetView>
  </sheetViews>
  <sheetFormatPr defaultRowHeight="15" x14ac:dyDescent="0.25"/>
  <cols>
    <col min="1" max="1" width="5.42578125" customWidth="1"/>
    <col min="2" max="2" width="15.7109375" customWidth="1"/>
    <col min="3" max="3" width="33.42578125" customWidth="1"/>
    <col min="4" max="4" width="14.7109375" customWidth="1"/>
    <col min="5" max="5" width="11.5703125" customWidth="1"/>
    <col min="6" max="6" width="12.42578125" customWidth="1"/>
    <col min="7" max="7" width="8.28515625" customWidth="1"/>
    <col min="8" max="8" width="9.28515625" customWidth="1"/>
    <col min="9" max="9" width="17" customWidth="1"/>
    <col min="10" max="10" width="19.140625" customWidth="1"/>
    <col min="11" max="11" width="27.140625" customWidth="1"/>
  </cols>
  <sheetData>
    <row r="1" spans="1:11" ht="21.75" customHeight="1" x14ac:dyDescent="0.25">
      <c r="A1" s="150" t="s">
        <v>281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5.75" x14ac:dyDescent="0.25">
      <c r="A2" s="150" t="s">
        <v>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5.75" x14ac:dyDescent="0.25">
      <c r="A3" s="150" t="s">
        <v>62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30.75" customHeight="1" x14ac:dyDescent="0.25">
      <c r="A5" s="4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6" t="s">
        <v>7</v>
      </c>
      <c r="H5" s="4" t="s">
        <v>8</v>
      </c>
      <c r="I5" s="4" t="s">
        <v>9</v>
      </c>
      <c r="J5" s="4" t="s">
        <v>10</v>
      </c>
      <c r="K5" s="4" t="s">
        <v>11</v>
      </c>
    </row>
    <row r="6" spans="1:11" ht="19.149999999999999" customHeight="1" x14ac:dyDescent="0.25">
      <c r="A6" s="7">
        <v>1</v>
      </c>
      <c r="B6" s="8">
        <v>46113</v>
      </c>
      <c r="C6" s="9" t="s">
        <v>282</v>
      </c>
      <c r="D6" s="8">
        <v>46130</v>
      </c>
      <c r="E6" s="10"/>
      <c r="F6" s="10"/>
      <c r="G6" s="11">
        <v>50</v>
      </c>
      <c r="H6" s="11"/>
      <c r="I6" s="11"/>
      <c r="J6" s="11">
        <v>100000</v>
      </c>
      <c r="K6" s="12"/>
    </row>
    <row r="7" spans="1:11" ht="19.149999999999999" customHeight="1" x14ac:dyDescent="0.25">
      <c r="A7" s="13">
        <v>2</v>
      </c>
      <c r="B7" s="14"/>
      <c r="C7" s="15" t="s">
        <v>283</v>
      </c>
      <c r="D7" s="14">
        <v>46156</v>
      </c>
      <c r="E7" s="16">
        <v>2</v>
      </c>
      <c r="F7" s="16"/>
      <c r="G7" s="17"/>
      <c r="H7" s="17"/>
      <c r="I7" s="17"/>
      <c r="J7" s="17">
        <v>500000</v>
      </c>
      <c r="K7" s="18" t="s">
        <v>48</v>
      </c>
    </row>
    <row r="8" spans="1:11" ht="19.149999999999999" customHeight="1" x14ac:dyDescent="0.25">
      <c r="A8" s="13">
        <v>3</v>
      </c>
      <c r="B8" s="14"/>
      <c r="C8" s="18" t="s">
        <v>284</v>
      </c>
      <c r="D8" s="14">
        <v>46131</v>
      </c>
      <c r="E8" s="16"/>
      <c r="F8" s="16"/>
      <c r="G8" s="19">
        <v>100</v>
      </c>
      <c r="H8" s="17"/>
      <c r="I8" s="17"/>
      <c r="J8" s="17">
        <v>200000</v>
      </c>
      <c r="K8" s="18" t="s">
        <v>42</v>
      </c>
    </row>
    <row r="9" spans="1:11" ht="19.149999999999999" customHeight="1" x14ac:dyDescent="0.25">
      <c r="A9" s="13">
        <v>4</v>
      </c>
      <c r="B9" s="14"/>
      <c r="C9" s="15" t="s">
        <v>285</v>
      </c>
      <c r="D9" s="14">
        <v>46127</v>
      </c>
      <c r="E9" s="16">
        <v>1</v>
      </c>
      <c r="F9" s="16"/>
      <c r="G9" s="17"/>
      <c r="H9" s="17"/>
      <c r="I9" s="17"/>
      <c r="J9" s="17">
        <v>250000</v>
      </c>
      <c r="K9" s="18" t="s">
        <v>41</v>
      </c>
    </row>
    <row r="10" spans="1:11" ht="19.149999999999999" customHeight="1" x14ac:dyDescent="0.25">
      <c r="A10" s="13">
        <v>5</v>
      </c>
      <c r="B10" s="14"/>
      <c r="C10" s="15"/>
      <c r="D10" s="14"/>
      <c r="E10" s="16">
        <v>1</v>
      </c>
      <c r="F10" s="16"/>
      <c r="G10" s="17"/>
      <c r="H10" s="17"/>
      <c r="I10" s="17"/>
      <c r="J10" s="17">
        <v>250000</v>
      </c>
      <c r="K10" s="18"/>
    </row>
    <row r="11" spans="1:11" ht="19.149999999999999" customHeight="1" x14ac:dyDescent="0.25">
      <c r="A11" s="13">
        <v>6</v>
      </c>
      <c r="B11" s="14">
        <v>46114</v>
      </c>
      <c r="C11" s="15" t="s">
        <v>286</v>
      </c>
      <c r="D11" s="14">
        <v>46124</v>
      </c>
      <c r="E11" s="16"/>
      <c r="F11" s="16"/>
      <c r="G11" s="17">
        <v>100</v>
      </c>
      <c r="H11" s="17"/>
      <c r="I11" s="17"/>
      <c r="J11" s="17">
        <v>200000</v>
      </c>
      <c r="K11" s="18"/>
    </row>
    <row r="12" spans="1:11" ht="19.149999999999999" customHeight="1" x14ac:dyDescent="0.25">
      <c r="A12" s="13">
        <v>7</v>
      </c>
      <c r="B12" s="14"/>
      <c r="C12" s="15" t="s">
        <v>287</v>
      </c>
      <c r="D12" s="14">
        <v>46159</v>
      </c>
      <c r="E12" s="16">
        <v>1</v>
      </c>
      <c r="F12" s="16"/>
      <c r="G12" s="17"/>
      <c r="H12" s="17"/>
      <c r="I12" s="17"/>
      <c r="J12" s="17">
        <v>250000</v>
      </c>
      <c r="K12" s="18" t="s">
        <v>44</v>
      </c>
    </row>
    <row r="13" spans="1:11" ht="19.149999999999999" customHeight="1" x14ac:dyDescent="0.25">
      <c r="A13" s="13">
        <v>8</v>
      </c>
      <c r="B13" s="14"/>
      <c r="C13" s="15" t="s">
        <v>288</v>
      </c>
      <c r="D13" s="14">
        <v>46162</v>
      </c>
      <c r="E13" s="16">
        <v>1</v>
      </c>
      <c r="F13" s="16"/>
      <c r="G13" s="17"/>
      <c r="H13" s="17"/>
      <c r="I13" s="17"/>
      <c r="J13" s="17">
        <v>250000</v>
      </c>
      <c r="K13" s="18" t="s">
        <v>47</v>
      </c>
    </row>
    <row r="14" spans="1:11" ht="27.75" customHeight="1" x14ac:dyDescent="0.25">
      <c r="A14" s="13">
        <v>9</v>
      </c>
      <c r="B14" s="14"/>
      <c r="C14" s="15" t="s">
        <v>289</v>
      </c>
      <c r="D14" s="14">
        <v>46120</v>
      </c>
      <c r="E14" s="16">
        <v>1</v>
      </c>
      <c r="F14" s="16"/>
      <c r="G14" s="17"/>
      <c r="H14" s="17"/>
      <c r="I14" s="17"/>
      <c r="J14" s="17">
        <v>250000</v>
      </c>
      <c r="K14" s="18" t="s">
        <v>47</v>
      </c>
    </row>
    <row r="15" spans="1:11" ht="19.149999999999999" customHeight="1" x14ac:dyDescent="0.25">
      <c r="A15" s="13">
        <v>10</v>
      </c>
      <c r="B15" s="14"/>
      <c r="C15" s="15"/>
      <c r="D15" s="14"/>
      <c r="E15" s="16">
        <v>1</v>
      </c>
      <c r="F15" s="16"/>
      <c r="G15" s="17"/>
      <c r="H15" s="17"/>
      <c r="I15" s="17"/>
      <c r="J15" s="17">
        <v>250000</v>
      </c>
      <c r="K15" s="18"/>
    </row>
    <row r="16" spans="1:11" ht="19.149999999999999" customHeight="1" x14ac:dyDescent="0.25">
      <c r="A16" s="13">
        <v>11</v>
      </c>
      <c r="B16" s="14"/>
      <c r="C16" s="15" t="s">
        <v>513</v>
      </c>
      <c r="D16" s="14">
        <v>46116</v>
      </c>
      <c r="E16" s="16"/>
      <c r="F16" s="16"/>
      <c r="G16" s="17">
        <v>400</v>
      </c>
      <c r="H16" s="17"/>
      <c r="I16" s="17"/>
      <c r="J16" s="17">
        <v>800000</v>
      </c>
      <c r="K16" s="18"/>
    </row>
    <row r="17" spans="1:11" ht="19.149999999999999" customHeight="1" x14ac:dyDescent="0.25">
      <c r="A17" s="13">
        <v>12</v>
      </c>
      <c r="B17" s="14">
        <v>46115</v>
      </c>
      <c r="C17" s="15" t="s">
        <v>290</v>
      </c>
      <c r="D17" s="14">
        <v>46120</v>
      </c>
      <c r="E17" s="16">
        <v>1</v>
      </c>
      <c r="F17" s="16"/>
      <c r="G17" s="17"/>
      <c r="H17" s="17"/>
      <c r="I17" s="17"/>
      <c r="J17" s="17">
        <v>250000</v>
      </c>
      <c r="K17" s="18" t="s">
        <v>44</v>
      </c>
    </row>
    <row r="18" spans="1:11" ht="19.149999999999999" customHeight="1" x14ac:dyDescent="0.25">
      <c r="A18" s="13">
        <v>13</v>
      </c>
      <c r="B18" s="14"/>
      <c r="C18" s="15" t="s">
        <v>291</v>
      </c>
      <c r="D18" s="14">
        <v>46124</v>
      </c>
      <c r="E18" s="16"/>
      <c r="F18" s="16"/>
      <c r="G18" s="17">
        <v>100</v>
      </c>
      <c r="H18" s="17"/>
      <c r="I18" s="17"/>
      <c r="J18" s="17">
        <v>200000</v>
      </c>
      <c r="K18" s="18" t="s">
        <v>42</v>
      </c>
    </row>
    <row r="19" spans="1:11" ht="19.149999999999999" customHeight="1" x14ac:dyDescent="0.25">
      <c r="A19" s="13">
        <v>14</v>
      </c>
      <c r="B19" s="18"/>
      <c r="C19" s="15" t="s">
        <v>292</v>
      </c>
      <c r="D19" s="20">
        <v>46144</v>
      </c>
      <c r="E19" s="16">
        <v>2</v>
      </c>
      <c r="F19" s="18"/>
      <c r="G19" s="18"/>
      <c r="H19" s="18"/>
      <c r="I19" s="18"/>
      <c r="J19" s="17">
        <v>500000</v>
      </c>
      <c r="K19" s="18" t="s">
        <v>48</v>
      </c>
    </row>
    <row r="20" spans="1:11" ht="19.149999999999999" customHeight="1" x14ac:dyDescent="0.25">
      <c r="A20" s="13">
        <v>15</v>
      </c>
      <c r="B20" s="14"/>
      <c r="C20" s="15" t="s">
        <v>293</v>
      </c>
      <c r="D20" s="14">
        <v>46123</v>
      </c>
      <c r="E20" s="16"/>
      <c r="F20" s="16"/>
      <c r="G20" s="17">
        <v>50</v>
      </c>
      <c r="H20" s="17"/>
      <c r="I20" s="17"/>
      <c r="J20" s="17">
        <v>100000</v>
      </c>
      <c r="K20" s="18" t="s">
        <v>45</v>
      </c>
    </row>
    <row r="21" spans="1:11" ht="18.75" customHeight="1" x14ac:dyDescent="0.25">
      <c r="A21" s="13">
        <v>16</v>
      </c>
      <c r="B21" s="20"/>
      <c r="C21" s="15" t="s">
        <v>294</v>
      </c>
      <c r="D21" s="20">
        <v>46156</v>
      </c>
      <c r="E21" s="16">
        <v>1</v>
      </c>
      <c r="F21" s="18"/>
      <c r="G21" s="18"/>
      <c r="H21" s="18"/>
      <c r="I21" s="18"/>
      <c r="J21" s="17">
        <v>250000</v>
      </c>
      <c r="K21" s="18" t="s">
        <v>43</v>
      </c>
    </row>
    <row r="22" spans="1:11" ht="19.149999999999999" customHeight="1" x14ac:dyDescent="0.25">
      <c r="A22" s="13">
        <v>17</v>
      </c>
      <c r="B22" s="14">
        <v>46116</v>
      </c>
      <c r="C22" s="21" t="s">
        <v>295</v>
      </c>
      <c r="D22" s="14">
        <v>46123</v>
      </c>
      <c r="E22" s="16"/>
      <c r="F22" s="16"/>
      <c r="G22" s="17">
        <v>50</v>
      </c>
      <c r="H22" s="17"/>
      <c r="I22" s="17"/>
      <c r="J22" s="17">
        <v>100000</v>
      </c>
      <c r="K22" s="18" t="s">
        <v>45</v>
      </c>
    </row>
    <row r="23" spans="1:11" ht="19.149999999999999" customHeight="1" x14ac:dyDescent="0.25">
      <c r="A23" s="13">
        <v>18</v>
      </c>
      <c r="B23" s="14"/>
      <c r="C23" s="21" t="s">
        <v>296</v>
      </c>
      <c r="D23" s="14">
        <v>46138</v>
      </c>
      <c r="E23" s="16">
        <v>1</v>
      </c>
      <c r="F23" s="16"/>
      <c r="G23" s="17"/>
      <c r="H23" s="17"/>
      <c r="I23" s="17"/>
      <c r="J23" s="17">
        <v>250000</v>
      </c>
      <c r="K23" s="18" t="s">
        <v>41</v>
      </c>
    </row>
    <row r="24" spans="1:11" ht="19.149999999999999" customHeight="1" x14ac:dyDescent="0.25">
      <c r="A24" s="13">
        <v>19</v>
      </c>
      <c r="B24" s="14">
        <v>46117</v>
      </c>
      <c r="C24" s="21" t="s">
        <v>297</v>
      </c>
      <c r="D24" s="14">
        <v>46176</v>
      </c>
      <c r="E24" s="16">
        <v>1</v>
      </c>
      <c r="F24" s="16"/>
      <c r="G24" s="17"/>
      <c r="H24" s="17"/>
      <c r="I24" s="17"/>
      <c r="J24" s="17">
        <v>250000</v>
      </c>
      <c r="K24" s="18" t="s">
        <v>44</v>
      </c>
    </row>
    <row r="25" spans="1:11" ht="19.149999999999999" customHeight="1" x14ac:dyDescent="0.25">
      <c r="A25" s="13">
        <v>20</v>
      </c>
      <c r="B25" s="14"/>
      <c r="C25" s="15" t="s">
        <v>298</v>
      </c>
      <c r="D25" s="14">
        <v>46278</v>
      </c>
      <c r="E25" s="16">
        <v>1</v>
      </c>
      <c r="F25" s="16"/>
      <c r="G25" s="17"/>
      <c r="H25" s="17"/>
      <c r="I25" s="17"/>
      <c r="J25" s="17">
        <v>250000</v>
      </c>
      <c r="K25" s="18" t="s">
        <v>47</v>
      </c>
    </row>
    <row r="26" spans="1:11" ht="19.149999999999999" customHeight="1" x14ac:dyDescent="0.25">
      <c r="A26" s="13">
        <v>21</v>
      </c>
      <c r="B26" s="14">
        <v>46118</v>
      </c>
      <c r="C26" s="15" t="s">
        <v>299</v>
      </c>
      <c r="D26" s="14">
        <v>46124</v>
      </c>
      <c r="E26" s="16">
        <v>1</v>
      </c>
      <c r="F26" s="16"/>
      <c r="G26" s="17"/>
      <c r="H26" s="17"/>
      <c r="I26" s="17"/>
      <c r="J26" s="17">
        <v>250000</v>
      </c>
      <c r="K26" s="18" t="s">
        <v>43</v>
      </c>
    </row>
    <row r="27" spans="1:11" ht="19.149999999999999" customHeight="1" x14ac:dyDescent="0.25">
      <c r="A27" s="13">
        <v>22</v>
      </c>
      <c r="B27" s="14"/>
      <c r="C27" s="15" t="s">
        <v>300</v>
      </c>
      <c r="D27" s="14">
        <v>46131</v>
      </c>
      <c r="E27" s="16">
        <v>1</v>
      </c>
      <c r="F27" s="16"/>
      <c r="G27" s="17"/>
      <c r="H27" s="17"/>
      <c r="I27" s="17"/>
      <c r="J27" s="17">
        <v>250000</v>
      </c>
      <c r="K27" s="18" t="s">
        <v>49</v>
      </c>
    </row>
    <row r="28" spans="1:11" ht="19.149999999999999" customHeight="1" x14ac:dyDescent="0.25">
      <c r="A28" s="13">
        <v>23</v>
      </c>
      <c r="B28" s="14"/>
      <c r="C28" s="15"/>
      <c r="D28" s="14"/>
      <c r="E28" s="16">
        <v>2</v>
      </c>
      <c r="F28" s="16"/>
      <c r="G28" s="17"/>
      <c r="H28" s="17"/>
      <c r="I28" s="17"/>
      <c r="J28" s="17">
        <v>500000</v>
      </c>
      <c r="K28" s="18"/>
    </row>
    <row r="29" spans="1:11" ht="19.149999999999999" customHeight="1" x14ac:dyDescent="0.25">
      <c r="A29" s="13">
        <v>24</v>
      </c>
      <c r="B29" s="14"/>
      <c r="C29" s="21"/>
      <c r="D29" s="14"/>
      <c r="E29" s="16">
        <v>1</v>
      </c>
      <c r="F29" s="16"/>
      <c r="G29" s="17"/>
      <c r="H29" s="22"/>
      <c r="I29" s="22"/>
      <c r="J29" s="17">
        <v>250000</v>
      </c>
      <c r="K29" s="21"/>
    </row>
    <row r="30" spans="1:11" ht="19.149999999999999" customHeight="1" x14ac:dyDescent="0.25">
      <c r="A30" s="13">
        <v>25</v>
      </c>
      <c r="B30" s="28"/>
      <c r="C30" s="121" t="s">
        <v>302</v>
      </c>
      <c r="D30" s="28">
        <v>46121</v>
      </c>
      <c r="E30" s="122">
        <v>1</v>
      </c>
      <c r="F30" s="123"/>
      <c r="G30" s="123"/>
      <c r="H30" s="123"/>
      <c r="I30" s="123"/>
      <c r="J30" s="39">
        <v>250000</v>
      </c>
      <c r="K30" s="121" t="s">
        <v>47</v>
      </c>
    </row>
    <row r="31" spans="1:11" ht="20.25" customHeight="1" x14ac:dyDescent="0.25">
      <c r="A31" s="4"/>
      <c r="B31" s="30"/>
      <c r="C31" s="151" t="s">
        <v>12</v>
      </c>
      <c r="D31" s="151"/>
      <c r="E31" s="43">
        <f>SUM(E6:E30)</f>
        <v>21</v>
      </c>
      <c r="F31" s="43">
        <f t="shared" ref="F31:J31" si="0">SUM(F6:F30)</f>
        <v>0</v>
      </c>
      <c r="G31" s="43">
        <f t="shared" si="0"/>
        <v>850</v>
      </c>
      <c r="H31" s="43">
        <f t="shared" si="0"/>
        <v>0</v>
      </c>
      <c r="I31" s="43">
        <f t="shared" si="0"/>
        <v>0</v>
      </c>
      <c r="J31" s="43">
        <f t="shared" si="0"/>
        <v>6950000</v>
      </c>
      <c r="K31" s="30"/>
    </row>
    <row r="32" spans="1:11" ht="15.75" x14ac:dyDescent="0.25">
      <c r="A32" s="52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1" ht="15.75" x14ac:dyDescent="0.25">
      <c r="A33" s="53"/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1:11" ht="15.75" x14ac:dyDescent="0.25">
      <c r="A34" s="49"/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1:11" ht="30.75" customHeight="1" x14ac:dyDescent="0.25">
      <c r="A35" s="4"/>
      <c r="B35" s="5" t="s">
        <v>2</v>
      </c>
      <c r="C35" s="5" t="s">
        <v>3</v>
      </c>
      <c r="D35" s="5" t="s">
        <v>4</v>
      </c>
      <c r="E35" s="5" t="s">
        <v>5</v>
      </c>
      <c r="F35" s="5" t="s">
        <v>6</v>
      </c>
      <c r="G35" s="6" t="s">
        <v>7</v>
      </c>
      <c r="H35" s="4" t="s">
        <v>8</v>
      </c>
      <c r="I35" s="4" t="s">
        <v>9</v>
      </c>
      <c r="J35" s="4" t="s">
        <v>10</v>
      </c>
      <c r="K35" s="4" t="s">
        <v>11</v>
      </c>
    </row>
    <row r="36" spans="1:11" ht="19.149999999999999" customHeight="1" x14ac:dyDescent="0.25">
      <c r="A36" s="7"/>
      <c r="B36" s="153" t="s">
        <v>13</v>
      </c>
      <c r="C36" s="153"/>
      <c r="D36" s="153"/>
      <c r="E36" s="44">
        <f t="shared" ref="E36:J36" si="1">E31</f>
        <v>21</v>
      </c>
      <c r="F36" s="44">
        <f t="shared" si="1"/>
        <v>0</v>
      </c>
      <c r="G36" s="44">
        <f t="shared" si="1"/>
        <v>850</v>
      </c>
      <c r="H36" s="44">
        <f t="shared" si="1"/>
        <v>0</v>
      </c>
      <c r="I36" s="44">
        <f t="shared" si="1"/>
        <v>0</v>
      </c>
      <c r="J36" s="44">
        <f t="shared" si="1"/>
        <v>6950000</v>
      </c>
      <c r="K36" s="25"/>
    </row>
    <row r="37" spans="1:11" ht="19.149999999999999" customHeight="1" x14ac:dyDescent="0.25">
      <c r="A37" s="13">
        <v>26</v>
      </c>
      <c r="B37" s="14">
        <v>46119</v>
      </c>
      <c r="C37" s="21" t="s">
        <v>301</v>
      </c>
      <c r="D37" s="14">
        <v>46186</v>
      </c>
      <c r="E37" s="23">
        <v>2</v>
      </c>
      <c r="F37" s="22"/>
      <c r="G37" s="22"/>
      <c r="H37" s="22"/>
      <c r="I37" s="22"/>
      <c r="J37" s="17">
        <v>500000</v>
      </c>
      <c r="K37" s="21" t="s">
        <v>48</v>
      </c>
    </row>
    <row r="38" spans="1:11" ht="19.149999999999999" customHeight="1" x14ac:dyDescent="0.25">
      <c r="A38" s="13">
        <v>27</v>
      </c>
      <c r="B38" s="14"/>
      <c r="C38" s="21" t="s">
        <v>303</v>
      </c>
      <c r="D38" s="14">
        <v>46121</v>
      </c>
      <c r="E38" s="23">
        <v>1</v>
      </c>
      <c r="F38" s="23"/>
      <c r="G38" s="26"/>
      <c r="H38" s="26"/>
      <c r="I38" s="26"/>
      <c r="J38" s="17">
        <v>250000</v>
      </c>
      <c r="K38" s="18" t="s">
        <v>44</v>
      </c>
    </row>
    <row r="39" spans="1:11" ht="19.149999999999999" customHeight="1" x14ac:dyDescent="0.25">
      <c r="A39" s="13">
        <v>28</v>
      </c>
      <c r="B39" s="14"/>
      <c r="C39" s="15" t="s">
        <v>304</v>
      </c>
      <c r="D39" s="14">
        <v>46137</v>
      </c>
      <c r="E39" s="23"/>
      <c r="F39" s="23"/>
      <c r="G39" s="26">
        <v>50</v>
      </c>
      <c r="H39" s="26"/>
      <c r="I39" s="26"/>
      <c r="J39" s="17">
        <v>100000</v>
      </c>
      <c r="K39" s="18" t="s">
        <v>46</v>
      </c>
    </row>
    <row r="40" spans="1:11" ht="19.149999999999999" customHeight="1" x14ac:dyDescent="0.25">
      <c r="A40" s="13">
        <v>29</v>
      </c>
      <c r="B40" s="14"/>
      <c r="C40" s="15" t="s">
        <v>305</v>
      </c>
      <c r="D40" s="14">
        <v>46123</v>
      </c>
      <c r="E40" s="16">
        <v>1</v>
      </c>
      <c r="F40" s="16"/>
      <c r="G40" s="17"/>
      <c r="H40" s="17"/>
      <c r="I40" s="17"/>
      <c r="J40" s="17">
        <v>250000</v>
      </c>
      <c r="K40" s="18" t="s">
        <v>49</v>
      </c>
    </row>
    <row r="41" spans="1:11" ht="19.149999999999999" customHeight="1" x14ac:dyDescent="0.25">
      <c r="A41" s="13">
        <v>30</v>
      </c>
      <c r="B41" s="14"/>
      <c r="C41" s="15" t="s">
        <v>306</v>
      </c>
      <c r="D41" s="14">
        <v>46121</v>
      </c>
      <c r="E41" s="16">
        <v>1</v>
      </c>
      <c r="F41" s="16"/>
      <c r="G41" s="17"/>
      <c r="H41" s="17"/>
      <c r="I41" s="17"/>
      <c r="J41" s="17">
        <v>250000</v>
      </c>
      <c r="K41" s="18" t="s">
        <v>41</v>
      </c>
    </row>
    <row r="42" spans="1:11" ht="19.149999999999999" customHeight="1" x14ac:dyDescent="0.25">
      <c r="A42" s="13">
        <v>31</v>
      </c>
      <c r="B42" s="14"/>
      <c r="C42" s="15" t="s">
        <v>307</v>
      </c>
      <c r="D42" s="14">
        <v>46124</v>
      </c>
      <c r="E42" s="16"/>
      <c r="F42" s="16"/>
      <c r="G42" s="17">
        <v>100</v>
      </c>
      <c r="H42" s="17"/>
      <c r="I42" s="17"/>
      <c r="J42" s="17">
        <v>200000</v>
      </c>
      <c r="K42" s="18" t="s">
        <v>46</v>
      </c>
    </row>
    <row r="43" spans="1:11" ht="19.149999999999999" customHeight="1" x14ac:dyDescent="0.25">
      <c r="A43" s="13">
        <v>32</v>
      </c>
      <c r="B43" s="14"/>
      <c r="C43" s="15" t="s">
        <v>308</v>
      </c>
      <c r="D43" s="14">
        <v>46124</v>
      </c>
      <c r="E43" s="16">
        <v>1</v>
      </c>
      <c r="F43" s="16"/>
      <c r="G43" s="17"/>
      <c r="H43" s="17"/>
      <c r="I43" s="17"/>
      <c r="J43" s="17">
        <v>250000</v>
      </c>
      <c r="K43" s="18" t="s">
        <v>47</v>
      </c>
    </row>
    <row r="44" spans="1:11" ht="19.149999999999999" customHeight="1" x14ac:dyDescent="0.25">
      <c r="A44" s="13">
        <v>33</v>
      </c>
      <c r="B44" s="14"/>
      <c r="C44" s="15"/>
      <c r="D44" s="14"/>
      <c r="E44" s="16"/>
      <c r="F44" s="16"/>
      <c r="G44" s="17">
        <v>100</v>
      </c>
      <c r="H44" s="17"/>
      <c r="I44" s="17"/>
      <c r="J44" s="17">
        <v>200000</v>
      </c>
      <c r="K44" s="18"/>
    </row>
    <row r="45" spans="1:11" ht="19.149999999999999" customHeight="1" x14ac:dyDescent="0.25">
      <c r="A45" s="13">
        <v>34</v>
      </c>
      <c r="B45" s="14"/>
      <c r="C45" s="15"/>
      <c r="D45" s="14"/>
      <c r="E45" s="16"/>
      <c r="F45" s="16"/>
      <c r="G45" s="17">
        <v>50</v>
      </c>
      <c r="H45" s="17"/>
      <c r="I45" s="17"/>
      <c r="J45" s="17">
        <v>100000</v>
      </c>
      <c r="K45" s="18"/>
    </row>
    <row r="46" spans="1:11" ht="19.149999999999999" customHeight="1" x14ac:dyDescent="0.25">
      <c r="A46" s="13">
        <v>35</v>
      </c>
      <c r="B46" s="14">
        <v>46120</v>
      </c>
      <c r="C46" s="15" t="s">
        <v>309</v>
      </c>
      <c r="D46" s="14">
        <v>46130</v>
      </c>
      <c r="E46" s="16">
        <v>1</v>
      </c>
      <c r="F46" s="16"/>
      <c r="G46" s="17"/>
      <c r="H46" s="17"/>
      <c r="I46" s="17"/>
      <c r="J46" s="17">
        <v>250000</v>
      </c>
      <c r="K46" s="18" t="s">
        <v>47</v>
      </c>
    </row>
    <row r="47" spans="1:11" ht="19.149999999999999" customHeight="1" x14ac:dyDescent="0.25">
      <c r="A47" s="13">
        <v>36</v>
      </c>
      <c r="B47" s="14"/>
      <c r="C47" s="15" t="s">
        <v>310</v>
      </c>
      <c r="D47" s="14">
        <v>46124</v>
      </c>
      <c r="E47" s="16"/>
      <c r="F47" s="16"/>
      <c r="G47" s="17">
        <v>50</v>
      </c>
      <c r="H47" s="17"/>
      <c r="I47" s="17"/>
      <c r="J47" s="17">
        <v>100000</v>
      </c>
      <c r="K47" s="18" t="s">
        <v>52</v>
      </c>
    </row>
    <row r="48" spans="1:11" ht="19.149999999999999" customHeight="1" x14ac:dyDescent="0.25">
      <c r="A48" s="13">
        <v>37</v>
      </c>
      <c r="B48" s="14"/>
      <c r="C48" s="15" t="s">
        <v>311</v>
      </c>
      <c r="D48" s="14">
        <v>46123</v>
      </c>
      <c r="E48" s="16"/>
      <c r="F48" s="16"/>
      <c r="G48" s="17">
        <v>50</v>
      </c>
      <c r="H48" s="17"/>
      <c r="I48" s="17"/>
      <c r="J48" s="17">
        <v>100000</v>
      </c>
      <c r="K48" s="18"/>
    </row>
    <row r="49" spans="1:11" ht="19.149999999999999" customHeight="1" x14ac:dyDescent="0.25">
      <c r="A49" s="13">
        <v>38</v>
      </c>
      <c r="B49" s="14"/>
      <c r="C49" s="15"/>
      <c r="D49" s="14">
        <v>46119</v>
      </c>
      <c r="E49" s="16"/>
      <c r="F49" s="16"/>
      <c r="G49" s="17"/>
      <c r="H49" s="17"/>
      <c r="I49" s="17" t="s">
        <v>512</v>
      </c>
      <c r="J49" s="17">
        <v>250000</v>
      </c>
      <c r="K49" s="18"/>
    </row>
    <row r="50" spans="1:11" ht="19.149999999999999" customHeight="1" x14ac:dyDescent="0.25">
      <c r="A50" s="13">
        <v>39</v>
      </c>
      <c r="B50" s="14"/>
      <c r="C50" s="15" t="s">
        <v>316</v>
      </c>
      <c r="D50" s="14">
        <v>46138</v>
      </c>
      <c r="E50" s="16"/>
      <c r="F50" s="16">
        <v>1</v>
      </c>
      <c r="G50" s="17"/>
      <c r="H50" s="17"/>
      <c r="I50" s="17" t="s">
        <v>98</v>
      </c>
      <c r="J50" s="17">
        <v>1750000</v>
      </c>
      <c r="K50" s="18"/>
    </row>
    <row r="51" spans="1:11" ht="19.149999999999999" customHeight="1" x14ac:dyDescent="0.25">
      <c r="A51" s="13">
        <v>40</v>
      </c>
      <c r="B51" s="14"/>
      <c r="C51" s="15" t="s">
        <v>315</v>
      </c>
      <c r="D51" s="14">
        <v>46124</v>
      </c>
      <c r="E51" s="16"/>
      <c r="F51" s="16"/>
      <c r="G51" s="17">
        <v>50</v>
      </c>
      <c r="H51" s="17"/>
      <c r="I51" s="17"/>
      <c r="J51" s="17">
        <v>100000</v>
      </c>
      <c r="K51" s="18"/>
    </row>
    <row r="52" spans="1:11" ht="19.149999999999999" customHeight="1" x14ac:dyDescent="0.25">
      <c r="A52" s="13">
        <v>41</v>
      </c>
      <c r="B52" s="14"/>
      <c r="C52" s="15" t="s">
        <v>312</v>
      </c>
      <c r="D52" s="14">
        <v>46124</v>
      </c>
      <c r="E52" s="16"/>
      <c r="F52" s="16"/>
      <c r="G52" s="17">
        <v>100</v>
      </c>
      <c r="H52" s="17"/>
      <c r="I52" s="17"/>
      <c r="J52" s="17">
        <v>200000</v>
      </c>
      <c r="K52" s="18"/>
    </row>
    <row r="53" spans="1:11" ht="19.149999999999999" customHeight="1" x14ac:dyDescent="0.25">
      <c r="A53" s="13">
        <v>42</v>
      </c>
      <c r="B53" s="14"/>
      <c r="C53" s="15" t="s">
        <v>313</v>
      </c>
      <c r="D53" s="14">
        <v>46124</v>
      </c>
      <c r="E53" s="16"/>
      <c r="F53" s="16">
        <v>1</v>
      </c>
      <c r="G53" s="17"/>
      <c r="H53" s="17"/>
      <c r="I53" s="17"/>
      <c r="J53" s="17">
        <v>750000</v>
      </c>
      <c r="K53" s="18"/>
    </row>
    <row r="54" spans="1:11" ht="19.149999999999999" customHeight="1" x14ac:dyDescent="0.25">
      <c r="A54" s="13">
        <v>43</v>
      </c>
      <c r="B54" s="14"/>
      <c r="C54" s="15" t="s">
        <v>314</v>
      </c>
      <c r="D54" s="14">
        <v>46131</v>
      </c>
      <c r="E54" s="16"/>
      <c r="F54" s="16"/>
      <c r="G54" s="17">
        <v>100</v>
      </c>
      <c r="H54" s="17"/>
      <c r="I54" s="17"/>
      <c r="J54" s="17">
        <v>200000</v>
      </c>
      <c r="K54" s="18" t="s">
        <v>42</v>
      </c>
    </row>
    <row r="55" spans="1:11" ht="19.149999999999999" customHeight="1" x14ac:dyDescent="0.25">
      <c r="A55" s="13">
        <v>44</v>
      </c>
      <c r="B55" s="18"/>
      <c r="C55" s="21"/>
      <c r="D55" s="14"/>
      <c r="E55" s="16"/>
      <c r="F55" s="16"/>
      <c r="G55" s="17">
        <v>50</v>
      </c>
      <c r="H55" s="17"/>
      <c r="I55" s="17"/>
      <c r="J55" s="17">
        <v>100000</v>
      </c>
      <c r="K55" s="18"/>
    </row>
    <row r="56" spans="1:11" ht="19.149999999999999" customHeight="1" x14ac:dyDescent="0.25">
      <c r="A56" s="13">
        <v>45</v>
      </c>
      <c r="B56" s="14">
        <v>46121</v>
      </c>
      <c r="C56" s="15" t="s">
        <v>317</v>
      </c>
      <c r="D56" s="14">
        <v>46123</v>
      </c>
      <c r="E56" s="16"/>
      <c r="F56" s="16"/>
      <c r="G56" s="17">
        <v>50</v>
      </c>
      <c r="H56" s="17"/>
      <c r="I56" s="17"/>
      <c r="J56" s="17">
        <v>100000</v>
      </c>
      <c r="K56" s="18" t="s">
        <v>63</v>
      </c>
    </row>
    <row r="57" spans="1:11" ht="19.149999999999999" customHeight="1" x14ac:dyDescent="0.25">
      <c r="A57" s="13">
        <v>46</v>
      </c>
      <c r="B57" s="14"/>
      <c r="C57" s="15" t="s">
        <v>318</v>
      </c>
      <c r="D57" s="14">
        <v>46138</v>
      </c>
      <c r="E57" s="16"/>
      <c r="F57" s="16"/>
      <c r="G57" s="17">
        <v>50</v>
      </c>
      <c r="H57" s="17"/>
      <c r="I57" s="17"/>
      <c r="J57" s="17">
        <v>100000</v>
      </c>
      <c r="K57" s="18" t="s">
        <v>42</v>
      </c>
    </row>
    <row r="58" spans="1:11" ht="19.149999999999999" customHeight="1" x14ac:dyDescent="0.25">
      <c r="A58" s="13">
        <v>47</v>
      </c>
      <c r="B58" s="14"/>
      <c r="C58" s="15" t="s">
        <v>319</v>
      </c>
      <c r="D58" s="14">
        <v>46124</v>
      </c>
      <c r="E58" s="16"/>
      <c r="F58" s="16"/>
      <c r="G58" s="17">
        <v>100</v>
      </c>
      <c r="H58" s="17"/>
      <c r="I58" s="17"/>
      <c r="J58" s="17">
        <v>200000</v>
      </c>
      <c r="K58" s="18" t="s">
        <v>42</v>
      </c>
    </row>
    <row r="59" spans="1:11" ht="19.149999999999999" customHeight="1" x14ac:dyDescent="0.25">
      <c r="A59" s="13">
        <v>48</v>
      </c>
      <c r="B59" s="14"/>
      <c r="C59" s="15" t="s">
        <v>320</v>
      </c>
      <c r="D59" s="14">
        <v>46131</v>
      </c>
      <c r="E59" s="16"/>
      <c r="F59" s="16"/>
      <c r="G59" s="17">
        <v>50</v>
      </c>
      <c r="H59" s="17"/>
      <c r="I59" s="17"/>
      <c r="J59" s="17">
        <v>100000</v>
      </c>
      <c r="K59" s="18" t="s">
        <v>52</v>
      </c>
    </row>
    <row r="60" spans="1:11" ht="19.149999999999999" customHeight="1" x14ac:dyDescent="0.25">
      <c r="A60" s="13">
        <v>49</v>
      </c>
      <c r="B60" s="14"/>
      <c r="C60" s="15" t="s">
        <v>321</v>
      </c>
      <c r="D60" s="14">
        <v>46134</v>
      </c>
      <c r="E60" s="16">
        <v>1</v>
      </c>
      <c r="F60" s="16"/>
      <c r="G60" s="17">
        <v>175</v>
      </c>
      <c r="H60" s="17"/>
      <c r="I60" s="17"/>
      <c r="J60" s="17">
        <v>600000</v>
      </c>
      <c r="K60" s="18" t="s">
        <v>41</v>
      </c>
    </row>
    <row r="61" spans="1:11" ht="19.149999999999999" customHeight="1" x14ac:dyDescent="0.25">
      <c r="A61" s="13">
        <v>50</v>
      </c>
      <c r="B61" s="14">
        <v>46121</v>
      </c>
      <c r="C61" s="15" t="s">
        <v>322</v>
      </c>
      <c r="D61" s="14">
        <v>46124</v>
      </c>
      <c r="E61" s="16"/>
      <c r="F61" s="16"/>
      <c r="G61" s="17">
        <v>50</v>
      </c>
      <c r="H61" s="17"/>
      <c r="I61" s="17"/>
      <c r="J61" s="17">
        <v>100000</v>
      </c>
      <c r="K61" s="18" t="s">
        <v>42</v>
      </c>
    </row>
    <row r="62" spans="1:11" ht="19.149999999999999" customHeight="1" x14ac:dyDescent="0.25">
      <c r="A62" s="13">
        <v>51</v>
      </c>
      <c r="B62" s="28"/>
      <c r="C62" s="36" t="s">
        <v>323</v>
      </c>
      <c r="D62" s="35">
        <v>46162</v>
      </c>
      <c r="E62" s="37">
        <v>2</v>
      </c>
      <c r="F62" s="37"/>
      <c r="G62" s="39"/>
      <c r="H62" s="39"/>
      <c r="I62" s="39"/>
      <c r="J62" s="39">
        <v>500000</v>
      </c>
      <c r="K62" s="40" t="s">
        <v>48</v>
      </c>
    </row>
    <row r="63" spans="1:11" ht="20.25" customHeight="1" x14ac:dyDescent="0.25">
      <c r="A63" s="4"/>
      <c r="B63" s="30"/>
      <c r="C63" s="151" t="s">
        <v>12</v>
      </c>
      <c r="D63" s="151"/>
      <c r="E63" s="45">
        <f>SUM(E36:E62)</f>
        <v>31</v>
      </c>
      <c r="F63" s="45">
        <f t="shared" ref="F63:J63" si="2">SUM(F36:F62)</f>
        <v>2</v>
      </c>
      <c r="G63" s="45">
        <f t="shared" si="2"/>
        <v>2025</v>
      </c>
      <c r="H63" s="45">
        <f t="shared" si="2"/>
        <v>0</v>
      </c>
      <c r="I63" s="45">
        <f t="shared" si="2"/>
        <v>0</v>
      </c>
      <c r="J63" s="45">
        <f t="shared" si="2"/>
        <v>14550000</v>
      </c>
      <c r="K63" s="30"/>
    </row>
    <row r="64" spans="1:11" ht="15.75" x14ac:dyDescent="0.25">
      <c r="A64" s="50"/>
      <c r="B64" s="24"/>
      <c r="C64" s="24"/>
      <c r="D64" s="24"/>
      <c r="E64" s="24"/>
      <c r="F64" s="24"/>
      <c r="G64" s="24"/>
      <c r="H64" s="24"/>
      <c r="I64" s="24"/>
      <c r="J64" s="24"/>
      <c r="K64" s="24"/>
    </row>
    <row r="65" spans="1:11" ht="15.75" x14ac:dyDescent="0.25">
      <c r="A65" s="50"/>
      <c r="B65" s="24"/>
      <c r="C65" s="24"/>
      <c r="D65" s="24"/>
      <c r="E65" s="24"/>
      <c r="F65" s="24"/>
      <c r="G65" s="24"/>
      <c r="H65" s="24"/>
      <c r="I65" s="24"/>
      <c r="J65" s="24"/>
      <c r="K65" s="24"/>
    </row>
    <row r="66" spans="1:11" ht="15.75" x14ac:dyDescent="0.25">
      <c r="A66" s="50"/>
      <c r="B66" s="24"/>
      <c r="C66" s="24"/>
      <c r="D66" s="24"/>
      <c r="E66" s="24"/>
      <c r="F66" s="24"/>
      <c r="G66" s="24"/>
      <c r="H66" s="24"/>
      <c r="I66" s="24"/>
      <c r="J66" s="24"/>
      <c r="K66" s="24"/>
    </row>
    <row r="67" spans="1:11" ht="15.75" x14ac:dyDescent="0.25">
      <c r="A67" s="50"/>
      <c r="B67" s="24"/>
      <c r="C67" s="24"/>
      <c r="D67" s="24"/>
      <c r="E67" s="24"/>
      <c r="F67" s="24"/>
      <c r="G67" s="24"/>
      <c r="H67" s="24"/>
      <c r="I67" s="24"/>
      <c r="J67" s="24"/>
      <c r="K67" s="24"/>
    </row>
    <row r="68" spans="1:11" ht="30.75" customHeight="1" x14ac:dyDescent="0.25">
      <c r="A68" s="4" t="s">
        <v>1</v>
      </c>
      <c r="B68" s="5" t="s">
        <v>2</v>
      </c>
      <c r="C68" s="5" t="s">
        <v>3</v>
      </c>
      <c r="D68" s="5" t="s">
        <v>4</v>
      </c>
      <c r="E68" s="5" t="s">
        <v>5</v>
      </c>
      <c r="F68" s="5" t="s">
        <v>6</v>
      </c>
      <c r="G68" s="6" t="s">
        <v>7</v>
      </c>
      <c r="H68" s="4" t="s">
        <v>8</v>
      </c>
      <c r="I68" s="4" t="s">
        <v>9</v>
      </c>
      <c r="J68" s="4" t="s">
        <v>10</v>
      </c>
      <c r="K68" s="4" t="s">
        <v>11</v>
      </c>
    </row>
    <row r="69" spans="1:11" ht="19.149999999999999" customHeight="1" x14ac:dyDescent="0.25">
      <c r="A69" s="7"/>
      <c r="B69" s="153" t="s">
        <v>13</v>
      </c>
      <c r="C69" s="153"/>
      <c r="D69" s="153"/>
      <c r="E69" s="44">
        <f t="shared" ref="E69:J69" si="3">E63</f>
        <v>31</v>
      </c>
      <c r="F69" s="44">
        <f t="shared" si="3"/>
        <v>2</v>
      </c>
      <c r="G69" s="44">
        <f t="shared" si="3"/>
        <v>2025</v>
      </c>
      <c r="H69" s="44">
        <f t="shared" si="3"/>
        <v>0</v>
      </c>
      <c r="I69" s="44">
        <f t="shared" si="3"/>
        <v>0</v>
      </c>
      <c r="J69" s="44">
        <f t="shared" si="3"/>
        <v>14550000</v>
      </c>
      <c r="K69" s="7"/>
    </row>
    <row r="70" spans="1:11" ht="19.149999999999999" customHeight="1" x14ac:dyDescent="0.25">
      <c r="A70" s="13">
        <v>52</v>
      </c>
      <c r="B70" s="14">
        <v>46121</v>
      </c>
      <c r="C70" s="15" t="s">
        <v>84</v>
      </c>
      <c r="D70" s="14">
        <v>46121</v>
      </c>
      <c r="E70" s="16">
        <v>1</v>
      </c>
      <c r="F70" s="16"/>
      <c r="G70" s="17"/>
      <c r="H70" s="17"/>
      <c r="I70" s="17"/>
      <c r="J70" s="17">
        <v>250000</v>
      </c>
      <c r="K70" s="18" t="s">
        <v>47</v>
      </c>
    </row>
    <row r="71" spans="1:11" ht="19.149999999999999" customHeight="1" x14ac:dyDescent="0.25">
      <c r="A71" s="13">
        <v>53</v>
      </c>
      <c r="B71" s="14">
        <v>46122</v>
      </c>
      <c r="C71" s="15" t="s">
        <v>324</v>
      </c>
      <c r="D71" s="14">
        <v>46122</v>
      </c>
      <c r="E71" s="16">
        <v>1</v>
      </c>
      <c r="F71" s="16"/>
      <c r="G71" s="17"/>
      <c r="H71" s="17"/>
      <c r="I71" s="17"/>
      <c r="J71" s="17">
        <v>250000</v>
      </c>
      <c r="K71" s="18"/>
    </row>
    <row r="72" spans="1:11" ht="19.149999999999999" customHeight="1" x14ac:dyDescent="0.25">
      <c r="A72" s="13">
        <v>54</v>
      </c>
      <c r="B72" s="14"/>
      <c r="C72" s="15" t="s">
        <v>325</v>
      </c>
      <c r="D72" s="14">
        <v>46123</v>
      </c>
      <c r="E72" s="16"/>
      <c r="F72" s="16"/>
      <c r="G72" s="17">
        <v>50</v>
      </c>
      <c r="H72" s="17"/>
      <c r="I72" s="17"/>
      <c r="J72" s="17">
        <v>100000</v>
      </c>
      <c r="K72" s="18" t="s">
        <v>52</v>
      </c>
    </row>
    <row r="73" spans="1:11" ht="19.149999999999999" customHeight="1" x14ac:dyDescent="0.25">
      <c r="A73" s="13">
        <v>55</v>
      </c>
      <c r="B73" s="14"/>
      <c r="C73" s="120" t="s">
        <v>326</v>
      </c>
      <c r="D73" s="14">
        <v>46127</v>
      </c>
      <c r="E73" s="16">
        <v>2</v>
      </c>
      <c r="F73" s="16"/>
      <c r="G73" s="17"/>
      <c r="H73" s="17"/>
      <c r="I73" s="17"/>
      <c r="J73" s="17">
        <v>500000</v>
      </c>
      <c r="K73" s="18" t="s">
        <v>48</v>
      </c>
    </row>
    <row r="74" spans="1:11" ht="19.149999999999999" customHeight="1" x14ac:dyDescent="0.25">
      <c r="A74" s="13">
        <v>56</v>
      </c>
      <c r="B74" s="14"/>
      <c r="C74" s="15" t="s">
        <v>327</v>
      </c>
      <c r="D74" s="14">
        <v>46123</v>
      </c>
      <c r="E74" s="16"/>
      <c r="F74" s="16"/>
      <c r="G74" s="17">
        <v>50</v>
      </c>
      <c r="H74" s="17"/>
      <c r="I74" s="17"/>
      <c r="J74" s="17">
        <v>100000</v>
      </c>
      <c r="K74" s="18" t="s">
        <v>52</v>
      </c>
    </row>
    <row r="75" spans="1:11" ht="19.149999999999999" customHeight="1" x14ac:dyDescent="0.25">
      <c r="A75" s="13">
        <v>57</v>
      </c>
      <c r="B75" s="14"/>
      <c r="C75" s="21" t="s">
        <v>328</v>
      </c>
      <c r="D75" s="14">
        <v>46123</v>
      </c>
      <c r="E75" s="16"/>
      <c r="F75" s="16"/>
      <c r="G75" s="17">
        <v>50</v>
      </c>
      <c r="H75" s="17"/>
      <c r="I75" s="17"/>
      <c r="J75" s="17">
        <v>100000</v>
      </c>
      <c r="K75" s="18" t="s">
        <v>46</v>
      </c>
    </row>
    <row r="76" spans="1:11" ht="19.149999999999999" customHeight="1" x14ac:dyDescent="0.25">
      <c r="A76" s="13">
        <v>58</v>
      </c>
      <c r="B76" s="14"/>
      <c r="C76" s="15" t="s">
        <v>329</v>
      </c>
      <c r="D76" s="14">
        <v>46124</v>
      </c>
      <c r="E76" s="16"/>
      <c r="F76" s="16"/>
      <c r="G76" s="17">
        <v>100</v>
      </c>
      <c r="H76" s="17"/>
      <c r="I76" s="17"/>
      <c r="J76" s="17">
        <v>200000</v>
      </c>
      <c r="K76" s="18" t="s">
        <v>42</v>
      </c>
    </row>
    <row r="77" spans="1:11" ht="19.149999999999999" customHeight="1" x14ac:dyDescent="0.25">
      <c r="A77" s="13">
        <v>59</v>
      </c>
      <c r="B77" s="14"/>
      <c r="C77" s="15" t="s">
        <v>330</v>
      </c>
      <c r="D77" s="14">
        <v>46184</v>
      </c>
      <c r="E77" s="16">
        <v>1</v>
      </c>
      <c r="F77" s="16"/>
      <c r="G77" s="17"/>
      <c r="H77" s="17"/>
      <c r="I77" s="17"/>
      <c r="J77" s="17">
        <v>250000</v>
      </c>
      <c r="K77" s="18" t="s">
        <v>44</v>
      </c>
    </row>
    <row r="78" spans="1:11" ht="28.5" customHeight="1" x14ac:dyDescent="0.25">
      <c r="A78" s="13">
        <v>60</v>
      </c>
      <c r="B78" s="14"/>
      <c r="C78" s="15" t="s">
        <v>331</v>
      </c>
      <c r="D78" s="14">
        <v>46130</v>
      </c>
      <c r="E78" s="16"/>
      <c r="F78" s="16">
        <v>1</v>
      </c>
      <c r="G78" s="17"/>
      <c r="H78" s="17"/>
      <c r="I78" s="17" t="s">
        <v>51</v>
      </c>
      <c r="J78" s="17">
        <v>1750000</v>
      </c>
      <c r="K78" s="18" t="s">
        <v>60</v>
      </c>
    </row>
    <row r="79" spans="1:11" ht="19.149999999999999" customHeight="1" x14ac:dyDescent="0.25">
      <c r="A79" s="13">
        <v>61</v>
      </c>
      <c r="B79" s="14"/>
      <c r="C79" s="15" t="s">
        <v>332</v>
      </c>
      <c r="D79" s="14">
        <v>46143</v>
      </c>
      <c r="E79" s="16">
        <v>1</v>
      </c>
      <c r="F79" s="16"/>
      <c r="G79" s="17"/>
      <c r="H79" s="17"/>
      <c r="I79" s="17"/>
      <c r="J79" s="17">
        <v>250000</v>
      </c>
      <c r="K79" s="18" t="s">
        <v>41</v>
      </c>
    </row>
    <row r="80" spans="1:11" ht="19.149999999999999" customHeight="1" x14ac:dyDescent="0.25">
      <c r="A80" s="13">
        <v>62</v>
      </c>
      <c r="B80" s="14"/>
      <c r="C80" s="15" t="s">
        <v>332</v>
      </c>
      <c r="D80" s="14">
        <v>46143</v>
      </c>
      <c r="E80" s="16"/>
      <c r="F80" s="16"/>
      <c r="G80" s="17"/>
      <c r="H80" s="17">
        <v>1</v>
      </c>
      <c r="I80" s="17"/>
      <c r="J80" s="17">
        <v>100000</v>
      </c>
      <c r="K80" s="18" t="s">
        <v>41</v>
      </c>
    </row>
    <row r="81" spans="1:11" ht="19.149999999999999" customHeight="1" x14ac:dyDescent="0.25">
      <c r="A81" s="13">
        <v>63</v>
      </c>
      <c r="B81" s="14">
        <v>46123</v>
      </c>
      <c r="C81" s="15"/>
      <c r="D81" s="14"/>
      <c r="E81" s="16"/>
      <c r="F81" s="16"/>
      <c r="G81" s="17">
        <v>100</v>
      </c>
      <c r="H81" s="17"/>
      <c r="I81" s="17"/>
      <c r="J81" s="17">
        <v>200000</v>
      </c>
      <c r="K81" s="18" t="s">
        <v>42</v>
      </c>
    </row>
    <row r="82" spans="1:11" ht="19.149999999999999" customHeight="1" x14ac:dyDescent="0.25">
      <c r="A82" s="13">
        <v>64</v>
      </c>
      <c r="B82" s="14"/>
      <c r="C82" s="15" t="s">
        <v>333</v>
      </c>
      <c r="D82" s="14">
        <v>46131</v>
      </c>
      <c r="E82" s="16"/>
      <c r="F82" s="16"/>
      <c r="G82" s="17">
        <v>50</v>
      </c>
      <c r="H82" s="17"/>
      <c r="I82" s="17"/>
      <c r="J82" s="17">
        <v>100000</v>
      </c>
      <c r="K82" s="18" t="s">
        <v>52</v>
      </c>
    </row>
    <row r="83" spans="1:11" ht="19.149999999999999" customHeight="1" x14ac:dyDescent="0.25">
      <c r="A83" s="13">
        <v>65</v>
      </c>
      <c r="B83" s="14"/>
      <c r="C83" s="15" t="s">
        <v>334</v>
      </c>
      <c r="D83" s="14">
        <v>46145</v>
      </c>
      <c r="E83" s="16">
        <v>1</v>
      </c>
      <c r="F83" s="16"/>
      <c r="G83" s="17"/>
      <c r="H83" s="17"/>
      <c r="I83" s="17"/>
      <c r="J83" s="17">
        <v>250000</v>
      </c>
      <c r="K83" s="18" t="s">
        <v>41</v>
      </c>
    </row>
    <row r="84" spans="1:11" ht="19.149999999999999" customHeight="1" x14ac:dyDescent="0.25">
      <c r="A84" s="13">
        <v>66</v>
      </c>
      <c r="B84" s="14"/>
      <c r="C84" s="15" t="s">
        <v>335</v>
      </c>
      <c r="D84" s="14">
        <v>46124</v>
      </c>
      <c r="E84" s="16"/>
      <c r="F84" s="16"/>
      <c r="G84" s="17">
        <v>50</v>
      </c>
      <c r="H84" s="17"/>
      <c r="I84" s="17"/>
      <c r="J84" s="17">
        <v>100000</v>
      </c>
      <c r="K84" s="18" t="s">
        <v>52</v>
      </c>
    </row>
    <row r="85" spans="1:11" ht="19.149999999999999" customHeight="1" x14ac:dyDescent="0.25">
      <c r="A85" s="13">
        <v>67</v>
      </c>
      <c r="B85" s="14"/>
      <c r="C85" s="15" t="s">
        <v>336</v>
      </c>
      <c r="D85" s="14">
        <v>46214</v>
      </c>
      <c r="E85" s="16">
        <v>1</v>
      </c>
      <c r="F85" s="16"/>
      <c r="G85" s="17"/>
      <c r="H85" s="17"/>
      <c r="I85" s="17"/>
      <c r="J85" s="17">
        <v>250000</v>
      </c>
      <c r="K85" s="18" t="s">
        <v>43</v>
      </c>
    </row>
    <row r="86" spans="1:11" ht="19.149999999999999" customHeight="1" x14ac:dyDescent="0.25">
      <c r="A86" s="13">
        <v>68</v>
      </c>
      <c r="B86" s="14"/>
      <c r="C86" s="15" t="s">
        <v>337</v>
      </c>
      <c r="D86" s="14">
        <v>46128</v>
      </c>
      <c r="E86" s="16">
        <v>1</v>
      </c>
      <c r="F86" s="16"/>
      <c r="G86" s="17"/>
      <c r="H86" s="17"/>
      <c r="I86" s="17"/>
      <c r="J86" s="17">
        <v>250000</v>
      </c>
      <c r="K86" s="18" t="s">
        <v>41</v>
      </c>
    </row>
    <row r="87" spans="1:11" ht="19.149999999999999" customHeight="1" x14ac:dyDescent="0.25">
      <c r="A87" s="13">
        <v>69</v>
      </c>
      <c r="B87" s="14"/>
      <c r="C87" s="15" t="s">
        <v>338</v>
      </c>
      <c r="D87" s="14">
        <v>46130</v>
      </c>
      <c r="E87" s="16"/>
      <c r="F87" s="16"/>
      <c r="G87" s="17">
        <v>200</v>
      </c>
      <c r="H87" s="17"/>
      <c r="I87" s="17"/>
      <c r="J87" s="17">
        <v>400000</v>
      </c>
      <c r="K87" s="18" t="s">
        <v>52</v>
      </c>
    </row>
    <row r="88" spans="1:11" ht="19.149999999999999" customHeight="1" x14ac:dyDescent="0.25">
      <c r="A88" s="13">
        <v>70</v>
      </c>
      <c r="B88" s="14">
        <v>46124</v>
      </c>
      <c r="C88" s="15" t="s">
        <v>339</v>
      </c>
      <c r="D88" s="14">
        <v>46137</v>
      </c>
      <c r="E88" s="16">
        <v>1</v>
      </c>
      <c r="F88" s="16"/>
      <c r="G88" s="17"/>
      <c r="H88" s="17"/>
      <c r="I88" s="17"/>
      <c r="J88" s="17">
        <v>250000</v>
      </c>
      <c r="K88" s="18" t="s">
        <v>43</v>
      </c>
    </row>
    <row r="89" spans="1:11" ht="19.149999999999999" customHeight="1" x14ac:dyDescent="0.25">
      <c r="A89" s="13">
        <v>71</v>
      </c>
      <c r="B89" s="14"/>
      <c r="C89" s="15" t="s">
        <v>340</v>
      </c>
      <c r="D89" s="14">
        <v>46131</v>
      </c>
      <c r="E89" s="16"/>
      <c r="F89" s="16"/>
      <c r="G89" s="17">
        <v>50</v>
      </c>
      <c r="H89" s="17"/>
      <c r="I89" s="17"/>
      <c r="J89" s="17">
        <v>100000</v>
      </c>
      <c r="K89" s="18" t="s">
        <v>42</v>
      </c>
    </row>
    <row r="90" spans="1:11" ht="19.149999999999999" customHeight="1" x14ac:dyDescent="0.25">
      <c r="A90" s="13">
        <v>72</v>
      </c>
      <c r="B90" s="14"/>
      <c r="C90" s="15" t="s">
        <v>341</v>
      </c>
      <c r="D90" s="14">
        <v>46131</v>
      </c>
      <c r="E90" s="16"/>
      <c r="F90" s="16"/>
      <c r="G90" s="17">
        <v>50</v>
      </c>
      <c r="H90" s="17"/>
      <c r="I90" s="17"/>
      <c r="J90" s="17">
        <v>100000</v>
      </c>
      <c r="K90" s="18" t="s">
        <v>42</v>
      </c>
    </row>
    <row r="91" spans="1:11" ht="19.149999999999999" customHeight="1" x14ac:dyDescent="0.25">
      <c r="A91" s="13">
        <v>73</v>
      </c>
      <c r="B91" s="14"/>
      <c r="C91" s="15" t="s">
        <v>342</v>
      </c>
      <c r="D91" s="14">
        <v>46131</v>
      </c>
      <c r="E91" s="16"/>
      <c r="F91" s="16"/>
      <c r="G91" s="17">
        <v>50</v>
      </c>
      <c r="H91" s="17"/>
      <c r="I91" s="17"/>
      <c r="J91" s="17">
        <v>100000</v>
      </c>
      <c r="K91" s="18" t="s">
        <v>45</v>
      </c>
    </row>
    <row r="92" spans="1:11" ht="19.149999999999999" customHeight="1" x14ac:dyDescent="0.25">
      <c r="A92" s="13">
        <v>74</v>
      </c>
      <c r="B92" s="14"/>
      <c r="C92" s="15" t="s">
        <v>343</v>
      </c>
      <c r="D92" s="14">
        <v>46131</v>
      </c>
      <c r="E92" s="16"/>
      <c r="F92" s="16"/>
      <c r="G92" s="17">
        <v>350</v>
      </c>
      <c r="H92" s="17"/>
      <c r="I92" s="17"/>
      <c r="J92" s="17">
        <v>700000</v>
      </c>
      <c r="K92" s="18"/>
    </row>
    <row r="93" spans="1:11" ht="19.149999999999999" customHeight="1" x14ac:dyDescent="0.25">
      <c r="A93" s="13">
        <v>75</v>
      </c>
      <c r="B93" s="14"/>
      <c r="C93" s="15" t="s">
        <v>344</v>
      </c>
      <c r="D93" s="14">
        <v>46131</v>
      </c>
      <c r="E93" s="16"/>
      <c r="F93" s="16"/>
      <c r="G93" s="17">
        <v>50</v>
      </c>
      <c r="H93" s="17"/>
      <c r="I93" s="17"/>
      <c r="J93" s="17">
        <v>100000</v>
      </c>
      <c r="K93" s="18" t="s">
        <v>42</v>
      </c>
    </row>
    <row r="94" spans="1:11" ht="19.149999999999999" customHeight="1" x14ac:dyDescent="0.25">
      <c r="A94" s="13">
        <v>76</v>
      </c>
      <c r="B94" s="102">
        <v>46125</v>
      </c>
      <c r="C94" s="15" t="s">
        <v>345</v>
      </c>
      <c r="D94" s="14">
        <v>46151</v>
      </c>
      <c r="E94" s="16">
        <v>1</v>
      </c>
      <c r="F94" s="16"/>
      <c r="G94" s="17"/>
      <c r="H94" s="17"/>
      <c r="I94" s="17"/>
      <c r="J94" s="17">
        <v>250000</v>
      </c>
      <c r="K94" s="18" t="s">
        <v>44</v>
      </c>
    </row>
    <row r="95" spans="1:11" ht="19.149999999999999" customHeight="1" x14ac:dyDescent="0.25">
      <c r="A95" s="13">
        <v>77</v>
      </c>
      <c r="B95" s="14"/>
      <c r="C95" s="15" t="s">
        <v>346</v>
      </c>
      <c r="D95" s="14">
        <v>46127</v>
      </c>
      <c r="E95" s="16">
        <v>1</v>
      </c>
      <c r="F95" s="16"/>
      <c r="G95" s="17"/>
      <c r="H95" s="17">
        <v>1</v>
      </c>
      <c r="I95" s="17"/>
      <c r="J95" s="17">
        <v>350000</v>
      </c>
      <c r="K95" s="18" t="s">
        <v>49</v>
      </c>
    </row>
    <row r="96" spans="1:11" ht="20.25" customHeight="1" x14ac:dyDescent="0.25">
      <c r="A96" s="4"/>
      <c r="B96" s="30"/>
      <c r="C96" s="151" t="s">
        <v>12</v>
      </c>
      <c r="D96" s="151"/>
      <c r="E96" s="45">
        <f>SUM(E69:E95)</f>
        <v>43</v>
      </c>
      <c r="F96" s="45">
        <f t="shared" ref="F96:J96" si="4">SUM(F69:F95)</f>
        <v>3</v>
      </c>
      <c r="G96" s="45">
        <f t="shared" si="4"/>
        <v>3225</v>
      </c>
      <c r="H96" s="45">
        <f t="shared" si="4"/>
        <v>2</v>
      </c>
      <c r="I96" s="45">
        <f t="shared" si="4"/>
        <v>0</v>
      </c>
      <c r="J96" s="45">
        <f t="shared" si="4"/>
        <v>21900000</v>
      </c>
      <c r="K96" s="30"/>
    </row>
    <row r="97" spans="1:11" ht="15.75" x14ac:dyDescent="0.25">
      <c r="A97" s="50"/>
      <c r="B97" s="24"/>
      <c r="C97" s="24"/>
      <c r="D97" s="24"/>
      <c r="E97" s="24"/>
      <c r="F97" s="24"/>
      <c r="G97" s="24"/>
      <c r="H97" s="24"/>
      <c r="I97" s="24"/>
      <c r="J97" s="24"/>
      <c r="K97" s="24"/>
    </row>
    <row r="98" spans="1:11" ht="15.75" x14ac:dyDescent="0.25">
      <c r="A98" s="50"/>
      <c r="B98" s="24"/>
      <c r="C98" s="24"/>
      <c r="D98" s="24"/>
      <c r="E98" s="24"/>
      <c r="F98" s="24"/>
      <c r="G98" s="24"/>
      <c r="H98" s="24"/>
      <c r="I98" s="24"/>
      <c r="J98" s="24"/>
      <c r="K98" s="24"/>
    </row>
    <row r="99" spans="1:11" ht="15.75" x14ac:dyDescent="0.25">
      <c r="A99" s="50"/>
      <c r="B99" s="24"/>
      <c r="C99" s="24"/>
      <c r="D99" s="24"/>
      <c r="E99" s="24"/>
      <c r="F99" s="24"/>
      <c r="G99" s="24"/>
      <c r="H99" s="24"/>
      <c r="I99" s="24"/>
      <c r="J99" s="24"/>
      <c r="K99" s="24"/>
    </row>
    <row r="100" spans="1:11" ht="15.75" x14ac:dyDescent="0.25">
      <c r="A100" s="50"/>
      <c r="B100" s="24"/>
      <c r="C100" s="24"/>
      <c r="D100" s="24"/>
      <c r="E100" s="24"/>
      <c r="F100" s="24"/>
      <c r="G100" s="24"/>
      <c r="H100" s="24"/>
      <c r="I100" s="24"/>
      <c r="J100" s="24"/>
      <c r="K100" s="24"/>
    </row>
    <row r="101" spans="1:11" ht="30.75" customHeight="1" x14ac:dyDescent="0.25">
      <c r="A101" s="4" t="s">
        <v>1</v>
      </c>
      <c r="B101" s="5" t="s">
        <v>2</v>
      </c>
      <c r="C101" s="5" t="s">
        <v>3</v>
      </c>
      <c r="D101" s="5" t="s">
        <v>4</v>
      </c>
      <c r="E101" s="5" t="s">
        <v>5</v>
      </c>
      <c r="F101" s="5" t="s">
        <v>6</v>
      </c>
      <c r="G101" s="6" t="s">
        <v>7</v>
      </c>
      <c r="H101" s="4" t="s">
        <v>8</v>
      </c>
      <c r="I101" s="4" t="s">
        <v>9</v>
      </c>
      <c r="J101" s="4" t="s">
        <v>10</v>
      </c>
      <c r="K101" s="4" t="s">
        <v>11</v>
      </c>
    </row>
    <row r="102" spans="1:11" ht="19.149999999999999" customHeight="1" x14ac:dyDescent="0.25">
      <c r="A102" s="51"/>
      <c r="B102" s="153" t="s">
        <v>13</v>
      </c>
      <c r="C102" s="153"/>
      <c r="D102" s="153"/>
      <c r="E102" s="44">
        <f t="shared" ref="E102:J102" si="5">E96</f>
        <v>43</v>
      </c>
      <c r="F102" s="44">
        <f t="shared" si="5"/>
        <v>3</v>
      </c>
      <c r="G102" s="44">
        <f t="shared" si="5"/>
        <v>3225</v>
      </c>
      <c r="H102" s="44">
        <f t="shared" si="5"/>
        <v>2</v>
      </c>
      <c r="I102" s="44">
        <f t="shared" si="5"/>
        <v>0</v>
      </c>
      <c r="J102" s="44">
        <f t="shared" si="5"/>
        <v>21900000</v>
      </c>
      <c r="K102" s="25"/>
    </row>
    <row r="103" spans="1:11" ht="18.75" customHeight="1" x14ac:dyDescent="0.25">
      <c r="A103" s="33">
        <v>78</v>
      </c>
      <c r="B103" s="102">
        <v>46125</v>
      </c>
      <c r="C103" s="15" t="s">
        <v>347</v>
      </c>
      <c r="D103" s="14">
        <v>46130</v>
      </c>
      <c r="E103" s="16"/>
      <c r="F103" s="16"/>
      <c r="G103" s="17">
        <v>300</v>
      </c>
      <c r="H103" s="17"/>
      <c r="I103" s="17"/>
      <c r="J103" s="17">
        <v>600000</v>
      </c>
      <c r="K103" s="18" t="s">
        <v>50</v>
      </c>
    </row>
    <row r="104" spans="1:11" ht="19.149999999999999" customHeight="1" x14ac:dyDescent="0.25">
      <c r="A104" s="33">
        <v>79</v>
      </c>
      <c r="B104" s="46"/>
      <c r="C104" s="15" t="s">
        <v>348</v>
      </c>
      <c r="D104" s="14">
        <v>46138</v>
      </c>
      <c r="E104" s="16"/>
      <c r="F104" s="16"/>
      <c r="G104" s="17">
        <v>50</v>
      </c>
      <c r="H104" s="17"/>
      <c r="I104" s="17"/>
      <c r="J104" s="17">
        <v>100000</v>
      </c>
      <c r="K104" s="18" t="s">
        <v>42</v>
      </c>
    </row>
    <row r="105" spans="1:11" ht="19.149999999999999" customHeight="1" x14ac:dyDescent="0.25">
      <c r="A105" s="33">
        <v>80</v>
      </c>
      <c r="B105" s="14"/>
      <c r="C105" s="15" t="s">
        <v>349</v>
      </c>
      <c r="D105" s="14">
        <v>46142</v>
      </c>
      <c r="E105" s="16">
        <v>2</v>
      </c>
      <c r="F105" s="16"/>
      <c r="G105" s="17"/>
      <c r="H105" s="17"/>
      <c r="I105" s="17"/>
      <c r="J105" s="17">
        <v>500000</v>
      </c>
      <c r="K105" s="18" t="s">
        <v>48</v>
      </c>
    </row>
    <row r="106" spans="1:11" ht="19.149999999999999" customHeight="1" x14ac:dyDescent="0.25">
      <c r="A106" s="33">
        <v>81</v>
      </c>
      <c r="B106" s="14"/>
      <c r="C106" s="15" t="s">
        <v>350</v>
      </c>
      <c r="D106" s="14">
        <v>46128</v>
      </c>
      <c r="E106" s="16">
        <v>2</v>
      </c>
      <c r="F106" s="16"/>
      <c r="G106" s="17"/>
      <c r="H106" s="17"/>
      <c r="I106" s="17"/>
      <c r="J106" s="17">
        <v>500000</v>
      </c>
      <c r="K106" s="18" t="s">
        <v>48</v>
      </c>
    </row>
    <row r="107" spans="1:11" ht="19.149999999999999" customHeight="1" x14ac:dyDescent="0.25">
      <c r="A107" s="33">
        <v>82</v>
      </c>
      <c r="B107" s="14"/>
      <c r="C107" s="15" t="s">
        <v>351</v>
      </c>
      <c r="D107" s="14">
        <v>46143</v>
      </c>
      <c r="E107" s="16">
        <v>1</v>
      </c>
      <c r="F107" s="16"/>
      <c r="G107" s="17"/>
      <c r="H107" s="17"/>
      <c r="I107" s="17"/>
      <c r="J107" s="17">
        <v>250000</v>
      </c>
      <c r="K107" s="18" t="s">
        <v>43</v>
      </c>
    </row>
    <row r="108" spans="1:11" ht="19.149999999999999" customHeight="1" x14ac:dyDescent="0.25">
      <c r="A108" s="33">
        <v>83</v>
      </c>
      <c r="B108" s="14"/>
      <c r="C108" s="15" t="s">
        <v>352</v>
      </c>
      <c r="D108" s="14">
        <v>46131</v>
      </c>
      <c r="E108" s="16"/>
      <c r="F108" s="16"/>
      <c r="G108" s="17">
        <v>50</v>
      </c>
      <c r="H108" s="17"/>
      <c r="I108" s="17"/>
      <c r="J108" s="17">
        <v>100000</v>
      </c>
      <c r="K108" s="18" t="s">
        <v>42</v>
      </c>
    </row>
    <row r="109" spans="1:11" ht="19.149999999999999" customHeight="1" x14ac:dyDescent="0.25">
      <c r="A109" s="33">
        <v>84</v>
      </c>
      <c r="B109" s="14"/>
      <c r="C109" s="15"/>
      <c r="D109" s="14"/>
      <c r="E109" s="16">
        <v>1</v>
      </c>
      <c r="F109" s="16"/>
      <c r="G109" s="17"/>
      <c r="H109" s="17"/>
      <c r="I109" s="17"/>
      <c r="J109" s="17">
        <v>250000</v>
      </c>
      <c r="K109" s="18"/>
    </row>
    <row r="110" spans="1:11" ht="19.149999999999999" customHeight="1" x14ac:dyDescent="0.25">
      <c r="A110" s="33">
        <v>85</v>
      </c>
      <c r="B110" s="14">
        <v>46126</v>
      </c>
      <c r="C110" s="21" t="s">
        <v>353</v>
      </c>
      <c r="D110" s="14">
        <v>46135</v>
      </c>
      <c r="E110" s="16">
        <v>2</v>
      </c>
      <c r="F110" s="16"/>
      <c r="G110" s="17"/>
      <c r="H110" s="17"/>
      <c r="I110" s="17"/>
      <c r="J110" s="17">
        <v>500000</v>
      </c>
      <c r="K110" s="18" t="s">
        <v>48</v>
      </c>
    </row>
    <row r="111" spans="1:11" ht="19.149999999999999" customHeight="1" x14ac:dyDescent="0.25">
      <c r="A111" s="33">
        <v>86</v>
      </c>
      <c r="B111" s="14"/>
      <c r="C111" s="15" t="s">
        <v>354</v>
      </c>
      <c r="D111" s="14">
        <v>46138</v>
      </c>
      <c r="E111" s="16"/>
      <c r="F111" s="16"/>
      <c r="G111" s="17">
        <v>50</v>
      </c>
      <c r="H111" s="17"/>
      <c r="I111" s="17"/>
      <c r="J111" s="17">
        <v>100000</v>
      </c>
      <c r="K111" s="18" t="s">
        <v>42</v>
      </c>
    </row>
    <row r="112" spans="1:11" ht="19.149999999999999" customHeight="1" x14ac:dyDescent="0.25">
      <c r="A112" s="33">
        <v>87</v>
      </c>
      <c r="B112" s="14"/>
      <c r="C112" s="15" t="s">
        <v>355</v>
      </c>
      <c r="D112" s="14">
        <v>46131</v>
      </c>
      <c r="E112" s="16"/>
      <c r="F112" s="16"/>
      <c r="G112" s="17">
        <v>100</v>
      </c>
      <c r="H112" s="17"/>
      <c r="I112" s="17"/>
      <c r="J112" s="17">
        <v>200000</v>
      </c>
      <c r="K112" s="18" t="s">
        <v>45</v>
      </c>
    </row>
    <row r="113" spans="1:11" ht="19.149999999999999" customHeight="1" x14ac:dyDescent="0.25">
      <c r="A113" s="33">
        <v>88</v>
      </c>
      <c r="B113" s="14"/>
      <c r="C113" s="15" t="s">
        <v>356</v>
      </c>
      <c r="D113" s="14">
        <v>46131</v>
      </c>
      <c r="E113" s="16"/>
      <c r="F113" s="16"/>
      <c r="G113" s="17">
        <v>50</v>
      </c>
      <c r="H113" s="17"/>
      <c r="I113" s="17"/>
      <c r="J113" s="17">
        <v>100000</v>
      </c>
      <c r="K113" s="18" t="s">
        <v>42</v>
      </c>
    </row>
    <row r="114" spans="1:11" ht="19.149999999999999" customHeight="1" x14ac:dyDescent="0.25">
      <c r="A114" s="33">
        <v>89</v>
      </c>
      <c r="B114" s="14"/>
      <c r="C114" s="15" t="s">
        <v>357</v>
      </c>
      <c r="D114" s="14">
        <v>46137</v>
      </c>
      <c r="E114" s="16"/>
      <c r="F114" s="16"/>
      <c r="G114" s="17">
        <v>50</v>
      </c>
      <c r="H114" s="17"/>
      <c r="I114" s="17"/>
      <c r="J114" s="17">
        <v>100000</v>
      </c>
      <c r="K114" s="18" t="s">
        <v>45</v>
      </c>
    </row>
    <row r="115" spans="1:11" ht="19.149999999999999" customHeight="1" x14ac:dyDescent="0.25">
      <c r="A115" s="33">
        <v>90</v>
      </c>
      <c r="B115" s="14"/>
      <c r="C115" s="15" t="s">
        <v>358</v>
      </c>
      <c r="D115" s="14">
        <v>46145</v>
      </c>
      <c r="E115" s="16"/>
      <c r="F115" s="16">
        <v>1</v>
      </c>
      <c r="G115" s="17"/>
      <c r="H115" s="17"/>
      <c r="I115" s="17" t="s">
        <v>98</v>
      </c>
      <c r="J115" s="17">
        <v>1750000</v>
      </c>
      <c r="K115" s="18" t="s">
        <v>60</v>
      </c>
    </row>
    <row r="116" spans="1:11" ht="19.149999999999999" customHeight="1" x14ac:dyDescent="0.25">
      <c r="A116" s="33">
        <v>91</v>
      </c>
      <c r="B116" s="14">
        <v>46127</v>
      </c>
      <c r="C116" s="15"/>
      <c r="D116" s="14"/>
      <c r="E116" s="16">
        <v>1</v>
      </c>
      <c r="F116" s="16"/>
      <c r="G116" s="17"/>
      <c r="H116" s="17"/>
      <c r="I116" s="17"/>
      <c r="J116" s="17">
        <v>250000</v>
      </c>
      <c r="K116" s="18" t="s">
        <v>41</v>
      </c>
    </row>
    <row r="117" spans="1:11" ht="19.149999999999999" customHeight="1" x14ac:dyDescent="0.25">
      <c r="A117" s="33">
        <v>92</v>
      </c>
      <c r="B117" s="14"/>
      <c r="C117" s="15" t="s">
        <v>359</v>
      </c>
      <c r="D117" s="14">
        <v>46130</v>
      </c>
      <c r="E117" s="16"/>
      <c r="F117" s="16"/>
      <c r="G117" s="17">
        <v>50</v>
      </c>
      <c r="H117" s="17"/>
      <c r="I117" s="17"/>
      <c r="J117" s="17">
        <v>100000</v>
      </c>
      <c r="K117" s="18" t="s">
        <v>42</v>
      </c>
    </row>
    <row r="118" spans="1:11" ht="19.149999999999999" customHeight="1" x14ac:dyDescent="0.25">
      <c r="A118" s="33">
        <v>93</v>
      </c>
      <c r="B118" s="14"/>
      <c r="C118" s="15" t="s">
        <v>360</v>
      </c>
      <c r="D118" s="14">
        <v>46138</v>
      </c>
      <c r="E118" s="16"/>
      <c r="F118" s="16"/>
      <c r="G118" s="17">
        <v>50</v>
      </c>
      <c r="H118" s="17"/>
      <c r="I118" s="17"/>
      <c r="J118" s="17">
        <v>100000</v>
      </c>
      <c r="K118" s="18" t="s">
        <v>42</v>
      </c>
    </row>
    <row r="119" spans="1:11" ht="19.149999999999999" customHeight="1" x14ac:dyDescent="0.25">
      <c r="A119" s="33">
        <v>94</v>
      </c>
      <c r="B119" s="14"/>
      <c r="C119" s="15" t="s">
        <v>361</v>
      </c>
      <c r="D119" s="14">
        <v>46138</v>
      </c>
      <c r="E119" s="16"/>
      <c r="F119" s="16"/>
      <c r="G119" s="17">
        <v>100</v>
      </c>
      <c r="H119" s="17"/>
      <c r="I119" s="17"/>
      <c r="J119" s="17">
        <v>200000</v>
      </c>
      <c r="K119" s="18" t="s">
        <v>42</v>
      </c>
    </row>
    <row r="120" spans="1:11" ht="19.149999999999999" customHeight="1" x14ac:dyDescent="0.25">
      <c r="A120" s="33">
        <v>95</v>
      </c>
      <c r="B120" s="14"/>
      <c r="C120" s="15" t="s">
        <v>362</v>
      </c>
      <c r="D120" s="14">
        <v>46156</v>
      </c>
      <c r="E120" s="16">
        <v>1</v>
      </c>
      <c r="F120" s="16"/>
      <c r="G120" s="17"/>
      <c r="H120" s="17"/>
      <c r="I120" s="17"/>
      <c r="J120" s="17">
        <v>250000</v>
      </c>
      <c r="K120" s="18" t="s">
        <v>44</v>
      </c>
    </row>
    <row r="121" spans="1:11" ht="19.149999999999999" customHeight="1" x14ac:dyDescent="0.25">
      <c r="A121" s="33">
        <v>96</v>
      </c>
      <c r="B121" s="14"/>
      <c r="C121" s="15" t="s">
        <v>363</v>
      </c>
      <c r="D121" s="14">
        <v>46165</v>
      </c>
      <c r="E121" s="16">
        <v>1</v>
      </c>
      <c r="F121" s="16"/>
      <c r="G121" s="17"/>
      <c r="H121" s="17"/>
      <c r="I121" s="17"/>
      <c r="J121" s="17">
        <v>250000</v>
      </c>
      <c r="K121" s="18" t="s">
        <v>47</v>
      </c>
    </row>
    <row r="122" spans="1:11" ht="19.149999999999999" customHeight="1" x14ac:dyDescent="0.25">
      <c r="A122" s="33">
        <v>97</v>
      </c>
      <c r="B122" s="14"/>
      <c r="C122" s="15" t="s">
        <v>364</v>
      </c>
      <c r="D122" s="14">
        <v>46128</v>
      </c>
      <c r="E122" s="16">
        <v>1</v>
      </c>
      <c r="F122" s="16"/>
      <c r="G122" s="17"/>
      <c r="H122" s="17"/>
      <c r="I122" s="17"/>
      <c r="J122" s="17">
        <v>250000</v>
      </c>
      <c r="K122" s="18" t="s">
        <v>43</v>
      </c>
    </row>
    <row r="123" spans="1:11" ht="19.149999999999999" customHeight="1" x14ac:dyDescent="0.25">
      <c r="A123" s="33">
        <v>98</v>
      </c>
      <c r="B123" s="14"/>
      <c r="C123" s="15" t="s">
        <v>365</v>
      </c>
      <c r="D123" s="14">
        <v>46157</v>
      </c>
      <c r="E123" s="16">
        <v>1</v>
      </c>
      <c r="F123" s="16"/>
      <c r="G123" s="17"/>
      <c r="H123" s="17"/>
      <c r="I123" s="17"/>
      <c r="J123" s="17">
        <v>250000</v>
      </c>
      <c r="K123" s="18" t="s">
        <v>47</v>
      </c>
    </row>
    <row r="124" spans="1:11" ht="19.149999999999999" customHeight="1" x14ac:dyDescent="0.25">
      <c r="A124" s="33">
        <v>99</v>
      </c>
      <c r="B124" s="14"/>
      <c r="C124" s="15" t="s">
        <v>366</v>
      </c>
      <c r="D124" s="14">
        <v>46130</v>
      </c>
      <c r="E124" s="16"/>
      <c r="F124" s="16"/>
      <c r="G124" s="17">
        <v>100</v>
      </c>
      <c r="H124" s="17"/>
      <c r="I124" s="17"/>
      <c r="J124" s="17">
        <v>200000</v>
      </c>
      <c r="K124" s="18" t="s">
        <v>45</v>
      </c>
    </row>
    <row r="125" spans="1:11" ht="19.149999999999999" customHeight="1" x14ac:dyDescent="0.25">
      <c r="A125" s="33">
        <v>100</v>
      </c>
      <c r="B125" s="14">
        <v>46128</v>
      </c>
      <c r="C125" s="15" t="s">
        <v>367</v>
      </c>
      <c r="D125" s="14">
        <v>46138</v>
      </c>
      <c r="E125" s="16"/>
      <c r="F125" s="16"/>
      <c r="G125" s="17">
        <v>150</v>
      </c>
      <c r="H125" s="17"/>
      <c r="I125" s="17"/>
      <c r="J125" s="17">
        <v>300000</v>
      </c>
      <c r="K125" s="18" t="s">
        <v>46</v>
      </c>
    </row>
    <row r="126" spans="1:11" ht="19.149999999999999" customHeight="1" x14ac:dyDescent="0.25">
      <c r="A126" s="33">
        <v>101</v>
      </c>
      <c r="B126" s="14"/>
      <c r="C126" s="15" t="s">
        <v>368</v>
      </c>
      <c r="D126" s="14">
        <v>46130</v>
      </c>
      <c r="E126" s="16"/>
      <c r="F126" s="16"/>
      <c r="G126" s="17">
        <v>150</v>
      </c>
      <c r="H126" s="17"/>
      <c r="I126" s="17"/>
      <c r="J126" s="17">
        <v>300000</v>
      </c>
      <c r="K126" s="18" t="s">
        <v>45</v>
      </c>
    </row>
    <row r="127" spans="1:11" ht="19.149999999999999" customHeight="1" x14ac:dyDescent="0.25">
      <c r="A127" s="33">
        <v>102</v>
      </c>
      <c r="B127" s="14">
        <v>46129</v>
      </c>
      <c r="C127" s="18" t="s">
        <v>374</v>
      </c>
      <c r="D127" s="14">
        <v>46137</v>
      </c>
      <c r="E127" s="18"/>
      <c r="F127" s="18"/>
      <c r="G127" s="18">
        <v>50</v>
      </c>
      <c r="H127" s="18"/>
      <c r="I127" s="18"/>
      <c r="J127" s="126">
        <v>100000</v>
      </c>
      <c r="K127" s="18" t="s">
        <v>48</v>
      </c>
    </row>
    <row r="128" spans="1:11" ht="19.149999999999999" customHeight="1" x14ac:dyDescent="0.25">
      <c r="A128" s="33">
        <v>103</v>
      </c>
      <c r="B128" s="46"/>
      <c r="C128" s="27" t="s">
        <v>375</v>
      </c>
      <c r="D128" s="14">
        <v>46172</v>
      </c>
      <c r="E128" s="27">
        <v>1</v>
      </c>
      <c r="F128" s="27"/>
      <c r="G128" s="27"/>
      <c r="H128" s="27"/>
      <c r="I128" s="27"/>
      <c r="J128" s="29">
        <v>250000</v>
      </c>
      <c r="K128" s="18" t="s">
        <v>49</v>
      </c>
    </row>
    <row r="129" spans="1:11" ht="20.25" customHeight="1" x14ac:dyDescent="0.25">
      <c r="A129" s="4"/>
      <c r="B129" s="30"/>
      <c r="C129" s="151" t="s">
        <v>12</v>
      </c>
      <c r="D129" s="151"/>
      <c r="E129" s="45">
        <f>SUM(E102:E128)</f>
        <v>57</v>
      </c>
      <c r="F129" s="45">
        <f t="shared" ref="F129:J129" si="6">SUM(F102:F128)</f>
        <v>4</v>
      </c>
      <c r="G129" s="45">
        <f t="shared" si="6"/>
        <v>4525</v>
      </c>
      <c r="H129" s="45">
        <f t="shared" si="6"/>
        <v>2</v>
      </c>
      <c r="I129" s="45">
        <f t="shared" si="6"/>
        <v>0</v>
      </c>
      <c r="J129" s="45">
        <f t="shared" si="6"/>
        <v>29750000</v>
      </c>
      <c r="K129" s="30"/>
    </row>
    <row r="130" spans="1:11" ht="15.75" x14ac:dyDescent="0.25">
      <c r="A130" s="50"/>
      <c r="B130" s="24"/>
      <c r="C130" s="24"/>
      <c r="D130" s="24"/>
      <c r="E130" s="24"/>
      <c r="F130" s="24"/>
      <c r="G130" s="24"/>
      <c r="H130" s="24"/>
      <c r="I130" s="24"/>
      <c r="J130" s="24"/>
      <c r="K130" s="24"/>
    </row>
    <row r="131" spans="1:11" ht="15.75" x14ac:dyDescent="0.25">
      <c r="A131" s="50"/>
      <c r="B131" s="24"/>
      <c r="C131" s="24"/>
      <c r="D131" s="24"/>
      <c r="E131" s="24"/>
      <c r="F131" s="24"/>
      <c r="G131" s="24"/>
      <c r="H131" s="24"/>
      <c r="I131" s="24"/>
      <c r="J131" s="24"/>
      <c r="K131" s="24"/>
    </row>
    <row r="132" spans="1:11" ht="15.75" x14ac:dyDescent="0.25">
      <c r="A132" s="50"/>
      <c r="B132" s="24"/>
      <c r="C132" s="24"/>
      <c r="D132" s="24"/>
      <c r="E132" s="24"/>
      <c r="F132" s="24"/>
      <c r="G132" s="24"/>
      <c r="H132" s="24"/>
      <c r="I132" s="24"/>
      <c r="J132" s="24"/>
      <c r="K132" s="24"/>
    </row>
    <row r="133" spans="1:11" ht="15.75" x14ac:dyDescent="0.25">
      <c r="A133" s="50"/>
      <c r="B133" s="24"/>
      <c r="C133" s="24"/>
      <c r="D133" s="24"/>
      <c r="E133" s="24"/>
      <c r="F133" s="24"/>
      <c r="G133" s="24"/>
      <c r="H133" s="24"/>
      <c r="I133" s="24"/>
      <c r="J133" s="24"/>
      <c r="K133" s="24"/>
    </row>
    <row r="134" spans="1:11" ht="30.75" customHeight="1" x14ac:dyDescent="0.25">
      <c r="A134" s="4" t="s">
        <v>1</v>
      </c>
      <c r="B134" s="5" t="s">
        <v>2</v>
      </c>
      <c r="C134" s="5" t="s">
        <v>3</v>
      </c>
      <c r="D134" s="5" t="s">
        <v>4</v>
      </c>
      <c r="E134" s="5" t="s">
        <v>5</v>
      </c>
      <c r="F134" s="5" t="s">
        <v>6</v>
      </c>
      <c r="G134" s="6" t="s">
        <v>7</v>
      </c>
      <c r="H134" s="4" t="s">
        <v>8</v>
      </c>
      <c r="I134" s="4" t="s">
        <v>9</v>
      </c>
      <c r="J134" s="4" t="s">
        <v>10</v>
      </c>
      <c r="K134" s="4" t="s">
        <v>11</v>
      </c>
    </row>
    <row r="135" spans="1:11" ht="19.149999999999999" customHeight="1" x14ac:dyDescent="0.25">
      <c r="A135" s="51"/>
      <c r="B135" s="153" t="s">
        <v>13</v>
      </c>
      <c r="C135" s="153"/>
      <c r="D135" s="153"/>
      <c r="E135" s="44">
        <f t="shared" ref="E135:J135" si="7">E129</f>
        <v>57</v>
      </c>
      <c r="F135" s="44">
        <f t="shared" si="7"/>
        <v>4</v>
      </c>
      <c r="G135" s="44">
        <f t="shared" si="7"/>
        <v>4525</v>
      </c>
      <c r="H135" s="44">
        <f t="shared" si="7"/>
        <v>2</v>
      </c>
      <c r="I135" s="44">
        <f t="shared" si="7"/>
        <v>0</v>
      </c>
      <c r="J135" s="44">
        <f t="shared" si="7"/>
        <v>29750000</v>
      </c>
      <c r="K135" s="7"/>
    </row>
    <row r="136" spans="1:11" ht="19.149999999999999" customHeight="1" x14ac:dyDescent="0.25">
      <c r="A136" s="33">
        <v>104</v>
      </c>
      <c r="B136" s="14">
        <v>46129</v>
      </c>
      <c r="C136" s="127"/>
      <c r="D136" s="14"/>
      <c r="E136" s="127">
        <v>1</v>
      </c>
      <c r="F136" s="127"/>
      <c r="G136" s="127"/>
      <c r="H136" s="127"/>
      <c r="I136" s="127"/>
      <c r="J136" s="128">
        <v>250000</v>
      </c>
      <c r="K136" s="18"/>
    </row>
    <row r="137" spans="1:11" ht="19.149999999999999" customHeight="1" x14ac:dyDescent="0.25">
      <c r="A137" s="33">
        <v>105</v>
      </c>
      <c r="B137" s="14">
        <v>46130</v>
      </c>
      <c r="C137" s="15" t="s">
        <v>376</v>
      </c>
      <c r="D137" s="14">
        <v>46130</v>
      </c>
      <c r="E137" s="16"/>
      <c r="F137" s="16"/>
      <c r="G137" s="34"/>
      <c r="H137" s="17">
        <v>1</v>
      </c>
      <c r="I137" s="17"/>
      <c r="J137" s="17">
        <v>100000</v>
      </c>
      <c r="K137" s="18"/>
    </row>
    <row r="138" spans="1:11" ht="19.149999999999999" customHeight="1" x14ac:dyDescent="0.25">
      <c r="A138" s="33">
        <v>106</v>
      </c>
      <c r="B138" s="14"/>
      <c r="C138" s="15" t="s">
        <v>236</v>
      </c>
      <c r="D138" s="14">
        <v>46160</v>
      </c>
      <c r="E138" s="16"/>
      <c r="F138" s="16"/>
      <c r="G138" s="34"/>
      <c r="H138" s="17">
        <v>1</v>
      </c>
      <c r="I138" s="17"/>
      <c r="J138" s="17">
        <v>100000</v>
      </c>
      <c r="K138" s="18"/>
    </row>
    <row r="139" spans="1:11" ht="19.149999999999999" customHeight="1" x14ac:dyDescent="0.25">
      <c r="A139" s="33">
        <v>107</v>
      </c>
      <c r="B139" s="14"/>
      <c r="C139" s="15" t="s">
        <v>377</v>
      </c>
      <c r="D139" s="14">
        <v>46163</v>
      </c>
      <c r="E139" s="16">
        <v>1</v>
      </c>
      <c r="F139" s="16"/>
      <c r="G139" s="34"/>
      <c r="H139" s="17"/>
      <c r="I139" s="17"/>
      <c r="J139" s="17">
        <v>250000</v>
      </c>
      <c r="K139" s="18" t="s">
        <v>41</v>
      </c>
    </row>
    <row r="140" spans="1:11" ht="19.149999999999999" customHeight="1" x14ac:dyDescent="0.25">
      <c r="A140" s="33">
        <v>108</v>
      </c>
      <c r="B140" s="14"/>
      <c r="C140" s="15"/>
      <c r="D140" s="14"/>
      <c r="E140" s="16">
        <v>1</v>
      </c>
      <c r="F140" s="16"/>
      <c r="G140" s="34"/>
      <c r="H140" s="17"/>
      <c r="I140" s="17"/>
      <c r="J140" s="17">
        <v>250000</v>
      </c>
      <c r="K140" s="18"/>
    </row>
    <row r="141" spans="1:11" ht="19.149999999999999" customHeight="1" x14ac:dyDescent="0.25">
      <c r="A141" s="33">
        <v>109</v>
      </c>
      <c r="B141" s="14"/>
      <c r="C141" s="15" t="s">
        <v>378</v>
      </c>
      <c r="D141" s="14">
        <v>46172</v>
      </c>
      <c r="E141" s="16">
        <v>1</v>
      </c>
      <c r="F141" s="16"/>
      <c r="G141" s="34"/>
      <c r="H141" s="17">
        <v>1</v>
      </c>
      <c r="I141" s="17"/>
      <c r="J141" s="17">
        <v>350000</v>
      </c>
      <c r="K141" s="18" t="s">
        <v>47</v>
      </c>
    </row>
    <row r="142" spans="1:11" ht="19.149999999999999" customHeight="1" x14ac:dyDescent="0.25">
      <c r="A142" s="33">
        <v>110</v>
      </c>
      <c r="B142" s="14">
        <v>46131</v>
      </c>
      <c r="C142" s="15" t="s">
        <v>380</v>
      </c>
      <c r="D142" s="14">
        <v>46143</v>
      </c>
      <c r="E142" s="16"/>
      <c r="F142" s="16"/>
      <c r="G142" s="34">
        <v>50</v>
      </c>
      <c r="H142" s="17"/>
      <c r="I142" s="17"/>
      <c r="J142" s="17">
        <v>100000</v>
      </c>
      <c r="K142" s="18" t="s">
        <v>42</v>
      </c>
    </row>
    <row r="143" spans="1:11" ht="19.149999999999999" customHeight="1" x14ac:dyDescent="0.25">
      <c r="A143" s="33">
        <v>111</v>
      </c>
      <c r="B143" s="14"/>
      <c r="C143" s="15" t="s">
        <v>379</v>
      </c>
      <c r="D143" s="14">
        <v>46138</v>
      </c>
      <c r="E143" s="16"/>
      <c r="F143" s="16"/>
      <c r="G143" s="34">
        <v>100</v>
      </c>
      <c r="H143" s="17"/>
      <c r="I143" s="17"/>
      <c r="J143" s="17">
        <v>200000</v>
      </c>
      <c r="K143" s="18" t="s">
        <v>45</v>
      </c>
    </row>
    <row r="144" spans="1:11" ht="19.149999999999999" customHeight="1" x14ac:dyDescent="0.25">
      <c r="A144" s="33">
        <v>112</v>
      </c>
      <c r="B144" s="14">
        <v>46132</v>
      </c>
      <c r="C144" s="15" t="s">
        <v>381</v>
      </c>
      <c r="D144" s="14">
        <v>46144</v>
      </c>
      <c r="E144" s="16">
        <v>1</v>
      </c>
      <c r="F144" s="16"/>
      <c r="G144" s="34"/>
      <c r="H144" s="17"/>
      <c r="I144" s="17"/>
      <c r="J144" s="17">
        <v>250000</v>
      </c>
      <c r="K144" s="18" t="s">
        <v>44</v>
      </c>
    </row>
    <row r="145" spans="1:11" ht="19.149999999999999" customHeight="1" x14ac:dyDescent="0.25">
      <c r="A145" s="33">
        <v>113</v>
      </c>
      <c r="B145" s="14"/>
      <c r="C145" s="15" t="s">
        <v>382</v>
      </c>
      <c r="D145" s="14">
        <v>46167</v>
      </c>
      <c r="E145" s="16"/>
      <c r="F145" s="16"/>
      <c r="G145" s="34">
        <v>50</v>
      </c>
      <c r="H145" s="17"/>
      <c r="I145" s="17"/>
      <c r="J145" s="17">
        <v>100000</v>
      </c>
      <c r="K145" s="18"/>
    </row>
    <row r="146" spans="1:11" ht="19.149999999999999" customHeight="1" x14ac:dyDescent="0.25">
      <c r="A146" s="33">
        <v>114</v>
      </c>
      <c r="B146" s="14"/>
      <c r="C146" s="15" t="s">
        <v>383</v>
      </c>
      <c r="D146" s="14">
        <v>46179</v>
      </c>
      <c r="E146" s="16">
        <v>1</v>
      </c>
      <c r="F146" s="16"/>
      <c r="G146" s="34"/>
      <c r="H146" s="17"/>
      <c r="I146" s="17"/>
      <c r="J146" s="17">
        <v>250000</v>
      </c>
      <c r="K146" s="18" t="s">
        <v>41</v>
      </c>
    </row>
    <row r="147" spans="1:11" ht="19.149999999999999" customHeight="1" x14ac:dyDescent="0.25">
      <c r="A147" s="33">
        <v>115</v>
      </c>
      <c r="B147" s="14"/>
      <c r="C147" s="15" t="s">
        <v>384</v>
      </c>
      <c r="D147" s="14">
        <v>46143</v>
      </c>
      <c r="E147" s="16"/>
      <c r="F147" s="16">
        <v>1</v>
      </c>
      <c r="G147" s="34">
        <v>250</v>
      </c>
      <c r="H147" s="17"/>
      <c r="I147" s="17"/>
      <c r="J147" s="17">
        <v>1250000</v>
      </c>
      <c r="K147" s="18"/>
    </row>
    <row r="148" spans="1:11" ht="19.149999999999999" customHeight="1" x14ac:dyDescent="0.25">
      <c r="A148" s="33">
        <v>116</v>
      </c>
      <c r="B148" s="14">
        <v>46133</v>
      </c>
      <c r="C148" s="15" t="s">
        <v>387</v>
      </c>
      <c r="D148" s="14">
        <v>46145</v>
      </c>
      <c r="E148" s="16">
        <v>1</v>
      </c>
      <c r="F148" s="16"/>
      <c r="G148" s="34"/>
      <c r="H148" s="17"/>
      <c r="I148" s="17"/>
      <c r="J148" s="17">
        <v>250000</v>
      </c>
      <c r="K148" s="18" t="s">
        <v>44</v>
      </c>
    </row>
    <row r="149" spans="1:11" ht="19.149999999999999" customHeight="1" x14ac:dyDescent="0.25">
      <c r="A149" s="33">
        <v>117</v>
      </c>
      <c r="B149" s="14"/>
      <c r="C149" s="15" t="s">
        <v>392</v>
      </c>
      <c r="D149" s="14"/>
      <c r="E149" s="16">
        <v>2</v>
      </c>
      <c r="F149" s="16"/>
      <c r="G149" s="34"/>
      <c r="H149" s="17"/>
      <c r="I149" s="17"/>
      <c r="J149" s="17">
        <v>500000</v>
      </c>
      <c r="K149" s="18" t="s">
        <v>48</v>
      </c>
    </row>
    <row r="150" spans="1:11" ht="19.149999999999999" customHeight="1" x14ac:dyDescent="0.25">
      <c r="A150" s="33">
        <v>118</v>
      </c>
      <c r="B150" s="14"/>
      <c r="C150" s="15" t="s">
        <v>389</v>
      </c>
      <c r="D150" s="14">
        <v>46138</v>
      </c>
      <c r="E150" s="16"/>
      <c r="F150" s="16"/>
      <c r="G150" s="34">
        <v>50</v>
      </c>
      <c r="H150" s="17"/>
      <c r="I150" s="17"/>
      <c r="J150" s="17">
        <v>100000</v>
      </c>
      <c r="K150" s="18" t="s">
        <v>42</v>
      </c>
    </row>
    <row r="151" spans="1:11" ht="19.149999999999999" customHeight="1" x14ac:dyDescent="0.25">
      <c r="A151" s="33">
        <v>119</v>
      </c>
      <c r="B151" s="14"/>
      <c r="C151" s="15" t="s">
        <v>390</v>
      </c>
      <c r="D151" s="14">
        <v>46151</v>
      </c>
      <c r="E151" s="16"/>
      <c r="F151" s="16"/>
      <c r="G151" s="34">
        <v>50</v>
      </c>
      <c r="H151" s="17"/>
      <c r="I151" s="17"/>
      <c r="J151" s="17">
        <v>100000</v>
      </c>
      <c r="K151" s="18" t="s">
        <v>45</v>
      </c>
    </row>
    <row r="152" spans="1:11" ht="19.149999999999999" customHeight="1" x14ac:dyDescent="0.25">
      <c r="A152" s="33">
        <v>120</v>
      </c>
      <c r="B152" s="14"/>
      <c r="C152" s="15" t="s">
        <v>388</v>
      </c>
      <c r="D152" s="14">
        <v>46164</v>
      </c>
      <c r="E152" s="16">
        <v>1</v>
      </c>
      <c r="F152" s="16"/>
      <c r="G152" s="34"/>
      <c r="H152" s="17"/>
      <c r="I152" s="17"/>
      <c r="J152" s="17">
        <v>250000</v>
      </c>
      <c r="K152" s="18" t="s">
        <v>49</v>
      </c>
    </row>
    <row r="153" spans="1:11" ht="19.149999999999999" customHeight="1" x14ac:dyDescent="0.25">
      <c r="A153" s="33">
        <v>121</v>
      </c>
      <c r="B153" s="14"/>
      <c r="C153" s="15" t="s">
        <v>391</v>
      </c>
      <c r="D153" s="14">
        <v>46137</v>
      </c>
      <c r="E153" s="16">
        <v>1</v>
      </c>
      <c r="F153" s="16"/>
      <c r="G153" s="34"/>
      <c r="H153" s="17"/>
      <c r="I153" s="17"/>
      <c r="J153" s="17">
        <v>250000</v>
      </c>
      <c r="K153" s="18" t="s">
        <v>49</v>
      </c>
    </row>
    <row r="154" spans="1:11" ht="19.149999999999999" customHeight="1" x14ac:dyDescent="0.25">
      <c r="A154" s="33">
        <v>122</v>
      </c>
      <c r="B154" s="14"/>
      <c r="C154" s="15" t="s">
        <v>385</v>
      </c>
      <c r="D154" s="102">
        <v>46138</v>
      </c>
      <c r="E154" s="16"/>
      <c r="F154" s="16"/>
      <c r="G154" s="34">
        <v>100</v>
      </c>
      <c r="H154" s="17"/>
      <c r="I154" s="17"/>
      <c r="J154" s="17">
        <v>200000</v>
      </c>
      <c r="K154" s="18" t="s">
        <v>45</v>
      </c>
    </row>
    <row r="155" spans="1:11" ht="19.149999999999999" customHeight="1" x14ac:dyDescent="0.25">
      <c r="A155" s="33">
        <v>123</v>
      </c>
      <c r="B155" s="14"/>
      <c r="C155" s="15" t="s">
        <v>386</v>
      </c>
      <c r="D155" s="14">
        <v>46145</v>
      </c>
      <c r="E155" s="16"/>
      <c r="F155" s="16"/>
      <c r="G155" s="34">
        <v>100</v>
      </c>
      <c r="H155" s="17"/>
      <c r="I155" s="17"/>
      <c r="J155" s="17">
        <v>200000</v>
      </c>
      <c r="K155" s="18" t="s">
        <v>50</v>
      </c>
    </row>
    <row r="156" spans="1:11" ht="19.149999999999999" customHeight="1" x14ac:dyDescent="0.25">
      <c r="A156" s="33">
        <v>124</v>
      </c>
      <c r="B156" s="14">
        <v>46134</v>
      </c>
      <c r="C156" s="15" t="s">
        <v>393</v>
      </c>
      <c r="D156" s="14">
        <v>46136</v>
      </c>
      <c r="E156" s="16">
        <v>1</v>
      </c>
      <c r="F156" s="16"/>
      <c r="G156" s="34"/>
      <c r="H156" s="17"/>
      <c r="I156" s="17"/>
      <c r="J156" s="17">
        <v>250000</v>
      </c>
      <c r="K156" s="18" t="s">
        <v>41</v>
      </c>
    </row>
    <row r="157" spans="1:11" ht="19.149999999999999" customHeight="1" x14ac:dyDescent="0.25">
      <c r="A157" s="33">
        <v>125</v>
      </c>
      <c r="B157" s="14">
        <v>46134</v>
      </c>
      <c r="C157" s="15"/>
      <c r="D157" s="14"/>
      <c r="E157" s="16"/>
      <c r="F157" s="16"/>
      <c r="G157" s="34">
        <v>50</v>
      </c>
      <c r="H157" s="17"/>
      <c r="I157" s="17"/>
      <c r="J157" s="17">
        <v>100000</v>
      </c>
      <c r="K157" s="18"/>
    </row>
    <row r="158" spans="1:11" ht="19.149999999999999" customHeight="1" x14ac:dyDescent="0.25">
      <c r="A158" s="33">
        <v>126</v>
      </c>
      <c r="B158" s="14"/>
      <c r="C158" s="15" t="s">
        <v>395</v>
      </c>
      <c r="D158" s="14">
        <v>46149</v>
      </c>
      <c r="E158" s="16">
        <v>1</v>
      </c>
      <c r="F158" s="16"/>
      <c r="G158" s="34"/>
      <c r="H158" s="17"/>
      <c r="I158" s="17"/>
      <c r="J158" s="17">
        <v>250000</v>
      </c>
      <c r="K158" s="18" t="s">
        <v>44</v>
      </c>
    </row>
    <row r="159" spans="1:11" ht="19.149999999999999" customHeight="1" x14ac:dyDescent="0.25">
      <c r="A159" s="33">
        <v>127</v>
      </c>
      <c r="B159" s="129"/>
      <c r="C159" s="15" t="s">
        <v>394</v>
      </c>
      <c r="D159" s="14">
        <v>46173</v>
      </c>
      <c r="E159" s="16">
        <v>2</v>
      </c>
      <c r="F159" s="16"/>
      <c r="G159" s="34"/>
      <c r="H159" s="17"/>
      <c r="I159" s="17"/>
      <c r="J159" s="17">
        <v>500000</v>
      </c>
      <c r="K159" s="18" t="s">
        <v>48</v>
      </c>
    </row>
    <row r="160" spans="1:11" ht="19.149999999999999" customHeight="1" x14ac:dyDescent="0.25">
      <c r="A160" s="33">
        <v>128</v>
      </c>
      <c r="B160" s="129"/>
      <c r="C160" s="15" t="s">
        <v>396</v>
      </c>
      <c r="D160" s="14">
        <v>46166</v>
      </c>
      <c r="E160" s="16">
        <v>1</v>
      </c>
      <c r="F160" s="16"/>
      <c r="G160" s="34"/>
      <c r="H160" s="17"/>
      <c r="I160" s="17"/>
      <c r="J160" s="17">
        <v>250000</v>
      </c>
      <c r="K160" s="18" t="s">
        <v>43</v>
      </c>
    </row>
    <row r="161" spans="1:11" ht="19.149999999999999" customHeight="1" x14ac:dyDescent="0.25">
      <c r="A161" s="33">
        <v>129</v>
      </c>
      <c r="B161" s="14"/>
      <c r="C161" s="15"/>
      <c r="D161" s="14"/>
      <c r="E161" s="16">
        <v>1</v>
      </c>
      <c r="F161" s="16"/>
      <c r="G161" s="34"/>
      <c r="H161" s="17"/>
      <c r="I161" s="17"/>
      <c r="J161" s="17">
        <v>250000</v>
      </c>
      <c r="K161" s="18"/>
    </row>
    <row r="162" spans="1:11" ht="20.25" customHeight="1" x14ac:dyDescent="0.25">
      <c r="A162" s="47"/>
      <c r="B162" s="41"/>
      <c r="C162" s="155" t="s">
        <v>12</v>
      </c>
      <c r="D162" s="155"/>
      <c r="E162" s="48">
        <f>SUM(E135:E161)</f>
        <v>74</v>
      </c>
      <c r="F162" s="48">
        <f t="shared" ref="F162:J162" si="8">SUM(F135:F161)</f>
        <v>5</v>
      </c>
      <c r="G162" s="48">
        <f t="shared" si="8"/>
        <v>5325</v>
      </c>
      <c r="H162" s="48">
        <f t="shared" si="8"/>
        <v>5</v>
      </c>
      <c r="I162" s="48">
        <f t="shared" si="8"/>
        <v>0</v>
      </c>
      <c r="J162" s="48">
        <f t="shared" si="8"/>
        <v>36650000</v>
      </c>
      <c r="K162" s="41"/>
    </row>
    <row r="163" spans="1:11" ht="19.149999999999999" customHeight="1" x14ac:dyDescent="0.25">
      <c r="A163" s="50"/>
      <c r="B163" s="24"/>
      <c r="C163" s="24"/>
      <c r="D163" s="24"/>
      <c r="E163" s="24"/>
      <c r="F163" s="24"/>
      <c r="G163" s="24"/>
      <c r="H163" s="24"/>
      <c r="I163" s="24"/>
      <c r="J163" s="24"/>
      <c r="K163" s="24"/>
    </row>
    <row r="164" spans="1:11" ht="15.75" x14ac:dyDescent="0.25">
      <c r="A164" s="50"/>
      <c r="B164" s="24"/>
      <c r="C164" s="24"/>
      <c r="D164" s="24"/>
      <c r="E164" s="24"/>
      <c r="F164" s="24"/>
      <c r="G164" s="24"/>
      <c r="H164" s="24"/>
      <c r="I164" s="24"/>
      <c r="J164" s="42"/>
      <c r="K164" s="24"/>
    </row>
    <row r="165" spans="1:11" ht="15.75" x14ac:dyDescent="0.25">
      <c r="A165" s="50"/>
      <c r="B165" s="24"/>
      <c r="C165" s="24"/>
      <c r="D165" s="24"/>
      <c r="E165" s="24"/>
      <c r="F165" s="24"/>
      <c r="G165" s="24"/>
      <c r="H165" s="24"/>
      <c r="I165" s="24"/>
      <c r="J165" s="42"/>
      <c r="K165" s="24"/>
    </row>
    <row r="166" spans="1:11" ht="15.75" x14ac:dyDescent="0.25">
      <c r="A166" s="50"/>
      <c r="B166" s="24"/>
      <c r="C166" s="24"/>
      <c r="D166" s="24"/>
      <c r="E166" s="24"/>
      <c r="F166" s="24"/>
      <c r="G166" s="24"/>
      <c r="H166" s="24"/>
      <c r="I166" s="24"/>
      <c r="J166" s="42"/>
      <c r="K166" s="24"/>
    </row>
    <row r="167" spans="1:11" ht="36.75" customHeight="1" x14ac:dyDescent="0.25">
      <c r="A167" s="4" t="s">
        <v>1</v>
      </c>
      <c r="B167" s="5" t="s">
        <v>2</v>
      </c>
      <c r="C167" s="5" t="s">
        <v>3</v>
      </c>
      <c r="D167" s="5" t="s">
        <v>4</v>
      </c>
      <c r="E167" s="5" t="s">
        <v>5</v>
      </c>
      <c r="F167" s="5" t="s">
        <v>6</v>
      </c>
      <c r="G167" s="6" t="s">
        <v>7</v>
      </c>
      <c r="H167" s="4" t="s">
        <v>8</v>
      </c>
      <c r="I167" s="4" t="s">
        <v>9</v>
      </c>
      <c r="J167" s="4" t="s">
        <v>10</v>
      </c>
      <c r="K167" s="4" t="s">
        <v>11</v>
      </c>
    </row>
    <row r="168" spans="1:11" ht="18.95" customHeight="1" x14ac:dyDescent="0.25">
      <c r="A168" s="51"/>
      <c r="B168" s="153" t="s">
        <v>13</v>
      </c>
      <c r="C168" s="153"/>
      <c r="D168" s="153"/>
      <c r="E168" s="44">
        <f t="shared" ref="E168:J168" si="9">SUM(E162)</f>
        <v>74</v>
      </c>
      <c r="F168" s="44">
        <f t="shared" si="9"/>
        <v>5</v>
      </c>
      <c r="G168" s="44">
        <f t="shared" si="9"/>
        <v>5325</v>
      </c>
      <c r="H168" s="44">
        <f t="shared" si="9"/>
        <v>5</v>
      </c>
      <c r="I168" s="44">
        <f t="shared" si="9"/>
        <v>0</v>
      </c>
      <c r="J168" s="44">
        <f t="shared" si="9"/>
        <v>36650000</v>
      </c>
      <c r="K168" s="7"/>
    </row>
    <row r="169" spans="1:11" ht="18.95" customHeight="1" x14ac:dyDescent="0.25">
      <c r="A169" s="33">
        <v>130</v>
      </c>
      <c r="B169" s="14">
        <v>46136</v>
      </c>
      <c r="C169" s="15" t="s">
        <v>397</v>
      </c>
      <c r="D169" s="14">
        <v>46144</v>
      </c>
      <c r="E169" s="16"/>
      <c r="F169" s="16"/>
      <c r="G169" s="34">
        <v>100</v>
      </c>
      <c r="H169" s="17"/>
      <c r="I169" s="17"/>
      <c r="J169" s="17">
        <v>200000</v>
      </c>
      <c r="K169" s="18" t="s">
        <v>42</v>
      </c>
    </row>
    <row r="170" spans="1:11" ht="18.95" customHeight="1" x14ac:dyDescent="0.25">
      <c r="A170" s="33">
        <v>131</v>
      </c>
      <c r="B170" s="14"/>
      <c r="C170" s="15" t="s">
        <v>404</v>
      </c>
      <c r="D170" s="14">
        <v>46151</v>
      </c>
      <c r="E170" s="16"/>
      <c r="F170" s="16"/>
      <c r="G170" s="34">
        <v>100</v>
      </c>
      <c r="H170" s="17"/>
      <c r="I170" s="17"/>
      <c r="J170" s="17">
        <v>200000</v>
      </c>
      <c r="K170" s="18" t="s">
        <v>42</v>
      </c>
    </row>
    <row r="171" spans="1:11" ht="18.95" customHeight="1" x14ac:dyDescent="0.25">
      <c r="A171" s="33">
        <v>132</v>
      </c>
      <c r="B171" s="14"/>
      <c r="C171" s="15" t="s">
        <v>399</v>
      </c>
      <c r="D171" s="14">
        <v>46136</v>
      </c>
      <c r="E171" s="16">
        <v>1</v>
      </c>
      <c r="F171" s="16"/>
      <c r="G171" s="34"/>
      <c r="H171" s="17"/>
      <c r="I171" s="17"/>
      <c r="J171" s="17">
        <v>250000</v>
      </c>
      <c r="K171" s="18" t="s">
        <v>43</v>
      </c>
    </row>
    <row r="172" spans="1:11" ht="18.95" customHeight="1" x14ac:dyDescent="0.25">
      <c r="A172" s="33">
        <v>133</v>
      </c>
      <c r="B172" s="14"/>
      <c r="C172" s="15" t="s">
        <v>398</v>
      </c>
      <c r="D172" s="14">
        <v>46383</v>
      </c>
      <c r="E172" s="16"/>
      <c r="F172" s="16"/>
      <c r="G172" s="34">
        <v>50</v>
      </c>
      <c r="H172" s="17"/>
      <c r="I172" s="17"/>
      <c r="J172" s="17">
        <v>100000</v>
      </c>
      <c r="K172" s="18" t="s">
        <v>50</v>
      </c>
    </row>
    <row r="173" spans="1:11" ht="18.95" customHeight="1" x14ac:dyDescent="0.25">
      <c r="A173" s="33">
        <v>134</v>
      </c>
      <c r="B173" s="14"/>
      <c r="C173" s="15" t="s">
        <v>405</v>
      </c>
      <c r="D173" s="14">
        <v>46271</v>
      </c>
      <c r="E173" s="16"/>
      <c r="F173" s="16">
        <v>1</v>
      </c>
      <c r="G173" s="34"/>
      <c r="H173" s="17"/>
      <c r="I173" s="17" t="s">
        <v>98</v>
      </c>
      <c r="J173" s="17">
        <v>1750000</v>
      </c>
      <c r="K173" s="18"/>
    </row>
    <row r="174" spans="1:11" ht="18.95" customHeight="1" x14ac:dyDescent="0.25">
      <c r="A174" s="33">
        <v>135</v>
      </c>
      <c r="B174" s="14"/>
      <c r="C174" s="15"/>
      <c r="D174" s="14"/>
      <c r="E174" s="16"/>
      <c r="F174" s="16"/>
      <c r="G174" s="34">
        <v>200</v>
      </c>
      <c r="H174" s="17"/>
      <c r="I174" s="17"/>
      <c r="J174" s="17">
        <v>400000</v>
      </c>
      <c r="K174" s="18"/>
    </row>
    <row r="175" spans="1:11" ht="18.95" customHeight="1" x14ac:dyDescent="0.25">
      <c r="A175" s="33">
        <v>136</v>
      </c>
      <c r="B175" s="14"/>
      <c r="C175" s="15" t="s">
        <v>402</v>
      </c>
      <c r="D175" s="14">
        <v>46142</v>
      </c>
      <c r="E175" s="16">
        <v>1</v>
      </c>
      <c r="F175" s="16"/>
      <c r="G175" s="34"/>
      <c r="H175" s="17"/>
      <c r="I175" s="17"/>
      <c r="J175" s="17">
        <v>250000</v>
      </c>
      <c r="K175" s="18" t="s">
        <v>41</v>
      </c>
    </row>
    <row r="176" spans="1:11" ht="18.95" customHeight="1" x14ac:dyDescent="0.25">
      <c r="A176" s="33">
        <v>137</v>
      </c>
      <c r="B176" s="14"/>
      <c r="C176" s="15" t="s">
        <v>400</v>
      </c>
      <c r="D176" s="14">
        <v>46158</v>
      </c>
      <c r="E176" s="16"/>
      <c r="F176" s="16"/>
      <c r="G176" s="34">
        <v>50</v>
      </c>
      <c r="H176" s="17"/>
      <c r="I176" s="17"/>
      <c r="J176" s="17">
        <v>100000</v>
      </c>
      <c r="K176" s="18" t="s">
        <v>42</v>
      </c>
    </row>
    <row r="177" spans="1:11" ht="18.95" customHeight="1" x14ac:dyDescent="0.25">
      <c r="A177" s="33">
        <v>138</v>
      </c>
      <c r="B177" s="14"/>
      <c r="C177" s="15" t="s">
        <v>401</v>
      </c>
      <c r="D177" s="14">
        <v>46138</v>
      </c>
      <c r="E177" s="16"/>
      <c r="F177" s="16"/>
      <c r="G177" s="34">
        <v>100</v>
      </c>
      <c r="H177" s="17"/>
      <c r="I177" s="17"/>
      <c r="J177" s="17">
        <v>200000</v>
      </c>
      <c r="K177" s="18" t="s">
        <v>52</v>
      </c>
    </row>
    <row r="178" spans="1:11" ht="18.95" customHeight="1" x14ac:dyDescent="0.25">
      <c r="A178" s="33">
        <v>139</v>
      </c>
      <c r="B178" s="14"/>
      <c r="C178" s="15" t="s">
        <v>403</v>
      </c>
      <c r="D178" s="14">
        <v>46137</v>
      </c>
      <c r="E178" s="16"/>
      <c r="F178" s="16"/>
      <c r="G178" s="34">
        <v>50</v>
      </c>
      <c r="H178" s="17"/>
      <c r="I178" s="17"/>
      <c r="J178" s="17">
        <v>100000</v>
      </c>
      <c r="K178" s="18" t="s">
        <v>50</v>
      </c>
    </row>
    <row r="179" spans="1:11" ht="18.95" customHeight="1" x14ac:dyDescent="0.25">
      <c r="A179" s="33">
        <v>140</v>
      </c>
      <c r="B179" s="14">
        <v>46137</v>
      </c>
      <c r="C179" s="15" t="s">
        <v>339</v>
      </c>
      <c r="D179" s="14">
        <v>46137</v>
      </c>
      <c r="E179" s="16"/>
      <c r="F179" s="16"/>
      <c r="G179" s="34"/>
      <c r="H179" s="17">
        <v>1</v>
      </c>
      <c r="I179" s="17"/>
      <c r="J179" s="17">
        <v>100000</v>
      </c>
      <c r="K179" s="18"/>
    </row>
    <row r="180" spans="1:11" ht="18.95" customHeight="1" x14ac:dyDescent="0.25">
      <c r="A180" s="33">
        <v>141</v>
      </c>
      <c r="B180" s="14"/>
      <c r="C180" s="15" t="s">
        <v>406</v>
      </c>
      <c r="D180" s="14">
        <v>46137</v>
      </c>
      <c r="E180" s="16"/>
      <c r="F180" s="16"/>
      <c r="G180" s="34"/>
      <c r="H180" s="17">
        <v>1</v>
      </c>
      <c r="I180" s="17"/>
      <c r="J180" s="17">
        <v>100000</v>
      </c>
      <c r="K180" s="18"/>
    </row>
    <row r="181" spans="1:11" ht="18.95" customHeight="1" x14ac:dyDescent="0.25">
      <c r="A181" s="33">
        <v>142</v>
      </c>
      <c r="B181" s="14"/>
      <c r="C181" s="15" t="s">
        <v>407</v>
      </c>
      <c r="D181" s="14">
        <v>46159</v>
      </c>
      <c r="E181" s="16"/>
      <c r="F181" s="16"/>
      <c r="G181" s="34">
        <v>100</v>
      </c>
      <c r="H181" s="17"/>
      <c r="I181" s="17"/>
      <c r="J181" s="17">
        <v>200000</v>
      </c>
      <c r="K181" s="18" t="s">
        <v>42</v>
      </c>
    </row>
    <row r="182" spans="1:11" ht="18.95" customHeight="1" x14ac:dyDescent="0.25">
      <c r="A182" s="33">
        <v>143</v>
      </c>
      <c r="B182" s="14">
        <v>46138</v>
      </c>
      <c r="C182" s="15" t="s">
        <v>444</v>
      </c>
      <c r="D182" s="14">
        <v>46138</v>
      </c>
      <c r="E182" s="16"/>
      <c r="F182" s="16"/>
      <c r="G182" s="34"/>
      <c r="H182" s="17">
        <v>1</v>
      </c>
      <c r="I182" s="17"/>
      <c r="J182" s="17">
        <v>100000</v>
      </c>
      <c r="K182" s="18"/>
    </row>
    <row r="183" spans="1:11" ht="18.95" customHeight="1" x14ac:dyDescent="0.25">
      <c r="A183" s="33">
        <v>144</v>
      </c>
      <c r="B183" s="14"/>
      <c r="C183" s="15" t="s">
        <v>441</v>
      </c>
      <c r="D183" s="14">
        <v>46143</v>
      </c>
      <c r="E183" s="16">
        <v>1</v>
      </c>
      <c r="F183" s="16"/>
      <c r="G183" s="34"/>
      <c r="H183" s="17"/>
      <c r="I183" s="17"/>
      <c r="J183" s="17">
        <v>250000</v>
      </c>
      <c r="K183" s="18" t="s">
        <v>49</v>
      </c>
    </row>
    <row r="184" spans="1:11" ht="18.95" customHeight="1" x14ac:dyDescent="0.25">
      <c r="A184" s="33">
        <v>145</v>
      </c>
      <c r="B184" s="14"/>
      <c r="C184" s="15" t="s">
        <v>442</v>
      </c>
      <c r="D184" s="14">
        <v>46144</v>
      </c>
      <c r="E184" s="16"/>
      <c r="F184" s="16"/>
      <c r="G184" s="34">
        <v>50</v>
      </c>
      <c r="H184" s="17"/>
      <c r="I184" s="17"/>
      <c r="J184" s="17">
        <v>100000</v>
      </c>
      <c r="K184" s="18" t="s">
        <v>42</v>
      </c>
    </row>
    <row r="185" spans="1:11" ht="18.95" customHeight="1" x14ac:dyDescent="0.25">
      <c r="A185" s="33">
        <v>146</v>
      </c>
      <c r="B185" s="14"/>
      <c r="C185" s="15" t="s">
        <v>443</v>
      </c>
      <c r="D185" s="14">
        <v>46208</v>
      </c>
      <c r="E185" s="16">
        <v>1</v>
      </c>
      <c r="F185" s="16"/>
      <c r="G185" s="34"/>
      <c r="H185" s="17"/>
      <c r="I185" s="17"/>
      <c r="J185" s="17">
        <v>250000</v>
      </c>
      <c r="K185" s="18" t="s">
        <v>44</v>
      </c>
    </row>
    <row r="186" spans="1:11" ht="18.95" customHeight="1" x14ac:dyDescent="0.25">
      <c r="A186" s="33">
        <v>147</v>
      </c>
      <c r="B186" s="14"/>
      <c r="C186" s="15" t="s">
        <v>445</v>
      </c>
      <c r="D186" s="14">
        <v>46111</v>
      </c>
      <c r="E186" s="16">
        <v>1</v>
      </c>
      <c r="F186" s="16"/>
      <c r="G186" s="34"/>
      <c r="H186" s="17"/>
      <c r="I186" s="17"/>
      <c r="J186" s="17">
        <v>250000</v>
      </c>
      <c r="K186" s="18" t="s">
        <v>47</v>
      </c>
    </row>
    <row r="187" spans="1:11" ht="18.95" customHeight="1" x14ac:dyDescent="0.25">
      <c r="A187" s="33">
        <v>148</v>
      </c>
      <c r="B187" s="14"/>
      <c r="C187" s="15"/>
      <c r="D187" s="14"/>
      <c r="E187" s="16">
        <v>1</v>
      </c>
      <c r="F187" s="16"/>
      <c r="G187" s="34"/>
      <c r="H187" s="17"/>
      <c r="I187" s="17"/>
      <c r="J187" s="17">
        <v>250000</v>
      </c>
      <c r="K187" s="18"/>
    </row>
    <row r="188" spans="1:11" ht="18.95" customHeight="1" x14ac:dyDescent="0.25">
      <c r="A188" s="33">
        <v>149</v>
      </c>
      <c r="B188" s="14"/>
      <c r="C188" s="15"/>
      <c r="D188" s="14"/>
      <c r="E188" s="16"/>
      <c r="F188" s="16"/>
      <c r="G188" s="34">
        <v>50</v>
      </c>
      <c r="H188" s="17"/>
      <c r="I188" s="17"/>
      <c r="J188" s="17">
        <v>100000</v>
      </c>
      <c r="K188" s="18"/>
    </row>
    <row r="189" spans="1:11" ht="18.95" customHeight="1" x14ac:dyDescent="0.25">
      <c r="A189" s="33">
        <v>150</v>
      </c>
      <c r="B189" s="14"/>
      <c r="C189" s="15"/>
      <c r="D189" s="14"/>
      <c r="E189" s="16"/>
      <c r="F189" s="16"/>
      <c r="G189" s="34">
        <v>50</v>
      </c>
      <c r="H189" s="17"/>
      <c r="I189" s="17"/>
      <c r="J189" s="17">
        <v>100000</v>
      </c>
      <c r="K189" s="18"/>
    </row>
    <row r="190" spans="1:11" ht="18.95" customHeight="1" x14ac:dyDescent="0.25">
      <c r="A190" s="33">
        <v>151</v>
      </c>
      <c r="B190" s="14">
        <v>46139</v>
      </c>
      <c r="C190" s="15" t="s">
        <v>408</v>
      </c>
      <c r="D190" s="14">
        <v>46169</v>
      </c>
      <c r="E190" s="16">
        <v>1</v>
      </c>
      <c r="F190" s="16"/>
      <c r="G190" s="34"/>
      <c r="H190" s="17"/>
      <c r="I190" s="17"/>
      <c r="J190" s="17">
        <v>250000</v>
      </c>
      <c r="K190" s="18" t="s">
        <v>43</v>
      </c>
    </row>
    <row r="191" spans="1:11" ht="18.75" customHeight="1" x14ac:dyDescent="0.25">
      <c r="A191" s="33">
        <v>152</v>
      </c>
      <c r="B191" s="14"/>
      <c r="C191" s="15" t="s">
        <v>409</v>
      </c>
      <c r="D191" s="14">
        <v>46143</v>
      </c>
      <c r="E191" s="16">
        <v>2</v>
      </c>
      <c r="F191" s="16"/>
      <c r="G191" s="34"/>
      <c r="H191" s="17"/>
      <c r="I191" s="17"/>
      <c r="J191" s="17">
        <v>500000</v>
      </c>
      <c r="K191" s="18" t="s">
        <v>48</v>
      </c>
    </row>
    <row r="192" spans="1:11" ht="18.95" customHeight="1" x14ac:dyDescent="0.25">
      <c r="A192" s="33">
        <v>153</v>
      </c>
      <c r="B192" s="14"/>
      <c r="C192" s="15" t="s">
        <v>410</v>
      </c>
      <c r="D192" s="14">
        <v>46156</v>
      </c>
      <c r="E192" s="16"/>
      <c r="F192" s="16">
        <v>1</v>
      </c>
      <c r="G192" s="34"/>
      <c r="H192" s="17"/>
      <c r="I192" s="17" t="s">
        <v>98</v>
      </c>
      <c r="J192" s="17">
        <v>1750000</v>
      </c>
      <c r="K192" s="18"/>
    </row>
    <row r="193" spans="1:11" ht="18.95" customHeight="1" x14ac:dyDescent="0.25">
      <c r="A193" s="33">
        <v>154</v>
      </c>
      <c r="B193" s="14"/>
      <c r="C193" s="15" t="s">
        <v>411</v>
      </c>
      <c r="D193" s="14">
        <v>46141</v>
      </c>
      <c r="E193" s="16"/>
      <c r="F193" s="16"/>
      <c r="G193" s="34">
        <v>250</v>
      </c>
      <c r="H193" s="17"/>
      <c r="I193" s="17"/>
      <c r="J193" s="17">
        <v>500000</v>
      </c>
      <c r="K193" s="18" t="s">
        <v>42</v>
      </c>
    </row>
    <row r="194" spans="1:11" ht="20.25" customHeight="1" x14ac:dyDescent="0.25">
      <c r="A194" s="47"/>
      <c r="B194" s="41"/>
      <c r="C194" s="155" t="s">
        <v>12</v>
      </c>
      <c r="D194" s="155"/>
      <c r="E194" s="48">
        <f>SUM(E168:E193)</f>
        <v>83</v>
      </c>
      <c r="F194" s="48">
        <f t="shared" ref="F194:J194" si="10">SUM(F168:F193)</f>
        <v>7</v>
      </c>
      <c r="G194" s="48">
        <f t="shared" si="10"/>
        <v>6475</v>
      </c>
      <c r="H194" s="48">
        <f t="shared" si="10"/>
        <v>8</v>
      </c>
      <c r="I194" s="48">
        <f t="shared" si="10"/>
        <v>0</v>
      </c>
      <c r="J194" s="48">
        <f t="shared" si="10"/>
        <v>45000000</v>
      </c>
      <c r="K194" s="41"/>
    </row>
    <row r="195" spans="1:11" x14ac:dyDescent="0.25">
      <c r="A195" s="1"/>
    </row>
    <row r="196" spans="1:11" x14ac:dyDescent="0.25">
      <c r="A196" s="1"/>
    </row>
    <row r="197" spans="1:11" x14ac:dyDescent="0.25">
      <c r="A197" s="1"/>
    </row>
    <row r="198" spans="1:11" x14ac:dyDescent="0.25">
      <c r="A198" s="1"/>
    </row>
    <row r="199" spans="1:11" x14ac:dyDescent="0.25">
      <c r="A199" s="1"/>
    </row>
    <row r="200" spans="1:11" x14ac:dyDescent="0.25">
      <c r="A200" s="1"/>
    </row>
    <row r="201" spans="1:11" ht="30.75" customHeight="1" x14ac:dyDescent="0.25">
      <c r="A201" s="4" t="s">
        <v>1</v>
      </c>
      <c r="B201" s="5" t="s">
        <v>2</v>
      </c>
      <c r="C201" s="5" t="s">
        <v>3</v>
      </c>
      <c r="D201" s="5" t="s">
        <v>4</v>
      </c>
      <c r="E201" s="5" t="s">
        <v>5</v>
      </c>
      <c r="F201" s="5" t="s">
        <v>6</v>
      </c>
      <c r="G201" s="6" t="s">
        <v>7</v>
      </c>
      <c r="H201" s="4" t="s">
        <v>8</v>
      </c>
      <c r="I201" s="4" t="s">
        <v>9</v>
      </c>
      <c r="J201" s="4" t="s">
        <v>10</v>
      </c>
      <c r="K201" s="4" t="s">
        <v>11</v>
      </c>
    </row>
    <row r="202" spans="1:11" ht="18.95" customHeight="1" x14ac:dyDescent="0.25">
      <c r="A202" s="51"/>
      <c r="B202" s="153" t="s">
        <v>13</v>
      </c>
      <c r="C202" s="153"/>
      <c r="D202" s="153"/>
      <c r="E202" s="44">
        <f t="shared" ref="E202:J202" si="11">SUM(E194)</f>
        <v>83</v>
      </c>
      <c r="F202" s="44">
        <f t="shared" si="11"/>
        <v>7</v>
      </c>
      <c r="G202" s="44">
        <f t="shared" si="11"/>
        <v>6475</v>
      </c>
      <c r="H202" s="44">
        <f t="shared" si="11"/>
        <v>8</v>
      </c>
      <c r="I202" s="44">
        <f t="shared" si="11"/>
        <v>0</v>
      </c>
      <c r="J202" s="44">
        <f t="shared" si="11"/>
        <v>45000000</v>
      </c>
      <c r="K202" s="7"/>
    </row>
    <row r="203" spans="1:11" ht="18.95" customHeight="1" x14ac:dyDescent="0.25">
      <c r="A203" s="33">
        <v>155</v>
      </c>
      <c r="B203" s="14">
        <v>46139</v>
      </c>
      <c r="C203" s="15" t="s">
        <v>412</v>
      </c>
      <c r="D203" s="14">
        <v>46174</v>
      </c>
      <c r="E203" s="16"/>
      <c r="F203" s="16">
        <v>1</v>
      </c>
      <c r="G203" s="34"/>
      <c r="H203" s="17"/>
      <c r="I203" s="17" t="s">
        <v>98</v>
      </c>
      <c r="J203" s="17">
        <v>1750000</v>
      </c>
      <c r="K203" s="18"/>
    </row>
    <row r="204" spans="1:11" ht="18.95" customHeight="1" x14ac:dyDescent="0.25">
      <c r="A204" s="33">
        <v>156</v>
      </c>
      <c r="B204" s="14"/>
      <c r="C204" s="15" t="s">
        <v>413</v>
      </c>
      <c r="D204" s="14">
        <v>46140</v>
      </c>
      <c r="E204" s="16">
        <v>1</v>
      </c>
      <c r="F204" s="16"/>
      <c r="G204" s="34"/>
      <c r="H204" s="17"/>
      <c r="I204" s="17"/>
      <c r="J204" s="17">
        <v>250000</v>
      </c>
      <c r="K204" s="18" t="s">
        <v>47</v>
      </c>
    </row>
    <row r="205" spans="1:11" ht="18.95" customHeight="1" x14ac:dyDescent="0.25">
      <c r="A205" s="33">
        <v>157</v>
      </c>
      <c r="B205" s="14"/>
      <c r="C205" s="15" t="s">
        <v>414</v>
      </c>
      <c r="D205" s="14">
        <v>46166</v>
      </c>
      <c r="E205" s="16">
        <v>1</v>
      </c>
      <c r="F205" s="16"/>
      <c r="G205" s="34"/>
      <c r="H205" s="17"/>
      <c r="I205" s="17"/>
      <c r="J205" s="17">
        <v>250000</v>
      </c>
      <c r="K205" s="18" t="s">
        <v>41</v>
      </c>
    </row>
    <row r="206" spans="1:11" ht="18.95" customHeight="1" x14ac:dyDescent="0.25">
      <c r="A206" s="33">
        <v>158</v>
      </c>
      <c r="B206" s="14"/>
      <c r="C206" s="15" t="s">
        <v>415</v>
      </c>
      <c r="D206" s="14">
        <v>46140</v>
      </c>
      <c r="E206" s="16">
        <v>1</v>
      </c>
      <c r="F206" s="16"/>
      <c r="G206" s="34"/>
      <c r="H206" s="17"/>
      <c r="I206" s="17"/>
      <c r="J206" s="17">
        <v>250000</v>
      </c>
      <c r="K206" s="18" t="s">
        <v>44</v>
      </c>
    </row>
    <row r="207" spans="1:11" ht="18.95" customHeight="1" x14ac:dyDescent="0.25">
      <c r="A207" s="33">
        <v>159</v>
      </c>
      <c r="B207" s="14">
        <v>46140</v>
      </c>
      <c r="C207" s="15" t="s">
        <v>416</v>
      </c>
      <c r="D207" s="14">
        <v>46172</v>
      </c>
      <c r="E207" s="16">
        <v>1</v>
      </c>
      <c r="F207" s="16"/>
      <c r="G207" s="34"/>
      <c r="H207" s="17"/>
      <c r="I207" s="17"/>
      <c r="J207" s="17">
        <v>250000</v>
      </c>
      <c r="K207" s="18" t="s">
        <v>44</v>
      </c>
    </row>
    <row r="208" spans="1:11" ht="18.95" customHeight="1" x14ac:dyDescent="0.25">
      <c r="A208" s="33">
        <v>160</v>
      </c>
      <c r="B208" s="14"/>
      <c r="C208" s="15" t="s">
        <v>417</v>
      </c>
      <c r="D208" s="14">
        <v>46200</v>
      </c>
      <c r="E208" s="16">
        <v>1</v>
      </c>
      <c r="F208" s="16"/>
      <c r="G208" s="34"/>
      <c r="H208" s="17"/>
      <c r="I208" s="17"/>
      <c r="J208" s="17">
        <v>250000</v>
      </c>
      <c r="K208" s="18" t="s">
        <v>44</v>
      </c>
    </row>
    <row r="209" spans="1:11" ht="18.95" customHeight="1" x14ac:dyDescent="0.25">
      <c r="A209" s="33">
        <v>161</v>
      </c>
      <c r="B209" s="14"/>
      <c r="C209" s="15" t="s">
        <v>418</v>
      </c>
      <c r="D209" s="14">
        <v>46173</v>
      </c>
      <c r="E209" s="16">
        <v>1</v>
      </c>
      <c r="F209" s="16"/>
      <c r="G209" s="34"/>
      <c r="H209" s="17"/>
      <c r="I209" s="17"/>
      <c r="J209" s="17">
        <v>250000</v>
      </c>
      <c r="K209" s="18" t="s">
        <v>41</v>
      </c>
    </row>
    <row r="210" spans="1:11" ht="18.95" customHeight="1" x14ac:dyDescent="0.25">
      <c r="A210" s="33">
        <v>162</v>
      </c>
      <c r="B210" s="14"/>
      <c r="C210" s="15" t="s">
        <v>419</v>
      </c>
      <c r="D210" s="14">
        <v>46172</v>
      </c>
      <c r="E210" s="16">
        <v>1</v>
      </c>
      <c r="F210" s="16"/>
      <c r="G210" s="34"/>
      <c r="H210" s="17"/>
      <c r="I210" s="17"/>
      <c r="J210" s="17">
        <v>250000</v>
      </c>
      <c r="K210" s="18" t="s">
        <v>41</v>
      </c>
    </row>
    <row r="211" spans="1:11" ht="18.95" customHeight="1" x14ac:dyDescent="0.25">
      <c r="A211" s="33">
        <v>163</v>
      </c>
      <c r="B211" s="14"/>
      <c r="C211" s="15" t="s">
        <v>420</v>
      </c>
      <c r="D211" s="14">
        <v>46147</v>
      </c>
      <c r="E211" s="16">
        <v>2</v>
      </c>
      <c r="F211" s="16"/>
      <c r="G211" s="34"/>
      <c r="H211" s="17"/>
      <c r="I211" s="17"/>
      <c r="J211" s="17">
        <v>500000</v>
      </c>
      <c r="K211" s="18" t="s">
        <v>48</v>
      </c>
    </row>
    <row r="212" spans="1:11" ht="18.95" customHeight="1" x14ac:dyDescent="0.25">
      <c r="A212" s="33">
        <v>164</v>
      </c>
      <c r="B212" s="14">
        <v>46141</v>
      </c>
      <c r="C212" s="15" t="s">
        <v>422</v>
      </c>
      <c r="D212" s="14">
        <v>46142</v>
      </c>
      <c r="E212" s="16">
        <v>1</v>
      </c>
      <c r="F212" s="16"/>
      <c r="G212" s="34"/>
      <c r="H212" s="17"/>
      <c r="I212" s="17"/>
      <c r="J212" s="17">
        <v>250000</v>
      </c>
      <c r="K212" s="18" t="s">
        <v>43</v>
      </c>
    </row>
    <row r="213" spans="1:11" ht="18.95" customHeight="1" x14ac:dyDescent="0.25">
      <c r="A213" s="33">
        <v>165</v>
      </c>
      <c r="B213" s="14"/>
      <c r="C213" s="15" t="s">
        <v>426</v>
      </c>
      <c r="D213" s="14">
        <v>46164</v>
      </c>
      <c r="E213" s="16">
        <v>2</v>
      </c>
      <c r="F213" s="16"/>
      <c r="G213" s="34"/>
      <c r="H213" s="17"/>
      <c r="I213" s="17"/>
      <c r="J213" s="17">
        <v>500000</v>
      </c>
      <c r="K213" s="18" t="s">
        <v>43</v>
      </c>
    </row>
    <row r="214" spans="1:11" ht="18.95" customHeight="1" x14ac:dyDescent="0.25">
      <c r="A214" s="33">
        <v>166</v>
      </c>
      <c r="B214" s="14"/>
      <c r="C214" s="21" t="s">
        <v>424</v>
      </c>
      <c r="D214" s="14">
        <v>46165</v>
      </c>
      <c r="E214" s="16">
        <v>1</v>
      </c>
      <c r="F214" s="16"/>
      <c r="G214" s="34"/>
      <c r="H214" s="17"/>
      <c r="I214" s="17"/>
      <c r="J214" s="17">
        <v>250000</v>
      </c>
      <c r="K214" s="18" t="s">
        <v>43</v>
      </c>
    </row>
    <row r="215" spans="1:11" ht="18.95" customHeight="1" x14ac:dyDescent="0.25">
      <c r="A215" s="33">
        <v>167</v>
      </c>
      <c r="B215" s="14"/>
      <c r="C215" s="15" t="s">
        <v>423</v>
      </c>
      <c r="D215" s="14">
        <v>46142</v>
      </c>
      <c r="E215" s="16"/>
      <c r="F215" s="16"/>
      <c r="G215" s="34">
        <v>100</v>
      </c>
      <c r="H215" s="17"/>
      <c r="I215" s="17"/>
      <c r="J215" s="17">
        <v>200000</v>
      </c>
      <c r="K215" s="18" t="s">
        <v>42</v>
      </c>
    </row>
    <row r="216" spans="1:11" ht="18.95" customHeight="1" x14ac:dyDescent="0.25">
      <c r="A216" s="33">
        <v>168</v>
      </c>
      <c r="B216" s="14"/>
      <c r="C216" s="15" t="s">
        <v>421</v>
      </c>
      <c r="D216" s="14">
        <v>46152</v>
      </c>
      <c r="E216" s="16"/>
      <c r="F216" s="16"/>
      <c r="G216" s="34">
        <v>50</v>
      </c>
      <c r="H216" s="17"/>
      <c r="I216" s="17"/>
      <c r="J216" s="17">
        <v>100000</v>
      </c>
      <c r="K216" s="18" t="s">
        <v>50</v>
      </c>
    </row>
    <row r="217" spans="1:11" ht="18.95" customHeight="1" x14ac:dyDescent="0.25">
      <c r="A217" s="33">
        <v>169</v>
      </c>
      <c r="B217" s="14"/>
      <c r="C217" s="15" t="s">
        <v>425</v>
      </c>
      <c r="D217" s="14">
        <v>46200</v>
      </c>
      <c r="E217" s="16">
        <v>1</v>
      </c>
      <c r="F217" s="16"/>
      <c r="G217" s="34"/>
      <c r="H217" s="17"/>
      <c r="I217" s="17"/>
      <c r="J217" s="17">
        <v>250000</v>
      </c>
      <c r="K217" s="18" t="s">
        <v>43</v>
      </c>
    </row>
    <row r="218" spans="1:11" ht="18.95" customHeight="1" x14ac:dyDescent="0.25">
      <c r="A218" s="33">
        <v>170</v>
      </c>
      <c r="B218" s="14">
        <v>46142</v>
      </c>
      <c r="C218" s="15" t="s">
        <v>427</v>
      </c>
      <c r="D218" s="14">
        <v>46186</v>
      </c>
      <c r="E218" s="16">
        <v>1</v>
      </c>
      <c r="F218" s="16"/>
      <c r="G218" s="34"/>
      <c r="H218" s="17"/>
      <c r="I218" s="17"/>
      <c r="J218" s="17">
        <v>250000</v>
      </c>
      <c r="K218" s="18" t="s">
        <v>41</v>
      </c>
    </row>
    <row r="219" spans="1:11" ht="18.95" customHeight="1" x14ac:dyDescent="0.25">
      <c r="A219" s="33">
        <v>171</v>
      </c>
      <c r="B219" s="14"/>
      <c r="C219" s="15" t="s">
        <v>428</v>
      </c>
      <c r="D219" s="14">
        <v>46142</v>
      </c>
      <c r="E219" s="16">
        <v>1</v>
      </c>
      <c r="F219" s="16"/>
      <c r="G219" s="34"/>
      <c r="H219" s="17"/>
      <c r="I219" s="17"/>
      <c r="J219" s="17">
        <v>250000</v>
      </c>
      <c r="K219" s="18" t="s">
        <v>44</v>
      </c>
    </row>
    <row r="220" spans="1:11" ht="18.95" customHeight="1" x14ac:dyDescent="0.25">
      <c r="A220" s="33">
        <v>172</v>
      </c>
      <c r="B220" s="14"/>
      <c r="C220" s="15" t="s">
        <v>429</v>
      </c>
      <c r="D220" s="14">
        <v>46143</v>
      </c>
      <c r="E220" s="16"/>
      <c r="F220" s="16"/>
      <c r="G220" s="34">
        <v>50</v>
      </c>
      <c r="H220" s="17"/>
      <c r="I220" s="17"/>
      <c r="J220" s="17">
        <v>100000</v>
      </c>
      <c r="K220" s="18" t="s">
        <v>42</v>
      </c>
    </row>
    <row r="221" spans="1:11" ht="18.95" customHeight="1" x14ac:dyDescent="0.25">
      <c r="A221" s="33">
        <v>173</v>
      </c>
      <c r="B221" s="14"/>
      <c r="C221" s="15" t="s">
        <v>375</v>
      </c>
      <c r="D221" s="14">
        <v>46142</v>
      </c>
      <c r="E221" s="16"/>
      <c r="F221" s="16"/>
      <c r="G221" s="34"/>
      <c r="H221" s="17">
        <v>1</v>
      </c>
      <c r="I221" s="17"/>
      <c r="J221" s="17">
        <v>100000</v>
      </c>
      <c r="K221" s="18"/>
    </row>
    <row r="222" spans="1:11" ht="18.95" customHeight="1" x14ac:dyDescent="0.25">
      <c r="A222" s="33">
        <v>174</v>
      </c>
      <c r="B222" s="14"/>
      <c r="C222" s="15" t="s">
        <v>430</v>
      </c>
      <c r="D222" s="14">
        <v>46143</v>
      </c>
      <c r="E222" s="16"/>
      <c r="F222" s="16"/>
      <c r="G222" s="34">
        <v>150</v>
      </c>
      <c r="H222" s="17"/>
      <c r="I222" s="17"/>
      <c r="J222" s="17">
        <v>300000</v>
      </c>
      <c r="K222" s="18" t="s">
        <v>45</v>
      </c>
    </row>
    <row r="223" spans="1:11" ht="18.95" customHeight="1" x14ac:dyDescent="0.25">
      <c r="A223" s="33">
        <v>175</v>
      </c>
      <c r="B223" s="14"/>
      <c r="C223" s="15" t="s">
        <v>431</v>
      </c>
      <c r="D223" s="14">
        <v>46145</v>
      </c>
      <c r="E223" s="16"/>
      <c r="F223" s="16"/>
      <c r="G223" s="34">
        <v>50</v>
      </c>
      <c r="H223" s="17"/>
      <c r="I223" s="17"/>
      <c r="J223" s="17">
        <v>100000</v>
      </c>
      <c r="K223" s="18" t="s">
        <v>42</v>
      </c>
    </row>
    <row r="224" spans="1:11" ht="18.95" customHeight="1" x14ac:dyDescent="0.25">
      <c r="A224" s="33">
        <v>176</v>
      </c>
      <c r="B224" s="14"/>
      <c r="C224" s="15" t="s">
        <v>432</v>
      </c>
      <c r="D224" s="14">
        <v>46149</v>
      </c>
      <c r="E224" s="16">
        <v>1</v>
      </c>
      <c r="F224" s="16"/>
      <c r="G224" s="34"/>
      <c r="H224" s="17"/>
      <c r="I224" s="17"/>
      <c r="J224" s="17">
        <v>250000</v>
      </c>
      <c r="K224" s="18" t="s">
        <v>49</v>
      </c>
    </row>
    <row r="225" spans="1:11" ht="18.95" customHeight="1" x14ac:dyDescent="0.25">
      <c r="A225" s="33">
        <v>177</v>
      </c>
      <c r="B225" s="14"/>
      <c r="C225" s="15" t="s">
        <v>433</v>
      </c>
      <c r="D225" s="14">
        <v>46154</v>
      </c>
      <c r="E225" s="16">
        <v>1</v>
      </c>
      <c r="F225" s="16"/>
      <c r="G225" s="34"/>
      <c r="H225" s="17"/>
      <c r="I225" s="17"/>
      <c r="J225" s="17">
        <v>250000</v>
      </c>
      <c r="K225" s="18" t="s">
        <v>49</v>
      </c>
    </row>
    <row r="226" spans="1:11" ht="18.95" customHeight="1" x14ac:dyDescent="0.25">
      <c r="A226" s="33">
        <v>178</v>
      </c>
      <c r="B226" s="14"/>
      <c r="C226" s="15" t="s">
        <v>434</v>
      </c>
      <c r="D226" s="14">
        <v>46145</v>
      </c>
      <c r="E226" s="16"/>
      <c r="F226" s="16"/>
      <c r="G226" s="34">
        <v>50</v>
      </c>
      <c r="H226" s="17"/>
      <c r="I226" s="17"/>
      <c r="J226" s="17">
        <v>100000</v>
      </c>
      <c r="K226" s="18" t="s">
        <v>46</v>
      </c>
    </row>
    <row r="227" spans="1:11" ht="18.95" customHeight="1" x14ac:dyDescent="0.25">
      <c r="A227" s="33">
        <v>179</v>
      </c>
      <c r="B227" s="14"/>
      <c r="C227" s="15" t="s">
        <v>435</v>
      </c>
      <c r="D227" s="14">
        <v>46149</v>
      </c>
      <c r="E227" s="16">
        <v>1</v>
      </c>
      <c r="F227" s="16"/>
      <c r="G227" s="34"/>
      <c r="H227" s="17"/>
      <c r="I227" s="17"/>
      <c r="J227" s="17">
        <v>250000</v>
      </c>
      <c r="K227" s="18" t="s">
        <v>41</v>
      </c>
    </row>
    <row r="228" spans="1:11" ht="18.95" customHeight="1" x14ac:dyDescent="0.25">
      <c r="A228" s="33">
        <v>180</v>
      </c>
      <c r="B228" s="14"/>
      <c r="C228" s="15" t="s">
        <v>436</v>
      </c>
      <c r="D228" s="14">
        <v>46148</v>
      </c>
      <c r="E228" s="16">
        <v>1</v>
      </c>
      <c r="F228" s="16"/>
      <c r="G228" s="34"/>
      <c r="H228" s="17"/>
      <c r="I228" s="17"/>
      <c r="J228" s="17">
        <v>250000</v>
      </c>
      <c r="K228" s="18" t="s">
        <v>43</v>
      </c>
    </row>
    <row r="229" spans="1:11" ht="18.95" customHeight="1" x14ac:dyDescent="0.25">
      <c r="A229" s="33">
        <v>181</v>
      </c>
      <c r="B229" s="35"/>
      <c r="C229" s="36" t="s">
        <v>437</v>
      </c>
      <c r="D229" s="14">
        <v>46194</v>
      </c>
      <c r="E229" s="37">
        <v>2</v>
      </c>
      <c r="F229" s="37"/>
      <c r="G229" s="38"/>
      <c r="H229" s="39"/>
      <c r="I229" s="39"/>
      <c r="J229" s="39">
        <v>500000</v>
      </c>
      <c r="K229" s="40" t="s">
        <v>48</v>
      </c>
    </row>
    <row r="230" spans="1:11" ht="20.25" customHeight="1" x14ac:dyDescent="0.25">
      <c r="A230" s="47"/>
      <c r="B230" s="41"/>
      <c r="C230" s="155" t="s">
        <v>12</v>
      </c>
      <c r="D230" s="155"/>
      <c r="E230" s="48">
        <f t="shared" ref="E230:J230" si="12">SUM(E202:E229)</f>
        <v>105</v>
      </c>
      <c r="F230" s="48">
        <f t="shared" si="12"/>
        <v>8</v>
      </c>
      <c r="G230" s="48">
        <f t="shared" si="12"/>
        <v>6925</v>
      </c>
      <c r="H230" s="48">
        <f t="shared" si="12"/>
        <v>9</v>
      </c>
      <c r="I230" s="48">
        <f t="shared" si="12"/>
        <v>0</v>
      </c>
      <c r="J230" s="48">
        <f t="shared" si="12"/>
        <v>53250000</v>
      </c>
      <c r="K230" s="41"/>
    </row>
    <row r="235" spans="1:11" ht="45" x14ac:dyDescent="0.25">
      <c r="A235" s="4" t="s">
        <v>1</v>
      </c>
      <c r="B235" s="5" t="s">
        <v>2</v>
      </c>
      <c r="C235" s="5" t="s">
        <v>3</v>
      </c>
      <c r="D235" s="5" t="s">
        <v>4</v>
      </c>
      <c r="E235" s="5" t="s">
        <v>5</v>
      </c>
      <c r="F235" s="5" t="s">
        <v>6</v>
      </c>
      <c r="G235" s="6" t="s">
        <v>7</v>
      </c>
      <c r="H235" s="4" t="s">
        <v>8</v>
      </c>
      <c r="I235" s="4" t="s">
        <v>9</v>
      </c>
      <c r="J235" s="4" t="s">
        <v>10</v>
      </c>
      <c r="K235" s="4" t="s">
        <v>11</v>
      </c>
    </row>
    <row r="236" spans="1:11" ht="18.95" customHeight="1" x14ac:dyDescent="0.25">
      <c r="A236" s="51"/>
      <c r="B236" s="153" t="s">
        <v>13</v>
      </c>
      <c r="C236" s="153"/>
      <c r="D236" s="153"/>
      <c r="E236" s="44">
        <f>E230</f>
        <v>105</v>
      </c>
      <c r="F236" s="44">
        <f t="shared" ref="F236:J236" si="13">F230</f>
        <v>8</v>
      </c>
      <c r="G236" s="44">
        <f t="shared" si="13"/>
        <v>6925</v>
      </c>
      <c r="H236" s="44">
        <f t="shared" si="13"/>
        <v>9</v>
      </c>
      <c r="I236" s="44">
        <f t="shared" si="13"/>
        <v>0</v>
      </c>
      <c r="J236" s="44">
        <f t="shared" si="13"/>
        <v>53250000</v>
      </c>
      <c r="K236" s="7"/>
    </row>
    <row r="237" spans="1:11" ht="18.95" customHeight="1" x14ac:dyDescent="0.25">
      <c r="A237" s="33">
        <v>182</v>
      </c>
      <c r="B237" s="14">
        <v>46142</v>
      </c>
      <c r="C237" s="15" t="s">
        <v>438</v>
      </c>
      <c r="D237" s="14">
        <v>46221</v>
      </c>
      <c r="E237" s="16">
        <v>1</v>
      </c>
      <c r="F237" s="16"/>
      <c r="G237" s="34"/>
      <c r="H237" s="17"/>
      <c r="I237" s="17"/>
      <c r="J237" s="17">
        <v>250000</v>
      </c>
      <c r="K237" s="18" t="s">
        <v>44</v>
      </c>
    </row>
    <row r="238" spans="1:11" ht="18.95" customHeight="1" x14ac:dyDescent="0.25">
      <c r="A238" s="33">
        <v>183</v>
      </c>
      <c r="B238" s="14"/>
      <c r="C238" s="15" t="s">
        <v>439</v>
      </c>
      <c r="D238" s="14">
        <v>46190</v>
      </c>
      <c r="E238" s="16">
        <v>1</v>
      </c>
      <c r="F238" s="16"/>
      <c r="G238" s="34"/>
      <c r="H238" s="17"/>
      <c r="I238" s="17"/>
      <c r="J238" s="17">
        <v>250000</v>
      </c>
      <c r="K238" s="18" t="s">
        <v>44</v>
      </c>
    </row>
    <row r="239" spans="1:11" ht="18.95" customHeight="1" x14ac:dyDescent="0.25">
      <c r="A239" s="47"/>
      <c r="B239" s="41"/>
      <c r="C239" s="155" t="s">
        <v>12</v>
      </c>
      <c r="D239" s="155"/>
      <c r="E239" s="48">
        <f t="shared" ref="E239:J239" si="14">SUM(E236:E238)</f>
        <v>107</v>
      </c>
      <c r="F239" s="48">
        <f t="shared" si="14"/>
        <v>8</v>
      </c>
      <c r="G239" s="48">
        <f t="shared" si="14"/>
        <v>6925</v>
      </c>
      <c r="H239" s="48">
        <f t="shared" si="14"/>
        <v>9</v>
      </c>
      <c r="I239" s="48">
        <f t="shared" si="14"/>
        <v>0</v>
      </c>
      <c r="J239" s="48">
        <f t="shared" si="14"/>
        <v>53750000</v>
      </c>
      <c r="K239" s="41"/>
    </row>
    <row r="241" spans="1:11" x14ac:dyDescent="0.25">
      <c r="G241" t="s">
        <v>440</v>
      </c>
    </row>
    <row r="242" spans="1:11" ht="15.75" customHeight="1" x14ac:dyDescent="0.25">
      <c r="H242" s="58"/>
      <c r="I242" s="149" t="s">
        <v>514</v>
      </c>
      <c r="J242" s="149"/>
      <c r="K242" s="149"/>
    </row>
    <row r="243" spans="1:11" ht="15.75" customHeight="1" x14ac:dyDescent="0.25">
      <c r="H243" s="58"/>
      <c r="I243" s="57"/>
      <c r="J243" s="57"/>
      <c r="K243" s="57"/>
    </row>
    <row r="244" spans="1:11" ht="15.75" customHeight="1" x14ac:dyDescent="0.25">
      <c r="A244" s="148" t="s">
        <v>75</v>
      </c>
      <c r="B244" s="148"/>
      <c r="C244" s="148"/>
      <c r="D244" s="148"/>
      <c r="H244" s="58"/>
      <c r="I244" s="149"/>
      <c r="J244" s="149"/>
      <c r="K244" s="149"/>
    </row>
    <row r="245" spans="1:11" ht="15.75" customHeight="1" x14ac:dyDescent="0.25">
      <c r="A245" s="149" t="s">
        <v>76</v>
      </c>
      <c r="B245" s="149"/>
      <c r="C245" s="149"/>
      <c r="D245" s="149"/>
      <c r="H245" s="58"/>
      <c r="I245" s="149" t="s">
        <v>69</v>
      </c>
      <c r="J245" s="149"/>
      <c r="K245" s="149"/>
    </row>
    <row r="246" spans="1:11" ht="15.75" customHeight="1" x14ac:dyDescent="0.25">
      <c r="A246" s="149" t="s">
        <v>77</v>
      </c>
      <c r="B246" s="149"/>
      <c r="C246" s="149"/>
      <c r="D246" s="149"/>
      <c r="H246" s="55"/>
      <c r="I246" s="55"/>
      <c r="J246" s="56"/>
      <c r="K246" s="56"/>
    </row>
    <row r="247" spans="1:11" ht="15.75" x14ac:dyDescent="0.25">
      <c r="A247" s="149" t="s">
        <v>65</v>
      </c>
      <c r="B247" s="149"/>
      <c r="C247" s="149"/>
      <c r="D247" s="149"/>
      <c r="H247" s="55"/>
      <c r="I247" s="58"/>
      <c r="J247" s="58"/>
      <c r="K247" s="58"/>
    </row>
    <row r="248" spans="1:11" ht="15.75" x14ac:dyDescent="0.25">
      <c r="A248" s="148" t="s">
        <v>66</v>
      </c>
      <c r="B248" s="148"/>
      <c r="C248" s="148"/>
      <c r="D248" s="148"/>
      <c r="H248" s="55"/>
      <c r="I248" s="149"/>
      <c r="J248" s="149"/>
      <c r="K248" s="149"/>
    </row>
    <row r="249" spans="1:11" ht="15.75" x14ac:dyDescent="0.25">
      <c r="A249" s="55"/>
      <c r="B249" s="56"/>
      <c r="C249" s="56"/>
      <c r="H249" s="58"/>
      <c r="I249" s="149"/>
      <c r="J249" s="149"/>
      <c r="K249" s="149"/>
    </row>
    <row r="250" spans="1:11" ht="15.75" customHeight="1" x14ac:dyDescent="0.25">
      <c r="A250" s="58"/>
      <c r="B250" s="58"/>
      <c r="C250" s="58"/>
      <c r="E250" s="148"/>
      <c r="F250" s="148"/>
      <c r="G250" s="148"/>
      <c r="H250" s="148"/>
      <c r="I250" s="58"/>
      <c r="J250" s="58"/>
      <c r="K250" s="58"/>
    </row>
    <row r="251" spans="1:11" ht="15.75" customHeight="1" x14ac:dyDescent="0.25">
      <c r="A251" s="149" t="s">
        <v>67</v>
      </c>
      <c r="B251" s="149"/>
      <c r="C251" s="149"/>
      <c r="D251" s="149"/>
      <c r="E251" s="149"/>
      <c r="F251" s="149"/>
      <c r="G251" s="149"/>
      <c r="H251" s="149"/>
      <c r="I251" s="149" t="s">
        <v>70</v>
      </c>
      <c r="J251" s="149"/>
      <c r="K251" s="149"/>
    </row>
    <row r="252" spans="1:11" ht="15.75" x14ac:dyDescent="0.25">
      <c r="A252" s="149" t="s">
        <v>68</v>
      </c>
      <c r="B252" s="149"/>
      <c r="C252" s="149"/>
      <c r="D252" s="149"/>
      <c r="E252" s="149"/>
      <c r="F252" s="149"/>
      <c r="G252" s="149"/>
      <c r="H252" s="149"/>
      <c r="I252" s="149" t="s">
        <v>71</v>
      </c>
      <c r="J252" s="149"/>
      <c r="K252" s="149"/>
    </row>
    <row r="253" spans="1:11" ht="15.75" x14ac:dyDescent="0.25">
      <c r="E253" s="149"/>
      <c r="F253" s="149"/>
      <c r="G253" s="149"/>
      <c r="H253" s="149"/>
    </row>
    <row r="254" spans="1:11" ht="15.75" x14ac:dyDescent="0.25">
      <c r="E254" s="148"/>
      <c r="F254" s="148"/>
      <c r="G254" s="148"/>
      <c r="H254" s="148"/>
    </row>
    <row r="255" spans="1:11" ht="15.75" x14ac:dyDescent="0.25">
      <c r="E255" s="55"/>
      <c r="F255" s="56"/>
      <c r="G255" s="56"/>
    </row>
    <row r="256" spans="1:11" ht="15.75" x14ac:dyDescent="0.25">
      <c r="E256" s="58"/>
      <c r="F256" s="58"/>
      <c r="G256" s="58"/>
    </row>
    <row r="257" spans="5:8" ht="15.75" x14ac:dyDescent="0.25">
      <c r="E257" s="149"/>
      <c r="F257" s="149"/>
      <c r="G257" s="149"/>
      <c r="H257" s="149"/>
    </row>
    <row r="258" spans="5:8" ht="15.75" x14ac:dyDescent="0.25">
      <c r="E258" s="149"/>
      <c r="F258" s="149"/>
      <c r="G258" s="149"/>
      <c r="H258" s="149"/>
    </row>
  </sheetData>
  <mergeCells count="39">
    <mergeCell ref="I242:K242"/>
    <mergeCell ref="E251:H251"/>
    <mergeCell ref="E252:H252"/>
    <mergeCell ref="E253:H253"/>
    <mergeCell ref="E254:H254"/>
    <mergeCell ref="I249:K249"/>
    <mergeCell ref="E250:H250"/>
    <mergeCell ref="I244:K244"/>
    <mergeCell ref="I245:K245"/>
    <mergeCell ref="I248:K248"/>
    <mergeCell ref="I251:K251"/>
    <mergeCell ref="I252:K252"/>
    <mergeCell ref="B236:D236"/>
    <mergeCell ref="C239:D239"/>
    <mergeCell ref="E258:H258"/>
    <mergeCell ref="E257:H257"/>
    <mergeCell ref="A244:D244"/>
    <mergeCell ref="A245:D245"/>
    <mergeCell ref="A248:D248"/>
    <mergeCell ref="A246:D246"/>
    <mergeCell ref="A247:D247"/>
    <mergeCell ref="A251:D251"/>
    <mergeCell ref="A252:D252"/>
    <mergeCell ref="A1:K1"/>
    <mergeCell ref="B202:D202"/>
    <mergeCell ref="C230:D230"/>
    <mergeCell ref="C63:D63"/>
    <mergeCell ref="A2:K2"/>
    <mergeCell ref="C31:D31"/>
    <mergeCell ref="B36:D36"/>
    <mergeCell ref="A3:K3"/>
    <mergeCell ref="B168:D168"/>
    <mergeCell ref="C194:D194"/>
    <mergeCell ref="B69:D69"/>
    <mergeCell ref="C96:D96"/>
    <mergeCell ref="B102:D102"/>
    <mergeCell ref="C129:D129"/>
    <mergeCell ref="B135:D135"/>
    <mergeCell ref="C162:D162"/>
  </mergeCells>
  <pageMargins left="0.35433070866141736" right="3.937007874015748E-2" top="0.35433070866141736" bottom="0.35433070866141736" header="0.31496062992125984" footer="0.31496062992125984"/>
  <pageSetup paperSize="122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9DA260E-6623-48CB-89B4-DF6DFDA9CC72}">
          <x14:formula1>
            <xm:f>Sheet1!$B$3:$B$19</xm:f>
          </x14:formula1>
          <xm:sqref>K27:K28 K70 K36 K38:K62 K78:K95 K102:K128 K136</xm:sqref>
        </x14:dataValidation>
        <x14:dataValidation type="list" allowBlank="1" showInputMessage="1" showErrorMessage="1" xr:uid="{11F95D3F-3AF5-4EA4-BF3E-6147F3005E8E}">
          <x14:formula1>
            <xm:f>Sheet1!$E$3:$E$42</xm:f>
          </x14:formula1>
          <xm:sqref>G22:G24 G20</xm:sqref>
        </x14:dataValidation>
        <x14:dataValidation type="list" allowBlank="1" showInputMessage="1" showErrorMessage="1" xr:uid="{F4318EC1-514F-4091-85EB-BA2A3878543C}">
          <x14:formula1>
            <xm:f>Sheet1!$E$3:$E$51</xm:f>
          </x14:formula1>
          <xm:sqref>G40:G43</xm:sqref>
        </x14:dataValidation>
        <x14:dataValidation type="list" allowBlank="1" showInputMessage="1" showErrorMessage="1" xr:uid="{2DB8D431-BC36-4003-AB66-8F66B6ADDD8B}">
          <x14:formula1>
            <xm:f>Sheet1!$D$3:$D$12</xm:f>
          </x14:formula1>
          <xm:sqref>I22:I24 I20 I40:I43</xm:sqref>
        </x14:dataValidation>
        <x14:dataValidation type="list" allowBlank="1" showInputMessage="1" showErrorMessage="1" xr:uid="{220FBBE0-7A71-466E-89CD-569BCB8CB96B}">
          <x14:formula1>
            <xm:f>Sheet1!$C$3:$C$12</xm:f>
          </x14:formula1>
          <xm:sqref>H40:H43 H22:H24 E20:F20 E22:F24 H20 E40:F43</xm:sqref>
        </x14:dataValidation>
        <x14:dataValidation type="list" allowBlank="1" showInputMessage="1" showErrorMessage="1" xr:uid="{10F03B09-A311-4E50-ACBC-DFD9A5D890A0}">
          <x14:formula1>
            <xm:f>Sheet1!$F$3:$F$51</xm:f>
          </x14:formula1>
          <xm:sqref>J22:J24 J20 J40:J43</xm:sqref>
        </x14:dataValidation>
        <x14:dataValidation type="list" allowBlank="1" showInputMessage="1" showErrorMessage="1" xr:uid="{1F49548F-1EF1-4340-9371-DD7310A6DF0C}">
          <x14:formula1>
            <xm:f>Sheet1!$B$3:$B$14</xm:f>
          </x14:formula1>
          <xm:sqref>K75</xm:sqref>
        </x14:dataValidation>
        <x14:dataValidation type="list" allowBlank="1" showInputMessage="1" showErrorMessage="1" xr:uid="{161117AA-B7DE-413B-8653-6ABD464D41A7}">
          <x14:formula1>
            <xm:f>Sheet1!$B$3:$B$13</xm:f>
          </x14:formula1>
          <xm:sqref>K76:K77 K37 K71:K74 K4:K26 K2 K137:K241 K247:K1048576 K96:K101 K63:K69 K129:K135 K29:K35 K244:K245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D6EC-F990-4C0C-A77D-2A1EF5E412AD}">
  <dimension ref="A1:K217"/>
  <sheetViews>
    <sheetView topLeftCell="A180" workbookViewId="0">
      <selection activeCell="A192" sqref="A192:A201"/>
    </sheetView>
  </sheetViews>
  <sheetFormatPr defaultRowHeight="15" x14ac:dyDescent="0.25"/>
  <cols>
    <col min="1" max="1" width="5.42578125" customWidth="1"/>
    <col min="2" max="2" width="15.7109375" customWidth="1"/>
    <col min="3" max="3" width="31.85546875" customWidth="1"/>
    <col min="4" max="4" width="14.7109375" customWidth="1"/>
    <col min="5" max="5" width="11.5703125" customWidth="1"/>
    <col min="6" max="6" width="12.42578125" customWidth="1"/>
    <col min="7" max="7" width="8.28515625" customWidth="1"/>
    <col min="8" max="8" width="9.28515625" customWidth="1"/>
    <col min="9" max="9" width="16.28515625" customWidth="1"/>
    <col min="10" max="10" width="16.5703125" customWidth="1"/>
    <col min="11" max="11" width="23.42578125" customWidth="1"/>
  </cols>
  <sheetData>
    <row r="1" spans="1:11" ht="21.75" customHeight="1" x14ac:dyDescent="0.25">
      <c r="A1" s="150" t="s">
        <v>510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5.75" x14ac:dyDescent="0.25">
      <c r="A2" s="150" t="s">
        <v>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5.75" x14ac:dyDescent="0.25">
      <c r="A3" s="150" t="s">
        <v>62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30.75" customHeight="1" x14ac:dyDescent="0.25">
      <c r="A5" s="4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6" t="s">
        <v>7</v>
      </c>
      <c r="H5" s="4" t="s">
        <v>8</v>
      </c>
      <c r="I5" s="4" t="s">
        <v>9</v>
      </c>
      <c r="J5" s="5" t="s">
        <v>598</v>
      </c>
      <c r="K5" s="4" t="s">
        <v>11</v>
      </c>
    </row>
    <row r="6" spans="1:11" ht="19.149999999999999" customHeight="1" x14ac:dyDescent="0.25">
      <c r="A6" s="7">
        <v>1</v>
      </c>
      <c r="B6" s="8">
        <v>46143</v>
      </c>
      <c r="C6" s="9" t="s">
        <v>446</v>
      </c>
      <c r="D6" s="8">
        <v>46144</v>
      </c>
      <c r="E6" s="10"/>
      <c r="F6" s="10"/>
      <c r="G6" s="11">
        <v>150</v>
      </c>
      <c r="H6" s="11"/>
      <c r="I6" s="11"/>
      <c r="J6" s="11">
        <v>300000</v>
      </c>
      <c r="K6" s="12" t="s">
        <v>220</v>
      </c>
    </row>
    <row r="7" spans="1:11" ht="19.149999999999999" customHeight="1" x14ac:dyDescent="0.25">
      <c r="A7" s="13">
        <v>2</v>
      </c>
      <c r="B7" s="14"/>
      <c r="C7" s="15" t="s">
        <v>447</v>
      </c>
      <c r="D7" s="14">
        <v>46191</v>
      </c>
      <c r="E7" s="16">
        <v>1</v>
      </c>
      <c r="F7" s="16"/>
      <c r="G7" s="17"/>
      <c r="H7" s="17"/>
      <c r="I7" s="17"/>
      <c r="J7" s="17">
        <v>250000</v>
      </c>
      <c r="K7" s="18" t="s">
        <v>197</v>
      </c>
    </row>
    <row r="8" spans="1:11" ht="19.149999999999999" customHeight="1" x14ac:dyDescent="0.25">
      <c r="A8" s="13">
        <v>3</v>
      </c>
      <c r="B8" s="14"/>
      <c r="C8" s="18" t="s">
        <v>448</v>
      </c>
      <c r="D8" s="14">
        <v>46201</v>
      </c>
      <c r="E8" s="16">
        <v>1</v>
      </c>
      <c r="F8" s="16"/>
      <c r="G8" s="19"/>
      <c r="H8" s="17"/>
      <c r="I8" s="17"/>
      <c r="J8" s="17">
        <v>250000</v>
      </c>
      <c r="K8" s="18" t="s">
        <v>214</v>
      </c>
    </row>
    <row r="9" spans="1:11" ht="19.149999999999999" customHeight="1" x14ac:dyDescent="0.25">
      <c r="A9" s="13">
        <v>4</v>
      </c>
      <c r="B9" s="14"/>
      <c r="C9" s="15" t="s">
        <v>449</v>
      </c>
      <c r="D9" s="14">
        <v>46152</v>
      </c>
      <c r="E9" s="16">
        <v>1</v>
      </c>
      <c r="F9" s="16"/>
      <c r="G9" s="17"/>
      <c r="H9" s="17"/>
      <c r="I9" s="17"/>
      <c r="J9" s="17">
        <v>250000</v>
      </c>
      <c r="K9" s="18" t="s">
        <v>49</v>
      </c>
    </row>
    <row r="10" spans="1:11" ht="19.149999999999999" customHeight="1" x14ac:dyDescent="0.25">
      <c r="A10" s="13">
        <v>5</v>
      </c>
      <c r="B10" s="14"/>
      <c r="C10" s="15" t="s">
        <v>450</v>
      </c>
      <c r="D10" s="14">
        <v>46145</v>
      </c>
      <c r="E10" s="16"/>
      <c r="F10" s="16"/>
      <c r="G10" s="17">
        <v>100</v>
      </c>
      <c r="H10" s="17"/>
      <c r="I10" s="17"/>
      <c r="J10" s="17">
        <v>200000</v>
      </c>
      <c r="K10" s="18" t="s">
        <v>451</v>
      </c>
    </row>
    <row r="11" spans="1:11" ht="19.149999999999999" customHeight="1" x14ac:dyDescent="0.25">
      <c r="A11" s="13">
        <v>6</v>
      </c>
      <c r="B11" s="14"/>
      <c r="C11" s="15" t="s">
        <v>452</v>
      </c>
      <c r="D11" s="14">
        <v>46147</v>
      </c>
      <c r="E11" s="16">
        <v>2</v>
      </c>
      <c r="F11" s="16"/>
      <c r="G11" s="17"/>
      <c r="H11" s="17"/>
      <c r="I11" s="17"/>
      <c r="J11" s="17">
        <v>500000</v>
      </c>
      <c r="K11" s="18" t="s">
        <v>453</v>
      </c>
    </row>
    <row r="12" spans="1:11" ht="19.149999999999999" customHeight="1" x14ac:dyDescent="0.25">
      <c r="A12" s="13">
        <v>7</v>
      </c>
      <c r="B12" s="14"/>
      <c r="C12" s="15" t="s">
        <v>454</v>
      </c>
      <c r="D12" s="14">
        <v>46147</v>
      </c>
      <c r="E12" s="16">
        <v>1</v>
      </c>
      <c r="F12" s="16"/>
      <c r="G12" s="17"/>
      <c r="H12" s="17"/>
      <c r="I12" s="17"/>
      <c r="J12" s="17">
        <v>250000</v>
      </c>
      <c r="K12" s="18" t="s">
        <v>197</v>
      </c>
    </row>
    <row r="13" spans="1:11" ht="19.149999999999999" customHeight="1" x14ac:dyDescent="0.25">
      <c r="A13" s="13">
        <v>8</v>
      </c>
      <c r="B13" s="14"/>
      <c r="C13" s="15" t="s">
        <v>455</v>
      </c>
      <c r="D13" s="14">
        <v>46150</v>
      </c>
      <c r="E13" s="16">
        <v>1</v>
      </c>
      <c r="F13" s="16"/>
      <c r="G13" s="17"/>
      <c r="H13" s="17"/>
      <c r="I13" s="17"/>
      <c r="J13" s="17">
        <v>250000</v>
      </c>
      <c r="K13" s="18" t="s">
        <v>214</v>
      </c>
    </row>
    <row r="14" spans="1:11" ht="19.149999999999999" customHeight="1" x14ac:dyDescent="0.25">
      <c r="A14" s="13">
        <v>9</v>
      </c>
      <c r="B14" s="14"/>
      <c r="C14" s="15"/>
      <c r="D14" s="14"/>
      <c r="E14" s="16"/>
      <c r="F14" s="16"/>
      <c r="G14" s="17"/>
      <c r="H14" s="17">
        <v>1</v>
      </c>
      <c r="I14" s="17"/>
      <c r="J14" s="17">
        <v>100000</v>
      </c>
      <c r="K14" s="18"/>
    </row>
    <row r="15" spans="1:11" ht="19.149999999999999" customHeight="1" x14ac:dyDescent="0.25">
      <c r="A15" s="13">
        <v>10</v>
      </c>
      <c r="B15" s="14">
        <v>46144</v>
      </c>
      <c r="C15" s="15" t="s">
        <v>456</v>
      </c>
      <c r="D15" s="14">
        <v>46165</v>
      </c>
      <c r="E15" s="16">
        <v>2</v>
      </c>
      <c r="F15" s="16"/>
      <c r="G15" s="17"/>
      <c r="H15" s="17"/>
      <c r="I15" s="17"/>
      <c r="J15" s="17">
        <v>500000</v>
      </c>
      <c r="K15" s="18" t="s">
        <v>186</v>
      </c>
    </row>
    <row r="16" spans="1:11" ht="19.149999999999999" customHeight="1" x14ac:dyDescent="0.25">
      <c r="A16" s="13">
        <v>11</v>
      </c>
      <c r="B16" s="14"/>
      <c r="C16" s="15" t="s">
        <v>457</v>
      </c>
      <c r="D16" s="14">
        <v>46145</v>
      </c>
      <c r="E16" s="16"/>
      <c r="F16" s="16"/>
      <c r="G16" s="17">
        <v>50</v>
      </c>
      <c r="H16" s="17"/>
      <c r="I16" s="17"/>
      <c r="J16" s="17">
        <v>100000</v>
      </c>
      <c r="K16" s="18" t="s">
        <v>201</v>
      </c>
    </row>
    <row r="17" spans="1:11" ht="19.149999999999999" customHeight="1" x14ac:dyDescent="0.25">
      <c r="A17" s="13">
        <v>12</v>
      </c>
      <c r="B17" s="14"/>
      <c r="C17" s="15" t="s">
        <v>458</v>
      </c>
      <c r="D17" s="14">
        <v>46158</v>
      </c>
      <c r="E17" s="16"/>
      <c r="F17" s="16"/>
      <c r="G17" s="17">
        <v>50</v>
      </c>
      <c r="H17" s="17"/>
      <c r="I17" s="17"/>
      <c r="J17" s="17">
        <v>100000</v>
      </c>
      <c r="K17" s="18" t="s">
        <v>459</v>
      </c>
    </row>
    <row r="18" spans="1:11" ht="19.149999999999999" customHeight="1" x14ac:dyDescent="0.25">
      <c r="A18" s="13">
        <v>13</v>
      </c>
      <c r="B18" s="14"/>
      <c r="C18" s="15" t="s">
        <v>460</v>
      </c>
      <c r="D18" s="14">
        <v>46151</v>
      </c>
      <c r="E18" s="16"/>
      <c r="F18" s="16"/>
      <c r="G18" s="17">
        <v>50</v>
      </c>
      <c r="H18" s="17"/>
      <c r="I18" s="17"/>
      <c r="J18" s="17">
        <v>100000</v>
      </c>
      <c r="K18" s="18" t="s">
        <v>461</v>
      </c>
    </row>
    <row r="19" spans="1:11" ht="19.149999999999999" customHeight="1" x14ac:dyDescent="0.25">
      <c r="A19" s="13">
        <v>14</v>
      </c>
      <c r="B19" s="18"/>
      <c r="C19" s="15" t="s">
        <v>462</v>
      </c>
      <c r="D19" s="20">
        <v>46156</v>
      </c>
      <c r="E19" s="16"/>
      <c r="F19" s="18"/>
      <c r="G19" s="18">
        <v>50</v>
      </c>
      <c r="H19" s="18"/>
      <c r="I19" s="18"/>
      <c r="J19" s="17">
        <v>100000</v>
      </c>
      <c r="K19" s="18" t="s">
        <v>463</v>
      </c>
    </row>
    <row r="20" spans="1:11" ht="19.149999999999999" customHeight="1" x14ac:dyDescent="0.25">
      <c r="A20" s="13">
        <v>15</v>
      </c>
      <c r="B20" s="14"/>
      <c r="C20" s="15" t="s">
        <v>464</v>
      </c>
      <c r="D20" s="14">
        <v>46149</v>
      </c>
      <c r="E20" s="16">
        <v>1</v>
      </c>
      <c r="F20" s="16"/>
      <c r="G20" s="17"/>
      <c r="H20" s="17"/>
      <c r="I20" s="17"/>
      <c r="J20" s="17">
        <v>250000</v>
      </c>
      <c r="K20" s="18" t="s">
        <v>197</v>
      </c>
    </row>
    <row r="21" spans="1:11" ht="19.149999999999999" customHeight="1" x14ac:dyDescent="0.25">
      <c r="A21" s="13">
        <v>16</v>
      </c>
      <c r="B21" s="14">
        <v>46145</v>
      </c>
      <c r="C21" s="15"/>
      <c r="D21" s="14"/>
      <c r="E21" s="16"/>
      <c r="F21" s="16"/>
      <c r="G21" s="17"/>
      <c r="H21" s="17">
        <v>1</v>
      </c>
      <c r="I21" s="17"/>
      <c r="J21" s="17">
        <v>100000</v>
      </c>
      <c r="K21" s="18"/>
    </row>
    <row r="22" spans="1:11" ht="19.149999999999999" customHeight="1" x14ac:dyDescent="0.25">
      <c r="A22" s="13">
        <v>17</v>
      </c>
      <c r="B22" s="14"/>
      <c r="C22" s="15"/>
      <c r="D22" s="14"/>
      <c r="E22" s="16">
        <v>1</v>
      </c>
      <c r="F22" s="16"/>
      <c r="G22" s="17"/>
      <c r="H22" s="17"/>
      <c r="I22" s="17"/>
      <c r="J22" s="17">
        <v>250000</v>
      </c>
      <c r="K22" s="18"/>
    </row>
    <row r="23" spans="1:11" ht="19.149999999999999" customHeight="1" x14ac:dyDescent="0.25">
      <c r="A23" s="13">
        <v>18</v>
      </c>
      <c r="B23" s="14"/>
      <c r="C23" s="15" t="s">
        <v>483</v>
      </c>
      <c r="D23" s="20">
        <v>46151</v>
      </c>
      <c r="E23" s="16"/>
      <c r="F23" s="16"/>
      <c r="G23" s="17">
        <v>50</v>
      </c>
      <c r="H23" s="17"/>
      <c r="I23" s="17"/>
      <c r="J23" s="17">
        <v>100000</v>
      </c>
      <c r="K23" s="18"/>
    </row>
    <row r="24" spans="1:11" ht="19.149999999999999" customHeight="1" x14ac:dyDescent="0.25">
      <c r="A24" s="13">
        <v>19</v>
      </c>
      <c r="B24" s="14"/>
      <c r="C24" s="15" t="s">
        <v>482</v>
      </c>
      <c r="D24" s="20">
        <v>46151</v>
      </c>
      <c r="E24" s="16"/>
      <c r="F24" s="16"/>
      <c r="G24" s="17">
        <v>150</v>
      </c>
      <c r="H24" s="17"/>
      <c r="I24" s="17"/>
      <c r="J24" s="17">
        <v>300000</v>
      </c>
      <c r="K24" s="18"/>
    </row>
    <row r="25" spans="1:11" x14ac:dyDescent="0.25">
      <c r="A25" s="13">
        <v>20</v>
      </c>
      <c r="B25" s="20">
        <v>46146</v>
      </c>
      <c r="C25" s="15" t="s">
        <v>465</v>
      </c>
      <c r="D25" s="20">
        <v>46150</v>
      </c>
      <c r="E25" s="16"/>
      <c r="F25" s="18"/>
      <c r="G25" s="18">
        <v>100</v>
      </c>
      <c r="H25" s="18"/>
      <c r="I25" s="18"/>
      <c r="J25" s="17">
        <v>200000</v>
      </c>
      <c r="K25" s="18" t="s">
        <v>220</v>
      </c>
    </row>
    <row r="26" spans="1:11" ht="19.149999999999999" customHeight="1" x14ac:dyDescent="0.25">
      <c r="A26" s="13">
        <v>21</v>
      </c>
      <c r="B26" s="14"/>
      <c r="C26" s="21" t="s">
        <v>466</v>
      </c>
      <c r="D26" s="14">
        <v>46168</v>
      </c>
      <c r="E26" s="16">
        <v>1</v>
      </c>
      <c r="F26" s="16"/>
      <c r="G26" s="17"/>
      <c r="H26" s="17"/>
      <c r="I26" s="17"/>
      <c r="J26" s="17">
        <v>250000</v>
      </c>
      <c r="K26" s="18" t="s">
        <v>467</v>
      </c>
    </row>
    <row r="27" spans="1:11" ht="19.149999999999999" customHeight="1" x14ac:dyDescent="0.25">
      <c r="A27" s="13">
        <v>22</v>
      </c>
      <c r="B27" s="14"/>
      <c r="C27" s="21" t="s">
        <v>468</v>
      </c>
      <c r="D27" s="14">
        <v>46192</v>
      </c>
      <c r="E27" s="16">
        <v>1</v>
      </c>
      <c r="F27" s="16"/>
      <c r="G27" s="17"/>
      <c r="H27" s="17"/>
      <c r="I27" s="17"/>
      <c r="J27" s="17">
        <v>250000</v>
      </c>
      <c r="K27" s="18" t="s">
        <v>214</v>
      </c>
    </row>
    <row r="28" spans="1:11" ht="19.149999999999999" customHeight="1" x14ac:dyDescent="0.25">
      <c r="A28" s="13">
        <v>23</v>
      </c>
      <c r="B28" s="14"/>
      <c r="C28" s="21" t="s">
        <v>469</v>
      </c>
      <c r="D28" s="14">
        <v>46184</v>
      </c>
      <c r="E28" s="16">
        <v>1</v>
      </c>
      <c r="F28" s="16"/>
      <c r="G28" s="17"/>
      <c r="H28" s="17"/>
      <c r="I28" s="17"/>
      <c r="J28" s="17">
        <v>250000</v>
      </c>
      <c r="K28" s="18" t="s">
        <v>205</v>
      </c>
    </row>
    <row r="29" spans="1:11" ht="20.25" customHeight="1" x14ac:dyDescent="0.25">
      <c r="A29" s="4"/>
      <c r="B29" s="30"/>
      <c r="C29" s="151" t="s">
        <v>12</v>
      </c>
      <c r="D29" s="151"/>
      <c r="E29" s="43">
        <f>SUM(E6:E28)</f>
        <v>14</v>
      </c>
      <c r="F29" s="43">
        <f t="shared" ref="F29:J29" si="0">SUM(F6:F28)</f>
        <v>0</v>
      </c>
      <c r="G29" s="43">
        <f t="shared" si="0"/>
        <v>750</v>
      </c>
      <c r="H29" s="43">
        <f t="shared" si="0"/>
        <v>2</v>
      </c>
      <c r="I29" s="43">
        <f t="shared" si="0"/>
        <v>0</v>
      </c>
      <c r="J29" s="43">
        <f t="shared" si="0"/>
        <v>5200000</v>
      </c>
      <c r="K29" s="30"/>
    </row>
    <row r="30" spans="1:11" ht="15.75" x14ac:dyDescent="0.25">
      <c r="A30" s="52"/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1" ht="15.75" x14ac:dyDescent="0.25">
      <c r="A31" s="53"/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1" ht="15.75" x14ac:dyDescent="0.25">
      <c r="A32" s="53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1" ht="15.75" x14ac:dyDescent="0.25">
      <c r="A33" s="49"/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1:11" ht="30.75" customHeight="1" x14ac:dyDescent="0.25">
      <c r="A34" s="4"/>
      <c r="B34" s="5" t="s">
        <v>2</v>
      </c>
      <c r="C34" s="5" t="s">
        <v>3</v>
      </c>
      <c r="D34" s="5" t="s">
        <v>4</v>
      </c>
      <c r="E34" s="5" t="s">
        <v>5</v>
      </c>
      <c r="F34" s="5" t="s">
        <v>6</v>
      </c>
      <c r="G34" s="6" t="s">
        <v>7</v>
      </c>
      <c r="H34" s="4" t="s">
        <v>8</v>
      </c>
      <c r="I34" s="4" t="s">
        <v>9</v>
      </c>
      <c r="J34" s="5" t="s">
        <v>598</v>
      </c>
      <c r="K34" s="4" t="s">
        <v>11</v>
      </c>
    </row>
    <row r="35" spans="1:11" ht="19.149999999999999" customHeight="1" x14ac:dyDescent="0.25">
      <c r="A35" s="7"/>
      <c r="B35" s="153" t="s">
        <v>13</v>
      </c>
      <c r="C35" s="153"/>
      <c r="D35" s="153"/>
      <c r="E35" s="44">
        <f t="shared" ref="E35:J35" si="1">E29</f>
        <v>14</v>
      </c>
      <c r="F35" s="44">
        <f t="shared" si="1"/>
        <v>0</v>
      </c>
      <c r="G35" s="44">
        <f t="shared" si="1"/>
        <v>750</v>
      </c>
      <c r="H35" s="44">
        <f t="shared" si="1"/>
        <v>2</v>
      </c>
      <c r="I35" s="44">
        <f t="shared" si="1"/>
        <v>0</v>
      </c>
      <c r="J35" s="44">
        <f t="shared" si="1"/>
        <v>5200000</v>
      </c>
      <c r="K35" s="25"/>
    </row>
    <row r="36" spans="1:11" ht="19.149999999999999" customHeight="1" x14ac:dyDescent="0.25">
      <c r="A36" s="13">
        <v>24</v>
      </c>
      <c r="B36" s="20">
        <v>46146</v>
      </c>
      <c r="C36" s="46"/>
      <c r="D36" s="46"/>
      <c r="E36" s="124"/>
      <c r="F36" s="124"/>
      <c r="G36" s="124">
        <v>50</v>
      </c>
      <c r="H36" s="124"/>
      <c r="I36" s="124"/>
      <c r="J36" s="124">
        <v>100000</v>
      </c>
      <c r="K36" s="18"/>
    </row>
    <row r="37" spans="1:11" ht="19.149999999999999" customHeight="1" x14ac:dyDescent="0.25">
      <c r="A37" s="13">
        <v>25</v>
      </c>
      <c r="B37" s="46"/>
      <c r="C37" s="125" t="s">
        <v>511</v>
      </c>
      <c r="D37" s="14">
        <v>46159</v>
      </c>
      <c r="E37" s="124">
        <v>1</v>
      </c>
      <c r="F37" s="124"/>
      <c r="G37" s="124"/>
      <c r="H37" s="124"/>
      <c r="I37" s="124"/>
      <c r="J37" s="124">
        <v>250000</v>
      </c>
      <c r="K37" s="18" t="s">
        <v>43</v>
      </c>
    </row>
    <row r="38" spans="1:11" ht="19.149999999999999" customHeight="1" x14ac:dyDescent="0.25">
      <c r="A38" s="13">
        <v>26</v>
      </c>
      <c r="B38" s="14">
        <v>46147</v>
      </c>
      <c r="C38" s="15" t="s">
        <v>470</v>
      </c>
      <c r="D38" s="14">
        <v>46291</v>
      </c>
      <c r="E38" s="16">
        <v>2</v>
      </c>
      <c r="F38" s="16"/>
      <c r="G38" s="17"/>
      <c r="H38" s="17">
        <v>1</v>
      </c>
      <c r="I38" s="17"/>
      <c r="J38" s="17">
        <v>600000</v>
      </c>
      <c r="K38" s="18" t="s">
        <v>186</v>
      </c>
    </row>
    <row r="39" spans="1:11" ht="19.149999999999999" customHeight="1" x14ac:dyDescent="0.25">
      <c r="A39" s="13">
        <v>27</v>
      </c>
      <c r="B39" s="14"/>
      <c r="C39" s="15" t="s">
        <v>471</v>
      </c>
      <c r="D39" s="14">
        <v>46151</v>
      </c>
      <c r="E39" s="16"/>
      <c r="F39" s="16"/>
      <c r="G39" s="17">
        <v>50</v>
      </c>
      <c r="H39" s="17"/>
      <c r="I39" s="17"/>
      <c r="J39" s="17">
        <v>100000</v>
      </c>
      <c r="K39" s="18" t="s">
        <v>472</v>
      </c>
    </row>
    <row r="40" spans="1:11" ht="19.149999999999999" customHeight="1" x14ac:dyDescent="0.25">
      <c r="A40" s="13">
        <v>28</v>
      </c>
      <c r="B40" s="14"/>
      <c r="C40" s="15" t="s">
        <v>473</v>
      </c>
      <c r="D40" s="14">
        <v>46156</v>
      </c>
      <c r="E40" s="16"/>
      <c r="F40" s="16"/>
      <c r="G40" s="17">
        <v>50</v>
      </c>
      <c r="H40" s="17"/>
      <c r="I40" s="17"/>
      <c r="J40" s="17">
        <v>100000</v>
      </c>
      <c r="K40" s="18" t="s">
        <v>461</v>
      </c>
    </row>
    <row r="41" spans="1:11" ht="19.149999999999999" customHeight="1" x14ac:dyDescent="0.25">
      <c r="A41" s="13">
        <v>29</v>
      </c>
      <c r="B41" s="14"/>
      <c r="C41" s="15" t="s">
        <v>474</v>
      </c>
      <c r="D41" s="14">
        <v>46191</v>
      </c>
      <c r="E41" s="16">
        <v>1</v>
      </c>
      <c r="F41" s="16"/>
      <c r="G41" s="17"/>
      <c r="H41" s="17"/>
      <c r="I41" s="17"/>
      <c r="J41" s="17">
        <v>250000</v>
      </c>
      <c r="K41" s="18" t="s">
        <v>214</v>
      </c>
    </row>
    <row r="42" spans="1:11" ht="28.5" customHeight="1" x14ac:dyDescent="0.25">
      <c r="A42" s="13">
        <v>30</v>
      </c>
      <c r="B42" s="14"/>
      <c r="C42" s="21" t="s">
        <v>475</v>
      </c>
      <c r="D42" s="14">
        <v>46187</v>
      </c>
      <c r="E42" s="16">
        <v>1</v>
      </c>
      <c r="F42" s="16"/>
      <c r="G42" s="17"/>
      <c r="H42" s="22"/>
      <c r="I42" s="22"/>
      <c r="J42" s="17">
        <v>250000</v>
      </c>
      <c r="K42" s="21" t="s">
        <v>205</v>
      </c>
    </row>
    <row r="43" spans="1:11" ht="19.149999999999999" customHeight="1" x14ac:dyDescent="0.25">
      <c r="A43" s="13">
        <v>31</v>
      </c>
      <c r="B43" s="14"/>
      <c r="C43" s="21" t="s">
        <v>476</v>
      </c>
      <c r="D43" s="14">
        <v>46173</v>
      </c>
      <c r="E43" s="23">
        <v>1</v>
      </c>
      <c r="F43" s="22"/>
      <c r="G43" s="22"/>
      <c r="H43" s="22"/>
      <c r="I43" s="22"/>
      <c r="J43" s="17">
        <v>250000</v>
      </c>
      <c r="K43" s="21" t="s">
        <v>205</v>
      </c>
    </row>
    <row r="44" spans="1:11" ht="19.149999999999999" customHeight="1" x14ac:dyDescent="0.25">
      <c r="A44" s="13">
        <v>32</v>
      </c>
      <c r="B44" s="14"/>
      <c r="C44" s="21" t="s">
        <v>477</v>
      </c>
      <c r="D44" s="14">
        <v>46207</v>
      </c>
      <c r="E44" s="23">
        <v>1</v>
      </c>
      <c r="F44" s="22"/>
      <c r="G44" s="22"/>
      <c r="H44" s="22"/>
      <c r="I44" s="22"/>
      <c r="J44" s="17">
        <v>250000</v>
      </c>
      <c r="K44" s="21" t="s">
        <v>214</v>
      </c>
    </row>
    <row r="45" spans="1:11" ht="19.149999999999999" customHeight="1" x14ac:dyDescent="0.25">
      <c r="A45" s="13">
        <v>33</v>
      </c>
      <c r="B45" s="14"/>
      <c r="C45" s="21" t="s">
        <v>478</v>
      </c>
      <c r="D45" s="14">
        <v>46184</v>
      </c>
      <c r="E45" s="23"/>
      <c r="F45" s="23">
        <v>1</v>
      </c>
      <c r="G45" s="26"/>
      <c r="H45" s="26"/>
      <c r="I45" s="26" t="s">
        <v>98</v>
      </c>
      <c r="J45" s="17">
        <v>1750000</v>
      </c>
      <c r="K45" s="18"/>
    </row>
    <row r="46" spans="1:11" ht="19.149999999999999" customHeight="1" x14ac:dyDescent="0.25">
      <c r="A46" s="13">
        <v>34</v>
      </c>
      <c r="B46" s="14"/>
      <c r="C46" s="15" t="s">
        <v>479</v>
      </c>
      <c r="D46" s="14">
        <v>46152</v>
      </c>
      <c r="E46" s="23"/>
      <c r="F46" s="23"/>
      <c r="G46" s="26">
        <v>50</v>
      </c>
      <c r="H46" s="26"/>
      <c r="I46" s="26"/>
      <c r="J46" s="17">
        <v>100000</v>
      </c>
      <c r="K46" s="18" t="s">
        <v>480</v>
      </c>
    </row>
    <row r="47" spans="1:11" ht="19.149999999999999" customHeight="1" x14ac:dyDescent="0.25">
      <c r="A47" s="13">
        <v>35</v>
      </c>
      <c r="B47" s="14"/>
      <c r="C47" s="15" t="s">
        <v>481</v>
      </c>
      <c r="D47" s="14">
        <v>46151</v>
      </c>
      <c r="E47" s="16">
        <v>1</v>
      </c>
      <c r="F47" s="16"/>
      <c r="G47" s="17"/>
      <c r="H47" s="17"/>
      <c r="I47" s="17"/>
      <c r="J47" s="17">
        <v>250000</v>
      </c>
      <c r="K47" s="18" t="s">
        <v>205</v>
      </c>
    </row>
    <row r="48" spans="1:11" ht="19.149999999999999" customHeight="1" x14ac:dyDescent="0.25">
      <c r="A48" s="13">
        <v>36</v>
      </c>
      <c r="B48" s="14">
        <v>46148</v>
      </c>
      <c r="C48" s="15" t="s">
        <v>484</v>
      </c>
      <c r="D48" s="14">
        <v>46152</v>
      </c>
      <c r="E48" s="16"/>
      <c r="F48" s="16"/>
      <c r="G48" s="17">
        <v>50</v>
      </c>
      <c r="H48" s="17"/>
      <c r="I48" s="17"/>
      <c r="J48" s="17">
        <v>100000</v>
      </c>
      <c r="K48" s="18"/>
    </row>
    <row r="49" spans="1:11" ht="19.149999999999999" customHeight="1" x14ac:dyDescent="0.25">
      <c r="A49" s="13">
        <v>37</v>
      </c>
      <c r="B49" s="14"/>
      <c r="C49" s="15" t="s">
        <v>485</v>
      </c>
      <c r="D49" s="14">
        <v>46157</v>
      </c>
      <c r="E49" s="16">
        <v>1</v>
      </c>
      <c r="F49" s="16"/>
      <c r="G49" s="17"/>
      <c r="H49" s="17"/>
      <c r="I49" s="17"/>
      <c r="J49" s="17">
        <v>250000</v>
      </c>
      <c r="K49" s="18" t="s">
        <v>41</v>
      </c>
    </row>
    <row r="50" spans="1:11" ht="19.149999999999999" customHeight="1" x14ac:dyDescent="0.25">
      <c r="A50" s="13">
        <v>38</v>
      </c>
      <c r="B50" s="14"/>
      <c r="C50" s="15" t="s">
        <v>486</v>
      </c>
      <c r="D50" s="14">
        <v>46173</v>
      </c>
      <c r="E50" s="16"/>
      <c r="F50" s="16"/>
      <c r="G50" s="17">
        <v>500</v>
      </c>
      <c r="H50" s="17"/>
      <c r="I50" s="17"/>
      <c r="J50" s="17">
        <v>1000000</v>
      </c>
      <c r="K50" s="18" t="s">
        <v>42</v>
      </c>
    </row>
    <row r="51" spans="1:11" ht="19.149999999999999" customHeight="1" x14ac:dyDescent="0.25">
      <c r="A51" s="13">
        <v>39</v>
      </c>
      <c r="B51" s="14">
        <v>46149</v>
      </c>
      <c r="C51" s="15" t="s">
        <v>492</v>
      </c>
      <c r="D51" s="14">
        <v>46156</v>
      </c>
      <c r="E51" s="16"/>
      <c r="F51" s="16"/>
      <c r="G51" s="17">
        <v>50</v>
      </c>
      <c r="H51" s="17"/>
      <c r="I51" s="17"/>
      <c r="J51" s="17">
        <v>100000</v>
      </c>
      <c r="K51" s="18" t="s">
        <v>42</v>
      </c>
    </row>
    <row r="52" spans="1:11" ht="19.149999999999999" customHeight="1" x14ac:dyDescent="0.25">
      <c r="A52" s="13">
        <v>40</v>
      </c>
      <c r="B52" s="14"/>
      <c r="C52" s="15" t="s">
        <v>493</v>
      </c>
      <c r="D52" s="14">
        <v>46159</v>
      </c>
      <c r="E52" s="16">
        <v>1</v>
      </c>
      <c r="F52" s="16"/>
      <c r="G52" s="17"/>
      <c r="H52" s="17"/>
      <c r="I52" s="17"/>
      <c r="J52" s="17">
        <v>250000</v>
      </c>
      <c r="K52" s="18" t="s">
        <v>44</v>
      </c>
    </row>
    <row r="53" spans="1:11" ht="19.149999999999999" customHeight="1" x14ac:dyDescent="0.25">
      <c r="A53" s="13">
        <v>41</v>
      </c>
      <c r="B53" s="14"/>
      <c r="C53" s="15" t="s">
        <v>494</v>
      </c>
      <c r="D53" s="14">
        <v>46176</v>
      </c>
      <c r="E53" s="16">
        <v>1</v>
      </c>
      <c r="F53" s="16"/>
      <c r="G53" s="17"/>
      <c r="H53" s="17"/>
      <c r="I53" s="17"/>
      <c r="J53" s="17">
        <v>250000</v>
      </c>
      <c r="K53" s="18" t="s">
        <v>47</v>
      </c>
    </row>
    <row r="54" spans="1:11" ht="19.149999999999999" customHeight="1" x14ac:dyDescent="0.25">
      <c r="A54" s="13">
        <v>42</v>
      </c>
      <c r="B54" s="14">
        <v>46150</v>
      </c>
      <c r="C54" s="15" t="s">
        <v>487</v>
      </c>
      <c r="D54" s="14">
        <v>46159</v>
      </c>
      <c r="E54" s="16"/>
      <c r="F54" s="16"/>
      <c r="G54" s="17">
        <v>100</v>
      </c>
      <c r="H54" s="17"/>
      <c r="I54" s="17"/>
      <c r="J54" s="17">
        <v>200000</v>
      </c>
      <c r="K54" s="18" t="s">
        <v>52</v>
      </c>
    </row>
    <row r="55" spans="1:11" ht="19.149999999999999" customHeight="1" x14ac:dyDescent="0.25">
      <c r="A55" s="13">
        <v>43</v>
      </c>
      <c r="B55" s="14"/>
      <c r="C55" s="15" t="s">
        <v>488</v>
      </c>
      <c r="D55" s="14">
        <v>46162</v>
      </c>
      <c r="E55" s="16">
        <v>1</v>
      </c>
      <c r="F55" s="16"/>
      <c r="G55" s="17"/>
      <c r="H55" s="17"/>
      <c r="I55" s="17"/>
      <c r="J55" s="17">
        <v>250000</v>
      </c>
      <c r="K55" s="18" t="s">
        <v>44</v>
      </c>
    </row>
    <row r="56" spans="1:11" ht="19.149999999999999" customHeight="1" x14ac:dyDescent="0.25">
      <c r="A56" s="13">
        <v>44</v>
      </c>
      <c r="B56" s="14"/>
      <c r="C56" s="15" t="s">
        <v>489</v>
      </c>
      <c r="D56" s="14">
        <v>46152</v>
      </c>
      <c r="E56" s="16">
        <v>2</v>
      </c>
      <c r="F56" s="16"/>
      <c r="G56" s="17"/>
      <c r="H56" s="17"/>
      <c r="I56" s="17"/>
      <c r="J56" s="17">
        <v>500000</v>
      </c>
      <c r="K56" s="18" t="s">
        <v>48</v>
      </c>
    </row>
    <row r="57" spans="1:11" ht="19.149999999999999" customHeight="1" x14ac:dyDescent="0.25">
      <c r="A57" s="13">
        <v>45</v>
      </c>
      <c r="B57" s="14"/>
      <c r="C57" s="15" t="s">
        <v>490</v>
      </c>
      <c r="D57" s="14">
        <v>46155</v>
      </c>
      <c r="E57" s="16">
        <v>1</v>
      </c>
      <c r="F57" s="16"/>
      <c r="G57" s="17"/>
      <c r="H57" s="17"/>
      <c r="I57" s="17"/>
      <c r="J57" s="17">
        <v>250000</v>
      </c>
      <c r="K57" s="18" t="s">
        <v>44</v>
      </c>
    </row>
    <row r="58" spans="1:11" ht="19.149999999999999" customHeight="1" x14ac:dyDescent="0.25">
      <c r="A58" s="13">
        <v>46</v>
      </c>
      <c r="B58" s="14"/>
      <c r="C58" s="15" t="s">
        <v>491</v>
      </c>
      <c r="D58" s="14">
        <v>46196</v>
      </c>
      <c r="E58" s="16">
        <v>1</v>
      </c>
      <c r="F58" s="16"/>
      <c r="G58" s="17"/>
      <c r="H58" s="17"/>
      <c r="I58" s="17"/>
      <c r="J58" s="17">
        <v>250000</v>
      </c>
      <c r="K58" s="18" t="s">
        <v>47</v>
      </c>
    </row>
    <row r="59" spans="1:11" ht="19.149999999999999" customHeight="1" x14ac:dyDescent="0.25">
      <c r="A59" s="13">
        <v>47</v>
      </c>
      <c r="B59" s="14">
        <v>46151</v>
      </c>
      <c r="C59" s="15" t="s">
        <v>495</v>
      </c>
      <c r="D59" s="14">
        <v>46163</v>
      </c>
      <c r="E59" s="16">
        <v>1</v>
      </c>
      <c r="F59" s="16"/>
      <c r="G59" s="17"/>
      <c r="H59" s="17"/>
      <c r="I59" s="17"/>
      <c r="J59" s="17">
        <v>250000</v>
      </c>
      <c r="K59" s="18" t="s">
        <v>43</v>
      </c>
    </row>
    <row r="60" spans="1:11" ht="19.149999999999999" customHeight="1" x14ac:dyDescent="0.25">
      <c r="A60" s="13">
        <v>48</v>
      </c>
      <c r="B60" s="14"/>
      <c r="C60" s="15" t="s">
        <v>496</v>
      </c>
      <c r="D60" s="14">
        <v>46161</v>
      </c>
      <c r="E60" s="16">
        <v>1</v>
      </c>
      <c r="F60" s="16"/>
      <c r="G60" s="17"/>
      <c r="H60" s="17"/>
      <c r="I60" s="17"/>
      <c r="J60" s="17">
        <v>250000</v>
      </c>
      <c r="K60" s="18" t="s">
        <v>44</v>
      </c>
    </row>
    <row r="61" spans="1:11" ht="20.25" customHeight="1" x14ac:dyDescent="0.25">
      <c r="A61" s="4"/>
      <c r="B61" s="30"/>
      <c r="C61" s="151" t="s">
        <v>12</v>
      </c>
      <c r="D61" s="151"/>
      <c r="E61" s="45">
        <f>SUM(E35:E60)</f>
        <v>32</v>
      </c>
      <c r="F61" s="45">
        <f t="shared" ref="F61:J61" si="2">SUM(F35:F60)</f>
        <v>1</v>
      </c>
      <c r="G61" s="45">
        <f t="shared" si="2"/>
        <v>1650</v>
      </c>
      <c r="H61" s="45">
        <f t="shared" si="2"/>
        <v>3</v>
      </c>
      <c r="I61" s="45">
        <f t="shared" si="2"/>
        <v>0</v>
      </c>
      <c r="J61" s="45">
        <f t="shared" si="2"/>
        <v>13350000</v>
      </c>
      <c r="K61" s="30"/>
    </row>
    <row r="62" spans="1:11" ht="15.75" x14ac:dyDescent="0.25">
      <c r="A62" s="50"/>
      <c r="B62" s="24"/>
      <c r="C62" s="24"/>
      <c r="D62" s="24"/>
      <c r="E62" s="24"/>
      <c r="F62" s="24"/>
      <c r="G62" s="24"/>
      <c r="H62" s="24"/>
      <c r="I62" s="24"/>
      <c r="J62" s="24"/>
      <c r="K62" s="24"/>
    </row>
    <row r="63" spans="1:11" ht="15.75" x14ac:dyDescent="0.25">
      <c r="A63" s="50"/>
      <c r="B63" s="24"/>
      <c r="C63" s="24"/>
      <c r="D63" s="24"/>
      <c r="E63" s="24"/>
      <c r="F63" s="24"/>
      <c r="G63" s="24"/>
      <c r="H63" s="24"/>
      <c r="I63" s="24"/>
      <c r="J63" s="24"/>
      <c r="K63" s="24"/>
    </row>
    <row r="64" spans="1:11" ht="15.75" x14ac:dyDescent="0.25">
      <c r="A64" s="50"/>
      <c r="B64" s="24"/>
      <c r="C64" s="24"/>
      <c r="D64" s="24"/>
      <c r="E64" s="24"/>
      <c r="F64" s="24"/>
      <c r="G64" s="24"/>
      <c r="H64" s="24"/>
      <c r="I64" s="24"/>
      <c r="J64" s="24"/>
      <c r="K64" s="24"/>
    </row>
    <row r="65" spans="1:11" ht="30.75" customHeight="1" x14ac:dyDescent="0.25">
      <c r="A65" s="4" t="s">
        <v>1</v>
      </c>
      <c r="B65" s="5" t="s">
        <v>2</v>
      </c>
      <c r="C65" s="5" t="s">
        <v>3</v>
      </c>
      <c r="D65" s="5" t="s">
        <v>4</v>
      </c>
      <c r="E65" s="5" t="s">
        <v>5</v>
      </c>
      <c r="F65" s="5" t="s">
        <v>6</v>
      </c>
      <c r="G65" s="6" t="s">
        <v>7</v>
      </c>
      <c r="H65" s="4" t="s">
        <v>8</v>
      </c>
      <c r="I65" s="4" t="s">
        <v>9</v>
      </c>
      <c r="J65" s="5" t="s">
        <v>598</v>
      </c>
      <c r="K65" s="4" t="s">
        <v>11</v>
      </c>
    </row>
    <row r="66" spans="1:11" ht="19.149999999999999" customHeight="1" x14ac:dyDescent="0.25">
      <c r="A66" s="7"/>
      <c r="B66" s="153" t="s">
        <v>13</v>
      </c>
      <c r="C66" s="153"/>
      <c r="D66" s="153"/>
      <c r="E66" s="44">
        <f t="shared" ref="E66:J66" si="3">E61</f>
        <v>32</v>
      </c>
      <c r="F66" s="44">
        <f t="shared" si="3"/>
        <v>1</v>
      </c>
      <c r="G66" s="44">
        <f t="shared" si="3"/>
        <v>1650</v>
      </c>
      <c r="H66" s="44">
        <f t="shared" si="3"/>
        <v>3</v>
      </c>
      <c r="I66" s="44">
        <f t="shared" si="3"/>
        <v>0</v>
      </c>
      <c r="J66" s="44">
        <f t="shared" si="3"/>
        <v>13350000</v>
      </c>
      <c r="K66" s="7"/>
    </row>
    <row r="67" spans="1:11" ht="19.149999999999999" customHeight="1" x14ac:dyDescent="0.25">
      <c r="A67" s="13">
        <v>49</v>
      </c>
      <c r="B67" s="14">
        <v>46151</v>
      </c>
      <c r="C67" s="15" t="s">
        <v>497</v>
      </c>
      <c r="D67" s="14">
        <v>46201</v>
      </c>
      <c r="E67" s="16">
        <v>1</v>
      </c>
      <c r="F67" s="16"/>
      <c r="G67" s="17"/>
      <c r="H67" s="17"/>
      <c r="I67" s="17"/>
      <c r="J67" s="17">
        <v>250000</v>
      </c>
      <c r="K67" s="18" t="s">
        <v>41</v>
      </c>
    </row>
    <row r="68" spans="1:11" ht="19.149999999999999" customHeight="1" x14ac:dyDescent="0.25">
      <c r="A68" s="13">
        <v>50</v>
      </c>
      <c r="B68" s="14"/>
      <c r="C68" s="15" t="s">
        <v>498</v>
      </c>
      <c r="D68" s="14">
        <v>46179</v>
      </c>
      <c r="E68" s="16">
        <v>1</v>
      </c>
      <c r="F68" s="16"/>
      <c r="G68" s="17"/>
      <c r="H68" s="17"/>
      <c r="I68" s="17"/>
      <c r="J68" s="17">
        <v>250000</v>
      </c>
      <c r="K68" s="18" t="s">
        <v>43</v>
      </c>
    </row>
    <row r="69" spans="1:11" ht="19.149999999999999" customHeight="1" x14ac:dyDescent="0.25">
      <c r="A69" s="13">
        <v>51</v>
      </c>
      <c r="B69" s="14"/>
      <c r="C69" s="15" t="s">
        <v>499</v>
      </c>
      <c r="D69" s="14">
        <v>46151</v>
      </c>
      <c r="E69" s="16"/>
      <c r="F69" s="16"/>
      <c r="G69" s="17"/>
      <c r="H69" s="17">
        <v>1</v>
      </c>
      <c r="I69" s="17"/>
      <c r="J69" s="17">
        <v>100000</v>
      </c>
      <c r="K69" s="18"/>
    </row>
    <row r="70" spans="1:11" ht="19.149999999999999" customHeight="1" x14ac:dyDescent="0.25">
      <c r="A70" s="13">
        <v>52</v>
      </c>
      <c r="B70" s="14"/>
      <c r="C70" s="15" t="s">
        <v>500</v>
      </c>
      <c r="D70" s="14">
        <v>46194</v>
      </c>
      <c r="E70" s="16">
        <v>1</v>
      </c>
      <c r="F70" s="16"/>
      <c r="G70" s="17"/>
      <c r="H70" s="17"/>
      <c r="I70" s="17"/>
      <c r="J70" s="17">
        <v>250000</v>
      </c>
      <c r="K70" s="18" t="s">
        <v>47</v>
      </c>
    </row>
    <row r="71" spans="1:11" ht="19.149999999999999" customHeight="1" x14ac:dyDescent="0.25">
      <c r="A71" s="13">
        <v>53</v>
      </c>
      <c r="B71" s="14">
        <v>46152</v>
      </c>
      <c r="C71" s="15" t="s">
        <v>501</v>
      </c>
      <c r="D71" s="14">
        <v>46156</v>
      </c>
      <c r="E71" s="16"/>
      <c r="F71" s="16"/>
      <c r="G71" s="17">
        <v>50</v>
      </c>
      <c r="H71" s="17"/>
      <c r="I71" s="17"/>
      <c r="J71" s="17">
        <v>100000</v>
      </c>
      <c r="K71" s="18" t="s">
        <v>45</v>
      </c>
    </row>
    <row r="72" spans="1:11" ht="19.149999999999999" customHeight="1" x14ac:dyDescent="0.25">
      <c r="A72" s="13">
        <v>54</v>
      </c>
      <c r="B72" s="14"/>
      <c r="C72" s="15" t="s">
        <v>502</v>
      </c>
      <c r="D72" s="14">
        <v>46156</v>
      </c>
      <c r="E72" s="16"/>
      <c r="F72" s="16"/>
      <c r="G72" s="17">
        <v>50</v>
      </c>
      <c r="H72" s="17"/>
      <c r="I72" s="17"/>
      <c r="J72" s="17">
        <v>100000</v>
      </c>
      <c r="K72" s="18"/>
    </row>
    <row r="73" spans="1:11" ht="19.149999999999999" customHeight="1" x14ac:dyDescent="0.25">
      <c r="A73" s="13">
        <v>55</v>
      </c>
      <c r="B73" s="14"/>
      <c r="C73" s="21" t="s">
        <v>503</v>
      </c>
      <c r="D73" s="14">
        <v>46156</v>
      </c>
      <c r="E73" s="16"/>
      <c r="F73" s="16"/>
      <c r="G73" s="17">
        <v>75</v>
      </c>
      <c r="H73" s="17"/>
      <c r="I73" s="17"/>
      <c r="J73" s="17">
        <v>150000</v>
      </c>
      <c r="K73" s="18" t="s">
        <v>636</v>
      </c>
    </row>
    <row r="74" spans="1:11" ht="19.149999999999999" customHeight="1" x14ac:dyDescent="0.25">
      <c r="A74" s="13">
        <v>56</v>
      </c>
      <c r="B74" s="14"/>
      <c r="C74" s="15" t="s">
        <v>504</v>
      </c>
      <c r="D74" s="14">
        <v>46158</v>
      </c>
      <c r="E74" s="16"/>
      <c r="F74" s="16"/>
      <c r="G74" s="17">
        <v>100</v>
      </c>
      <c r="H74" s="17"/>
      <c r="I74" s="17"/>
      <c r="J74" s="17">
        <v>200000</v>
      </c>
      <c r="K74" s="18" t="s">
        <v>42</v>
      </c>
    </row>
    <row r="75" spans="1:11" ht="19.149999999999999" customHeight="1" x14ac:dyDescent="0.25">
      <c r="A75" s="13">
        <v>57</v>
      </c>
      <c r="B75" s="14"/>
      <c r="C75" s="15" t="s">
        <v>505</v>
      </c>
      <c r="D75" s="14">
        <v>46159</v>
      </c>
      <c r="E75" s="16"/>
      <c r="F75" s="16"/>
      <c r="G75" s="17">
        <v>100</v>
      </c>
      <c r="H75" s="17"/>
      <c r="I75" s="17"/>
      <c r="J75" s="17">
        <v>200000</v>
      </c>
      <c r="K75" s="18" t="s">
        <v>46</v>
      </c>
    </row>
    <row r="76" spans="1:11" ht="18.75" customHeight="1" x14ac:dyDescent="0.25">
      <c r="A76" s="13">
        <v>58</v>
      </c>
      <c r="B76" s="14"/>
      <c r="C76" s="15" t="s">
        <v>506</v>
      </c>
      <c r="D76" s="14">
        <v>46184</v>
      </c>
      <c r="E76" s="16">
        <v>1</v>
      </c>
      <c r="F76" s="16"/>
      <c r="G76" s="17"/>
      <c r="H76" s="17"/>
      <c r="I76" s="17"/>
      <c r="J76" s="17">
        <v>250000</v>
      </c>
      <c r="K76" s="18" t="s">
        <v>41</v>
      </c>
    </row>
    <row r="77" spans="1:11" ht="19.149999999999999" customHeight="1" x14ac:dyDescent="0.25">
      <c r="A77" s="13">
        <v>59</v>
      </c>
      <c r="B77" s="14"/>
      <c r="C77" s="15" t="s">
        <v>507</v>
      </c>
      <c r="D77" s="14">
        <v>46156</v>
      </c>
      <c r="E77" s="16"/>
      <c r="F77" s="16"/>
      <c r="G77" s="17">
        <v>50</v>
      </c>
      <c r="H77" s="17"/>
      <c r="I77" s="17"/>
      <c r="J77" s="17">
        <v>100000</v>
      </c>
      <c r="K77" s="18" t="s">
        <v>42</v>
      </c>
    </row>
    <row r="78" spans="1:11" ht="19.149999999999999" customHeight="1" x14ac:dyDescent="0.25">
      <c r="A78" s="13">
        <v>60</v>
      </c>
      <c r="B78" s="14"/>
      <c r="C78" s="15" t="s">
        <v>508</v>
      </c>
      <c r="D78" s="14">
        <v>46159</v>
      </c>
      <c r="E78" s="16"/>
      <c r="F78" s="16"/>
      <c r="G78" s="17">
        <v>100</v>
      </c>
      <c r="H78" s="17"/>
      <c r="I78" s="17"/>
      <c r="J78" s="17">
        <v>200000</v>
      </c>
      <c r="K78" s="18" t="s">
        <v>45</v>
      </c>
    </row>
    <row r="79" spans="1:11" ht="19.149999999999999" customHeight="1" x14ac:dyDescent="0.25">
      <c r="A79" s="13">
        <v>61</v>
      </c>
      <c r="B79" s="14"/>
      <c r="C79" s="15" t="s">
        <v>509</v>
      </c>
      <c r="D79" s="14">
        <v>46154</v>
      </c>
      <c r="E79" s="16">
        <v>1</v>
      </c>
      <c r="F79" s="16"/>
      <c r="G79" s="17"/>
      <c r="H79" s="17"/>
      <c r="I79" s="17"/>
      <c r="J79" s="17">
        <v>250000</v>
      </c>
      <c r="K79" s="18" t="s">
        <v>44</v>
      </c>
    </row>
    <row r="80" spans="1:11" ht="19.149999999999999" customHeight="1" x14ac:dyDescent="0.25">
      <c r="A80" s="13">
        <v>62</v>
      </c>
      <c r="B80" s="14"/>
      <c r="C80" s="15"/>
      <c r="D80" s="14"/>
      <c r="E80" s="16">
        <v>1</v>
      </c>
      <c r="F80" s="16"/>
      <c r="G80" s="17"/>
      <c r="H80" s="17"/>
      <c r="I80" s="17"/>
      <c r="J80" s="17">
        <v>250000</v>
      </c>
      <c r="K80" s="18"/>
    </row>
    <row r="81" spans="1:11" ht="19.149999999999999" customHeight="1" x14ac:dyDescent="0.25">
      <c r="A81" s="13">
        <v>63</v>
      </c>
      <c r="B81" s="14">
        <v>46153</v>
      </c>
      <c r="C81" s="15" t="s">
        <v>515</v>
      </c>
      <c r="D81" s="14">
        <v>46157</v>
      </c>
      <c r="E81" s="16"/>
      <c r="F81" s="16"/>
      <c r="G81" s="17">
        <v>50</v>
      </c>
      <c r="H81" s="17"/>
      <c r="I81" s="17"/>
      <c r="J81" s="17">
        <v>100000</v>
      </c>
      <c r="K81" s="18" t="s">
        <v>45</v>
      </c>
    </row>
    <row r="82" spans="1:11" ht="19.149999999999999" customHeight="1" x14ac:dyDescent="0.25">
      <c r="A82" s="13">
        <v>64</v>
      </c>
      <c r="B82" s="14"/>
      <c r="C82" s="15" t="s">
        <v>516</v>
      </c>
      <c r="D82" s="14">
        <v>46180</v>
      </c>
      <c r="E82" s="16">
        <v>1</v>
      </c>
      <c r="F82" s="16"/>
      <c r="G82" s="17"/>
      <c r="H82" s="17"/>
      <c r="I82" s="17"/>
      <c r="J82" s="17">
        <v>250000</v>
      </c>
      <c r="K82" s="18" t="s">
        <v>49</v>
      </c>
    </row>
    <row r="83" spans="1:11" ht="19.149999999999999" customHeight="1" x14ac:dyDescent="0.25">
      <c r="A83" s="13">
        <v>65</v>
      </c>
      <c r="B83" s="14"/>
      <c r="C83" s="15" t="s">
        <v>517</v>
      </c>
      <c r="D83" s="14">
        <v>46177</v>
      </c>
      <c r="E83" s="16">
        <v>1</v>
      </c>
      <c r="F83" s="16"/>
      <c r="G83" s="17"/>
      <c r="H83" s="17"/>
      <c r="I83" s="17"/>
      <c r="J83" s="17">
        <v>250000</v>
      </c>
      <c r="K83" s="18" t="s">
        <v>44</v>
      </c>
    </row>
    <row r="84" spans="1:11" ht="19.149999999999999" customHeight="1" x14ac:dyDescent="0.25">
      <c r="A84" s="13">
        <v>66</v>
      </c>
      <c r="B84" s="14">
        <v>46154</v>
      </c>
      <c r="C84" s="15" t="s">
        <v>518</v>
      </c>
      <c r="D84" s="14">
        <v>46187</v>
      </c>
      <c r="E84" s="16">
        <v>1</v>
      </c>
      <c r="F84" s="16"/>
      <c r="G84" s="17"/>
      <c r="H84" s="17"/>
      <c r="I84" s="17"/>
      <c r="J84" s="17">
        <v>250000</v>
      </c>
      <c r="K84" s="18" t="s">
        <v>44</v>
      </c>
    </row>
    <row r="85" spans="1:11" ht="19.149999999999999" customHeight="1" x14ac:dyDescent="0.25">
      <c r="A85" s="13">
        <v>67</v>
      </c>
      <c r="B85" s="14"/>
      <c r="C85" s="15" t="s">
        <v>522</v>
      </c>
      <c r="D85" s="14">
        <v>46184</v>
      </c>
      <c r="E85" s="16">
        <v>2</v>
      </c>
      <c r="F85" s="16"/>
      <c r="G85" s="17"/>
      <c r="H85" s="17"/>
      <c r="I85" s="17"/>
      <c r="J85" s="17">
        <v>500000</v>
      </c>
      <c r="K85" s="18" t="s">
        <v>48</v>
      </c>
    </row>
    <row r="86" spans="1:11" ht="19.149999999999999" customHeight="1" x14ac:dyDescent="0.25">
      <c r="A86" s="13">
        <v>68</v>
      </c>
      <c r="B86" s="14"/>
      <c r="C86" s="15" t="s">
        <v>519</v>
      </c>
      <c r="D86" s="14">
        <v>46162</v>
      </c>
      <c r="E86" s="16">
        <v>1</v>
      </c>
      <c r="F86" s="16"/>
      <c r="G86" s="17"/>
      <c r="H86" s="17"/>
      <c r="I86" s="17"/>
      <c r="J86" s="17">
        <v>250000</v>
      </c>
      <c r="K86" s="18" t="s">
        <v>43</v>
      </c>
    </row>
    <row r="87" spans="1:11" ht="19.149999999999999" customHeight="1" x14ac:dyDescent="0.25">
      <c r="A87" s="13">
        <v>69</v>
      </c>
      <c r="B87" s="14"/>
      <c r="C87" s="15" t="s">
        <v>520</v>
      </c>
      <c r="D87" s="14">
        <v>46173</v>
      </c>
      <c r="E87" s="16"/>
      <c r="F87" s="16"/>
      <c r="G87" s="17">
        <v>50</v>
      </c>
      <c r="H87" s="17"/>
      <c r="I87" s="17"/>
      <c r="J87" s="17">
        <v>100000</v>
      </c>
      <c r="K87" s="18" t="s">
        <v>42</v>
      </c>
    </row>
    <row r="88" spans="1:11" ht="19.149999999999999" customHeight="1" x14ac:dyDescent="0.25">
      <c r="A88" s="13">
        <v>70</v>
      </c>
      <c r="B88" s="14"/>
      <c r="C88" s="15" t="s">
        <v>521</v>
      </c>
      <c r="D88" s="14">
        <v>46155</v>
      </c>
      <c r="E88" s="16">
        <v>1</v>
      </c>
      <c r="F88" s="16"/>
      <c r="G88" s="17"/>
      <c r="H88" s="17"/>
      <c r="I88" s="17"/>
      <c r="J88" s="17">
        <v>250000</v>
      </c>
      <c r="K88" s="18" t="s">
        <v>49</v>
      </c>
    </row>
    <row r="89" spans="1:11" ht="19.149999999999999" customHeight="1" x14ac:dyDescent="0.25">
      <c r="A89" s="13">
        <v>71</v>
      </c>
      <c r="B89" s="14"/>
      <c r="C89" s="15" t="s">
        <v>339</v>
      </c>
      <c r="D89" s="14">
        <v>46172</v>
      </c>
      <c r="E89" s="16"/>
      <c r="F89" s="16"/>
      <c r="G89" s="17">
        <v>250</v>
      </c>
      <c r="H89" s="17"/>
      <c r="I89" s="17"/>
      <c r="J89" s="17">
        <v>500000</v>
      </c>
      <c r="K89" s="18" t="s">
        <v>48</v>
      </c>
    </row>
    <row r="90" spans="1:11" ht="19.149999999999999" customHeight="1" x14ac:dyDescent="0.25">
      <c r="A90" s="13">
        <v>72</v>
      </c>
      <c r="B90" s="14"/>
      <c r="C90" s="15" t="s">
        <v>523</v>
      </c>
      <c r="D90" s="14">
        <v>46155</v>
      </c>
      <c r="E90" s="16">
        <v>1</v>
      </c>
      <c r="F90" s="16"/>
      <c r="G90" s="17"/>
      <c r="H90" s="17"/>
      <c r="I90" s="17"/>
      <c r="J90" s="17">
        <v>250000</v>
      </c>
      <c r="K90" s="18" t="s">
        <v>43</v>
      </c>
    </row>
    <row r="91" spans="1:11" ht="20.25" customHeight="1" x14ac:dyDescent="0.25">
      <c r="A91" s="4"/>
      <c r="B91" s="30"/>
      <c r="C91" s="151" t="s">
        <v>12</v>
      </c>
      <c r="D91" s="151"/>
      <c r="E91" s="45">
        <f>SUM(E66:E90)</f>
        <v>46</v>
      </c>
      <c r="F91" s="45">
        <f t="shared" ref="F91:J91" si="4">SUM(F66:F90)</f>
        <v>1</v>
      </c>
      <c r="G91" s="45">
        <f t="shared" si="4"/>
        <v>2525</v>
      </c>
      <c r="H91" s="45">
        <f t="shared" si="4"/>
        <v>4</v>
      </c>
      <c r="I91" s="45">
        <f t="shared" si="4"/>
        <v>0</v>
      </c>
      <c r="J91" s="45">
        <f t="shared" si="4"/>
        <v>18700000</v>
      </c>
      <c r="K91" s="30"/>
    </row>
    <row r="92" spans="1:11" ht="15.75" x14ac:dyDescent="0.25">
      <c r="A92" s="50"/>
      <c r="B92" s="24"/>
      <c r="C92" s="24"/>
      <c r="D92" s="24"/>
      <c r="E92" s="24"/>
      <c r="F92" s="24"/>
      <c r="G92" s="24"/>
      <c r="H92" s="24"/>
      <c r="I92" s="24"/>
      <c r="J92" s="24"/>
      <c r="K92" s="24"/>
    </row>
    <row r="93" spans="1:11" ht="15.75" x14ac:dyDescent="0.25">
      <c r="A93" s="50"/>
      <c r="B93" s="24"/>
      <c r="C93" s="24"/>
      <c r="D93" s="24"/>
      <c r="E93" s="24"/>
      <c r="F93" s="24"/>
      <c r="G93" s="24"/>
      <c r="H93" s="24"/>
      <c r="I93" s="24"/>
      <c r="J93" s="24"/>
      <c r="K93" s="24"/>
    </row>
    <row r="94" spans="1:11" ht="15.75" x14ac:dyDescent="0.25">
      <c r="A94" s="50"/>
      <c r="B94" s="24"/>
      <c r="C94" s="24"/>
      <c r="D94" s="24"/>
      <c r="E94" s="24"/>
      <c r="F94" s="24"/>
      <c r="G94" s="24"/>
      <c r="H94" s="24"/>
      <c r="I94" s="24"/>
      <c r="J94" s="24"/>
      <c r="K94" s="24"/>
    </row>
    <row r="95" spans="1:11" ht="15.75" x14ac:dyDescent="0.25">
      <c r="A95" s="50"/>
      <c r="B95" s="24"/>
      <c r="C95" s="24"/>
      <c r="D95" s="24"/>
      <c r="E95" s="24"/>
      <c r="F95" s="24"/>
      <c r="G95" s="24"/>
      <c r="H95" s="24"/>
      <c r="I95" s="24"/>
      <c r="J95" s="24"/>
      <c r="K95" s="24"/>
    </row>
    <row r="96" spans="1:11" ht="30.75" customHeight="1" x14ac:dyDescent="0.25">
      <c r="A96" s="4" t="s">
        <v>1</v>
      </c>
      <c r="B96" s="5" t="s">
        <v>2</v>
      </c>
      <c r="C96" s="5" t="s">
        <v>3</v>
      </c>
      <c r="D96" s="5" t="s">
        <v>4</v>
      </c>
      <c r="E96" s="5" t="s">
        <v>5</v>
      </c>
      <c r="F96" s="5" t="s">
        <v>6</v>
      </c>
      <c r="G96" s="6" t="s">
        <v>7</v>
      </c>
      <c r="H96" s="4" t="s">
        <v>8</v>
      </c>
      <c r="I96" s="4" t="s">
        <v>9</v>
      </c>
      <c r="J96" s="5" t="s">
        <v>598</v>
      </c>
      <c r="K96" s="4" t="s">
        <v>11</v>
      </c>
    </row>
    <row r="97" spans="1:11" ht="19.149999999999999" customHeight="1" x14ac:dyDescent="0.25">
      <c r="A97" s="51"/>
      <c r="B97" s="153" t="s">
        <v>13</v>
      </c>
      <c r="C97" s="153"/>
      <c r="D97" s="153"/>
      <c r="E97" s="44">
        <f t="shared" ref="E97:J97" si="5">E91</f>
        <v>46</v>
      </c>
      <c r="F97" s="44">
        <f t="shared" si="5"/>
        <v>1</v>
      </c>
      <c r="G97" s="44">
        <f t="shared" si="5"/>
        <v>2525</v>
      </c>
      <c r="H97" s="44">
        <f t="shared" si="5"/>
        <v>4</v>
      </c>
      <c r="I97" s="44">
        <f t="shared" si="5"/>
        <v>0</v>
      </c>
      <c r="J97" s="44">
        <f t="shared" si="5"/>
        <v>18700000</v>
      </c>
      <c r="K97" s="25"/>
    </row>
    <row r="98" spans="1:11" ht="19.149999999999999" customHeight="1" x14ac:dyDescent="0.25">
      <c r="A98" s="33">
        <v>73</v>
      </c>
      <c r="B98" s="14">
        <v>46154</v>
      </c>
      <c r="C98" s="15" t="s">
        <v>524</v>
      </c>
      <c r="D98" s="14">
        <v>46156</v>
      </c>
      <c r="E98" s="16"/>
      <c r="F98" s="16"/>
      <c r="G98" s="17">
        <v>50</v>
      </c>
      <c r="H98" s="17"/>
      <c r="I98" s="17"/>
      <c r="J98" s="17">
        <v>100000</v>
      </c>
      <c r="K98" s="18" t="s">
        <v>45</v>
      </c>
    </row>
    <row r="99" spans="1:11" ht="19.149999999999999" customHeight="1" x14ac:dyDescent="0.25">
      <c r="A99" s="33">
        <v>74</v>
      </c>
      <c r="B99" s="46"/>
      <c r="C99" s="15" t="s">
        <v>526</v>
      </c>
      <c r="D99" s="14">
        <v>46156</v>
      </c>
      <c r="E99" s="16"/>
      <c r="F99" s="16"/>
      <c r="G99" s="17">
        <v>50</v>
      </c>
      <c r="H99" s="17"/>
      <c r="I99" s="17"/>
      <c r="J99" s="17">
        <v>100000</v>
      </c>
      <c r="K99" s="18" t="s">
        <v>636</v>
      </c>
    </row>
    <row r="100" spans="1:11" ht="19.149999999999999" customHeight="1" x14ac:dyDescent="0.25">
      <c r="A100" s="33">
        <v>75</v>
      </c>
      <c r="B100" s="14"/>
      <c r="C100" s="15" t="s">
        <v>525</v>
      </c>
      <c r="D100" s="14">
        <v>46156</v>
      </c>
      <c r="E100" s="16"/>
      <c r="F100" s="16"/>
      <c r="G100" s="17">
        <v>100</v>
      </c>
      <c r="H100" s="17"/>
      <c r="I100" s="17"/>
      <c r="J100" s="17">
        <v>200000</v>
      </c>
      <c r="K100" s="18"/>
    </row>
    <row r="101" spans="1:11" ht="19.149999999999999" customHeight="1" x14ac:dyDescent="0.25">
      <c r="A101" s="33">
        <v>76</v>
      </c>
      <c r="B101" s="14"/>
      <c r="C101" s="15" t="s">
        <v>527</v>
      </c>
      <c r="D101" s="14">
        <v>46157</v>
      </c>
      <c r="E101" s="16">
        <v>1</v>
      </c>
      <c r="F101" s="16"/>
      <c r="G101" s="17"/>
      <c r="H101" s="17">
        <v>1</v>
      </c>
      <c r="I101" s="17"/>
      <c r="J101" s="17">
        <v>350000</v>
      </c>
      <c r="K101" s="18" t="s">
        <v>49</v>
      </c>
    </row>
    <row r="102" spans="1:11" ht="19.149999999999999" customHeight="1" x14ac:dyDescent="0.25">
      <c r="A102" s="33">
        <v>77</v>
      </c>
      <c r="B102" s="14">
        <v>46155</v>
      </c>
      <c r="C102" s="15" t="s">
        <v>528</v>
      </c>
      <c r="D102" s="14">
        <v>46155</v>
      </c>
      <c r="E102" s="16"/>
      <c r="F102" s="16"/>
      <c r="G102" s="17">
        <v>200</v>
      </c>
      <c r="H102" s="17"/>
      <c r="I102" s="17"/>
      <c r="J102" s="17">
        <v>400000</v>
      </c>
      <c r="K102" s="18" t="s">
        <v>42</v>
      </c>
    </row>
    <row r="103" spans="1:11" ht="19.149999999999999" customHeight="1" x14ac:dyDescent="0.25">
      <c r="A103" s="33">
        <v>78</v>
      </c>
      <c r="B103" s="14"/>
      <c r="C103" s="15" t="s">
        <v>529</v>
      </c>
      <c r="D103" s="14">
        <v>46184</v>
      </c>
      <c r="E103" s="16">
        <v>1</v>
      </c>
      <c r="F103" s="16"/>
      <c r="G103" s="17"/>
      <c r="H103" s="17"/>
      <c r="I103" s="17"/>
      <c r="J103" s="17">
        <v>250000</v>
      </c>
      <c r="K103" s="18" t="s">
        <v>47</v>
      </c>
    </row>
    <row r="104" spans="1:11" ht="19.149999999999999" customHeight="1" x14ac:dyDescent="0.25">
      <c r="A104" s="33">
        <v>79</v>
      </c>
      <c r="B104" s="14"/>
      <c r="C104" s="15" t="s">
        <v>530</v>
      </c>
      <c r="D104" s="14">
        <v>46156</v>
      </c>
      <c r="E104" s="16"/>
      <c r="F104" s="16"/>
      <c r="G104" s="17">
        <v>50</v>
      </c>
      <c r="H104" s="17"/>
      <c r="I104" s="17"/>
      <c r="J104" s="17">
        <v>100000</v>
      </c>
      <c r="K104" s="18"/>
    </row>
    <row r="105" spans="1:11" ht="19.149999999999999" customHeight="1" x14ac:dyDescent="0.25">
      <c r="A105" s="33">
        <v>80</v>
      </c>
      <c r="B105" s="14"/>
      <c r="C105" s="15" t="s">
        <v>531</v>
      </c>
      <c r="D105" s="14">
        <v>46166</v>
      </c>
      <c r="E105" s="16"/>
      <c r="F105" s="16">
        <v>1</v>
      </c>
      <c r="G105" s="17"/>
      <c r="H105" s="17"/>
      <c r="I105" s="17" t="s">
        <v>98</v>
      </c>
      <c r="J105" s="17">
        <v>1750000</v>
      </c>
      <c r="K105" s="18"/>
    </row>
    <row r="106" spans="1:11" ht="19.149999999999999" customHeight="1" x14ac:dyDescent="0.25">
      <c r="A106" s="33">
        <v>81</v>
      </c>
      <c r="B106" s="14">
        <v>46156</v>
      </c>
      <c r="C106" s="15" t="s">
        <v>532</v>
      </c>
      <c r="D106" s="14">
        <v>46186</v>
      </c>
      <c r="E106" s="16"/>
      <c r="F106" s="16"/>
      <c r="G106" s="17">
        <v>150</v>
      </c>
      <c r="H106" s="17"/>
      <c r="I106" s="17"/>
      <c r="J106" s="17">
        <v>300000</v>
      </c>
      <c r="K106" s="18" t="s">
        <v>201</v>
      </c>
    </row>
    <row r="107" spans="1:11" ht="19.149999999999999" customHeight="1" x14ac:dyDescent="0.25">
      <c r="A107" s="33">
        <v>82</v>
      </c>
      <c r="B107" s="14"/>
      <c r="C107" s="21" t="s">
        <v>533</v>
      </c>
      <c r="D107" s="14">
        <v>46180</v>
      </c>
      <c r="E107" s="16"/>
      <c r="F107" s="16"/>
      <c r="G107" s="17">
        <v>50</v>
      </c>
      <c r="H107" s="17"/>
      <c r="I107" s="17"/>
      <c r="J107" s="17">
        <v>100000</v>
      </c>
      <c r="K107" s="18" t="s">
        <v>480</v>
      </c>
    </row>
    <row r="108" spans="1:11" ht="19.149999999999999" customHeight="1" x14ac:dyDescent="0.25">
      <c r="A108" s="33">
        <v>83</v>
      </c>
      <c r="B108" s="14"/>
      <c r="C108" s="15" t="s">
        <v>309</v>
      </c>
      <c r="D108" s="14">
        <v>46219</v>
      </c>
      <c r="E108" s="16">
        <v>1</v>
      </c>
      <c r="F108" s="16"/>
      <c r="G108" s="17"/>
      <c r="H108" s="17"/>
      <c r="I108" s="17"/>
      <c r="J108" s="17">
        <v>250000</v>
      </c>
      <c r="K108" s="18" t="s">
        <v>214</v>
      </c>
    </row>
    <row r="109" spans="1:11" ht="19.149999999999999" customHeight="1" x14ac:dyDescent="0.25">
      <c r="A109" s="33">
        <v>84</v>
      </c>
      <c r="B109" s="14"/>
      <c r="C109" s="15" t="s">
        <v>534</v>
      </c>
      <c r="D109" s="14">
        <v>46172</v>
      </c>
      <c r="E109" s="16">
        <v>1</v>
      </c>
      <c r="F109" s="16"/>
      <c r="G109" s="17"/>
      <c r="H109" s="17">
        <v>1</v>
      </c>
      <c r="I109" s="17"/>
      <c r="J109" s="17">
        <v>350000</v>
      </c>
      <c r="K109" s="18" t="s">
        <v>49</v>
      </c>
    </row>
    <row r="110" spans="1:11" ht="19.149999999999999" customHeight="1" x14ac:dyDescent="0.25">
      <c r="A110" s="33">
        <v>85</v>
      </c>
      <c r="B110" s="14"/>
      <c r="C110" s="15" t="s">
        <v>535</v>
      </c>
      <c r="D110" s="14">
        <v>46163</v>
      </c>
      <c r="E110" s="16">
        <v>1</v>
      </c>
      <c r="F110" s="16"/>
      <c r="G110" s="17"/>
      <c r="H110" s="17"/>
      <c r="I110" s="17"/>
      <c r="J110" s="17">
        <v>250000</v>
      </c>
      <c r="K110" s="18" t="s">
        <v>41</v>
      </c>
    </row>
    <row r="111" spans="1:11" ht="19.149999999999999" customHeight="1" x14ac:dyDescent="0.25">
      <c r="A111" s="33">
        <v>86</v>
      </c>
      <c r="B111" s="14"/>
      <c r="C111" s="15" t="s">
        <v>536</v>
      </c>
      <c r="D111" s="14">
        <v>46156</v>
      </c>
      <c r="E111" s="16"/>
      <c r="F111" s="16"/>
      <c r="G111" s="17">
        <v>100</v>
      </c>
      <c r="H111" s="17"/>
      <c r="I111" s="17"/>
      <c r="J111" s="17">
        <v>200000</v>
      </c>
      <c r="K111" s="18" t="s">
        <v>480</v>
      </c>
    </row>
    <row r="112" spans="1:11" ht="19.149999999999999" customHeight="1" x14ac:dyDescent="0.25">
      <c r="A112" s="33">
        <v>87</v>
      </c>
      <c r="B112" s="14"/>
      <c r="C112" s="15"/>
      <c r="D112" s="14"/>
      <c r="E112" s="16"/>
      <c r="F112" s="16"/>
      <c r="G112" s="17">
        <v>50</v>
      </c>
      <c r="H112" s="17"/>
      <c r="I112" s="17"/>
      <c r="J112" s="17">
        <v>100000</v>
      </c>
      <c r="K112" s="18"/>
    </row>
    <row r="113" spans="1:11" ht="19.149999999999999" customHeight="1" x14ac:dyDescent="0.25">
      <c r="A113" s="33">
        <v>88</v>
      </c>
      <c r="B113" s="14"/>
      <c r="C113" s="15"/>
      <c r="D113" s="14"/>
      <c r="E113" s="16"/>
      <c r="F113" s="16"/>
      <c r="G113" s="17">
        <v>50</v>
      </c>
      <c r="H113" s="17"/>
      <c r="I113" s="17"/>
      <c r="J113" s="17">
        <v>100000</v>
      </c>
      <c r="K113" s="18"/>
    </row>
    <row r="114" spans="1:11" ht="19.149999999999999" customHeight="1" x14ac:dyDescent="0.25">
      <c r="A114" s="33">
        <v>89</v>
      </c>
      <c r="B114" s="14">
        <v>46158</v>
      </c>
      <c r="C114" s="15" t="s">
        <v>537</v>
      </c>
      <c r="D114" s="14">
        <v>46201</v>
      </c>
      <c r="E114" s="16">
        <v>2</v>
      </c>
      <c r="F114" s="16"/>
      <c r="G114" s="17"/>
      <c r="H114" s="17"/>
      <c r="I114" s="17"/>
      <c r="J114" s="17">
        <v>500000</v>
      </c>
      <c r="K114" s="18" t="s">
        <v>186</v>
      </c>
    </row>
    <row r="115" spans="1:11" ht="19.149999999999999" customHeight="1" x14ac:dyDescent="0.25">
      <c r="A115" s="33">
        <v>90</v>
      </c>
      <c r="B115" s="14"/>
      <c r="C115" s="15" t="s">
        <v>538</v>
      </c>
      <c r="D115" s="14">
        <v>46271</v>
      </c>
      <c r="E115" s="16">
        <v>1</v>
      </c>
      <c r="F115" s="16"/>
      <c r="G115" s="17"/>
      <c r="H115" s="17">
        <v>1</v>
      </c>
      <c r="I115" s="17"/>
      <c r="J115" s="17">
        <v>350000</v>
      </c>
      <c r="K115" s="18" t="s">
        <v>41</v>
      </c>
    </row>
    <row r="116" spans="1:11" ht="19.149999999999999" customHeight="1" x14ac:dyDescent="0.25">
      <c r="A116" s="33">
        <v>91</v>
      </c>
      <c r="B116" s="14"/>
      <c r="C116" s="15"/>
      <c r="D116" s="14"/>
      <c r="E116" s="16"/>
      <c r="F116" s="16"/>
      <c r="G116" s="17">
        <v>50</v>
      </c>
      <c r="H116" s="17"/>
      <c r="I116" s="17"/>
      <c r="J116" s="17">
        <v>100000</v>
      </c>
      <c r="K116" s="18"/>
    </row>
    <row r="117" spans="1:11" ht="19.149999999999999" customHeight="1" x14ac:dyDescent="0.25">
      <c r="A117" s="33">
        <v>92</v>
      </c>
      <c r="B117" s="14">
        <v>46159</v>
      </c>
      <c r="C117" s="15" t="s">
        <v>539</v>
      </c>
      <c r="D117" s="14">
        <v>46187</v>
      </c>
      <c r="E117" s="16">
        <v>2</v>
      </c>
      <c r="F117" s="16"/>
      <c r="G117" s="17"/>
      <c r="H117" s="17"/>
      <c r="I117" s="17"/>
      <c r="J117" s="17">
        <v>500000</v>
      </c>
      <c r="K117" s="18" t="s">
        <v>186</v>
      </c>
    </row>
    <row r="118" spans="1:11" ht="19.149999999999999" customHeight="1" x14ac:dyDescent="0.25">
      <c r="A118" s="33">
        <v>93</v>
      </c>
      <c r="B118" s="14"/>
      <c r="C118" s="15" t="s">
        <v>540</v>
      </c>
      <c r="D118" s="14">
        <v>46169</v>
      </c>
      <c r="E118" s="16"/>
      <c r="F118" s="16"/>
      <c r="G118" s="17">
        <v>100</v>
      </c>
      <c r="H118" s="17"/>
      <c r="I118" s="17"/>
      <c r="J118" s="17">
        <v>200000</v>
      </c>
      <c r="K118" s="18" t="s">
        <v>541</v>
      </c>
    </row>
    <row r="119" spans="1:11" ht="19.149999999999999" customHeight="1" x14ac:dyDescent="0.25">
      <c r="A119" s="33">
        <v>94</v>
      </c>
      <c r="B119" s="14"/>
      <c r="C119" s="15" t="s">
        <v>308</v>
      </c>
      <c r="D119" s="14">
        <v>46201</v>
      </c>
      <c r="E119" s="16">
        <v>1</v>
      </c>
      <c r="F119" s="16"/>
      <c r="G119" s="17"/>
      <c r="H119" s="17">
        <v>1</v>
      </c>
      <c r="I119" s="17"/>
      <c r="J119" s="17">
        <v>350000</v>
      </c>
      <c r="K119" s="18" t="s">
        <v>49</v>
      </c>
    </row>
    <row r="120" spans="1:11" ht="19.149999999999999" customHeight="1" x14ac:dyDescent="0.25">
      <c r="A120" s="33">
        <v>95</v>
      </c>
      <c r="B120" s="14"/>
      <c r="C120" s="15" t="s">
        <v>542</v>
      </c>
      <c r="D120" s="14">
        <v>46165</v>
      </c>
      <c r="E120" s="16">
        <v>1</v>
      </c>
      <c r="F120" s="16"/>
      <c r="G120" s="17"/>
      <c r="H120" s="17"/>
      <c r="I120" s="17"/>
      <c r="J120" s="17">
        <v>250000</v>
      </c>
      <c r="K120" s="18" t="s">
        <v>214</v>
      </c>
    </row>
    <row r="121" spans="1:11" ht="19.149999999999999" customHeight="1" x14ac:dyDescent="0.25">
      <c r="A121" s="33">
        <v>96</v>
      </c>
      <c r="B121" s="14">
        <v>46160</v>
      </c>
      <c r="C121" s="15" t="s">
        <v>543</v>
      </c>
      <c r="D121" s="14">
        <v>46175</v>
      </c>
      <c r="E121" s="16">
        <v>1</v>
      </c>
      <c r="F121" s="16"/>
      <c r="G121" s="17"/>
      <c r="H121" s="17"/>
      <c r="I121" s="17"/>
      <c r="J121" s="17">
        <v>250000</v>
      </c>
      <c r="K121" s="18" t="s">
        <v>44</v>
      </c>
    </row>
    <row r="122" spans="1:11" ht="19.149999999999999" customHeight="1" x14ac:dyDescent="0.25">
      <c r="A122" s="33">
        <v>97</v>
      </c>
      <c r="B122" s="35"/>
      <c r="C122" s="36" t="s">
        <v>190</v>
      </c>
      <c r="D122" s="35">
        <v>46189</v>
      </c>
      <c r="E122" s="37">
        <v>2</v>
      </c>
      <c r="F122" s="37"/>
      <c r="G122" s="39"/>
      <c r="H122" s="39"/>
      <c r="I122" s="39"/>
      <c r="J122" s="39">
        <v>500000</v>
      </c>
      <c r="K122" s="40" t="s">
        <v>48</v>
      </c>
    </row>
    <row r="123" spans="1:11" ht="20.25" customHeight="1" x14ac:dyDescent="0.25">
      <c r="A123" s="4"/>
      <c r="B123" s="30"/>
      <c r="C123" s="151" t="s">
        <v>12</v>
      </c>
      <c r="D123" s="151"/>
      <c r="E123" s="45">
        <f>SUM(E97:E122)</f>
        <v>61</v>
      </c>
      <c r="F123" s="45">
        <f t="shared" ref="F123:J123" si="6">SUM(F97:F122)</f>
        <v>2</v>
      </c>
      <c r="G123" s="45">
        <f t="shared" si="6"/>
        <v>3525</v>
      </c>
      <c r="H123" s="45">
        <f t="shared" si="6"/>
        <v>8</v>
      </c>
      <c r="I123" s="45">
        <f t="shared" si="6"/>
        <v>0</v>
      </c>
      <c r="J123" s="45">
        <f t="shared" si="6"/>
        <v>26600000</v>
      </c>
      <c r="K123" s="30"/>
    </row>
    <row r="124" spans="1:11" ht="15.75" x14ac:dyDescent="0.25">
      <c r="A124" s="50"/>
      <c r="B124" s="24"/>
      <c r="C124" s="24"/>
      <c r="D124" s="24"/>
      <c r="E124" s="24"/>
      <c r="F124" s="24"/>
      <c r="G124" s="24"/>
      <c r="H124" s="24"/>
      <c r="I124" s="24"/>
      <c r="J124" s="24"/>
      <c r="K124" s="24"/>
    </row>
    <row r="125" spans="1:11" ht="15.75" x14ac:dyDescent="0.25">
      <c r="A125" s="50"/>
      <c r="B125" s="24"/>
      <c r="C125" s="24"/>
      <c r="D125" s="24"/>
      <c r="E125" s="24"/>
      <c r="F125" s="24"/>
      <c r="G125" s="24"/>
      <c r="H125" s="24"/>
      <c r="I125" s="24"/>
      <c r="J125" s="24"/>
      <c r="K125" s="24"/>
    </row>
    <row r="126" spans="1:11" ht="15.75" x14ac:dyDescent="0.25">
      <c r="A126" s="50"/>
      <c r="B126" s="24"/>
      <c r="C126" s="24"/>
      <c r="D126" s="24"/>
      <c r="E126" s="24"/>
      <c r="F126" s="24"/>
      <c r="G126" s="24"/>
      <c r="H126" s="24"/>
      <c r="I126" s="24"/>
      <c r="J126" s="24"/>
      <c r="K126" s="24"/>
    </row>
    <row r="127" spans="1:11" ht="30.75" customHeight="1" x14ac:dyDescent="0.25">
      <c r="A127" s="4" t="s">
        <v>1</v>
      </c>
      <c r="B127" s="5" t="s">
        <v>2</v>
      </c>
      <c r="C127" s="5" t="s">
        <v>3</v>
      </c>
      <c r="D127" s="5" t="s">
        <v>4</v>
      </c>
      <c r="E127" s="5" t="s">
        <v>5</v>
      </c>
      <c r="F127" s="5" t="s">
        <v>6</v>
      </c>
      <c r="G127" s="6" t="s">
        <v>7</v>
      </c>
      <c r="H127" s="4" t="s">
        <v>8</v>
      </c>
      <c r="I127" s="4" t="s">
        <v>9</v>
      </c>
      <c r="J127" s="5" t="s">
        <v>598</v>
      </c>
      <c r="K127" s="4" t="s">
        <v>11</v>
      </c>
    </row>
    <row r="128" spans="1:11" ht="19.149999999999999" customHeight="1" x14ac:dyDescent="0.25">
      <c r="A128" s="51"/>
      <c r="B128" s="153" t="s">
        <v>13</v>
      </c>
      <c r="C128" s="153"/>
      <c r="D128" s="153"/>
      <c r="E128" s="44">
        <f t="shared" ref="E128:J128" si="7">E123</f>
        <v>61</v>
      </c>
      <c r="F128" s="44">
        <f t="shared" si="7"/>
        <v>2</v>
      </c>
      <c r="G128" s="44">
        <f t="shared" si="7"/>
        <v>3525</v>
      </c>
      <c r="H128" s="44">
        <f t="shared" si="7"/>
        <v>8</v>
      </c>
      <c r="I128" s="44">
        <f t="shared" si="7"/>
        <v>0</v>
      </c>
      <c r="J128" s="44">
        <f t="shared" si="7"/>
        <v>26600000</v>
      </c>
      <c r="K128" s="7"/>
    </row>
    <row r="129" spans="1:11" ht="19.149999999999999" customHeight="1" x14ac:dyDescent="0.25">
      <c r="A129" s="33">
        <v>98</v>
      </c>
      <c r="B129" s="14">
        <v>46160</v>
      </c>
      <c r="C129" s="15" t="s">
        <v>544</v>
      </c>
      <c r="D129" s="14">
        <v>46174</v>
      </c>
      <c r="E129" s="16"/>
      <c r="F129" s="16"/>
      <c r="G129" s="17">
        <v>150</v>
      </c>
      <c r="H129" s="17"/>
      <c r="I129" s="17"/>
      <c r="J129" s="17">
        <v>300000</v>
      </c>
      <c r="K129" s="18" t="s">
        <v>42</v>
      </c>
    </row>
    <row r="130" spans="1:11" ht="19.149999999999999" customHeight="1" x14ac:dyDescent="0.25">
      <c r="A130" s="33">
        <v>99</v>
      </c>
      <c r="B130" s="46"/>
      <c r="C130" s="27" t="s">
        <v>282</v>
      </c>
      <c r="D130" s="14">
        <v>46173</v>
      </c>
      <c r="E130" s="27"/>
      <c r="F130" s="27"/>
      <c r="G130" s="27">
        <v>50</v>
      </c>
      <c r="H130" s="27"/>
      <c r="I130" s="27"/>
      <c r="J130" s="29">
        <v>100000</v>
      </c>
      <c r="K130" s="18" t="s">
        <v>46</v>
      </c>
    </row>
    <row r="131" spans="1:11" ht="19.149999999999999" customHeight="1" x14ac:dyDescent="0.25">
      <c r="A131" s="33">
        <v>100</v>
      </c>
      <c r="B131" s="46"/>
      <c r="C131" s="27" t="s">
        <v>546</v>
      </c>
      <c r="D131" s="14">
        <v>46183</v>
      </c>
      <c r="E131" s="27">
        <v>1</v>
      </c>
      <c r="F131" s="27"/>
      <c r="G131" s="27"/>
      <c r="H131" s="27"/>
      <c r="I131" s="27"/>
      <c r="J131" s="29">
        <v>250000</v>
      </c>
      <c r="K131" s="18" t="s">
        <v>43</v>
      </c>
    </row>
    <row r="132" spans="1:11" ht="19.149999999999999" customHeight="1" x14ac:dyDescent="0.25">
      <c r="A132" s="33">
        <v>101</v>
      </c>
      <c r="B132" s="14">
        <v>46161</v>
      </c>
      <c r="C132" s="31" t="s">
        <v>547</v>
      </c>
      <c r="D132" s="14">
        <v>46163</v>
      </c>
      <c r="E132" s="31">
        <v>1</v>
      </c>
      <c r="F132" s="31"/>
      <c r="G132" s="31"/>
      <c r="H132" s="31"/>
      <c r="I132" s="31"/>
      <c r="J132" s="32">
        <v>250000</v>
      </c>
      <c r="K132" s="18" t="s">
        <v>49</v>
      </c>
    </row>
    <row r="133" spans="1:11" ht="19.149999999999999" customHeight="1" x14ac:dyDescent="0.25">
      <c r="A133" s="33">
        <v>102</v>
      </c>
      <c r="B133" s="14"/>
      <c r="C133" s="15" t="s">
        <v>545</v>
      </c>
      <c r="D133" s="14">
        <v>46163</v>
      </c>
      <c r="E133" s="16">
        <v>1</v>
      </c>
      <c r="F133" s="16"/>
      <c r="G133" s="34"/>
      <c r="H133" s="17"/>
      <c r="I133" s="17"/>
      <c r="J133" s="17">
        <v>250000</v>
      </c>
      <c r="K133" s="18" t="s">
        <v>44</v>
      </c>
    </row>
    <row r="134" spans="1:11" ht="19.149999999999999" customHeight="1" x14ac:dyDescent="0.25">
      <c r="A134" s="33">
        <v>103</v>
      </c>
      <c r="B134" s="14"/>
      <c r="C134" s="15" t="s">
        <v>548</v>
      </c>
      <c r="D134" s="14">
        <v>46165</v>
      </c>
      <c r="E134" s="16"/>
      <c r="F134" s="16"/>
      <c r="G134" s="34">
        <v>100</v>
      </c>
      <c r="H134" s="17"/>
      <c r="I134" s="17"/>
      <c r="J134" s="17">
        <v>200000</v>
      </c>
      <c r="K134" s="18"/>
    </row>
    <row r="135" spans="1:11" ht="19.149999999999999" customHeight="1" x14ac:dyDescent="0.25">
      <c r="A135" s="33">
        <v>104</v>
      </c>
      <c r="B135" s="14"/>
      <c r="C135" s="15" t="s">
        <v>549</v>
      </c>
      <c r="D135" s="14">
        <v>46166</v>
      </c>
      <c r="E135" s="16"/>
      <c r="F135" s="16"/>
      <c r="G135" s="34">
        <v>50</v>
      </c>
      <c r="H135" s="17"/>
      <c r="I135" s="17"/>
      <c r="J135" s="17">
        <v>100000</v>
      </c>
      <c r="K135" s="18" t="s">
        <v>42</v>
      </c>
    </row>
    <row r="136" spans="1:11" ht="19.149999999999999" customHeight="1" x14ac:dyDescent="0.25">
      <c r="A136" s="33">
        <v>105</v>
      </c>
      <c r="B136" s="14"/>
      <c r="C136" s="15"/>
      <c r="D136" s="14"/>
      <c r="E136" s="16">
        <v>1</v>
      </c>
      <c r="F136" s="16"/>
      <c r="G136" s="34"/>
      <c r="H136" s="17"/>
      <c r="I136" s="17"/>
      <c r="J136" s="17">
        <v>250000</v>
      </c>
      <c r="K136" s="18"/>
    </row>
    <row r="137" spans="1:11" ht="19.149999999999999" customHeight="1" x14ac:dyDescent="0.25">
      <c r="A137" s="33">
        <v>106</v>
      </c>
      <c r="B137" s="14"/>
      <c r="C137" s="15" t="s">
        <v>550</v>
      </c>
      <c r="D137" s="14">
        <v>46190</v>
      </c>
      <c r="E137" s="16">
        <v>1</v>
      </c>
      <c r="F137" s="16"/>
      <c r="G137" s="34"/>
      <c r="H137" s="17">
        <v>1</v>
      </c>
      <c r="I137" s="17"/>
      <c r="J137" s="17">
        <v>350000</v>
      </c>
      <c r="K137" s="18" t="s">
        <v>41</v>
      </c>
    </row>
    <row r="138" spans="1:11" ht="19.149999999999999" customHeight="1" x14ac:dyDescent="0.25">
      <c r="A138" s="33">
        <v>107</v>
      </c>
      <c r="B138" s="14">
        <v>46162</v>
      </c>
      <c r="C138" s="15" t="s">
        <v>555</v>
      </c>
      <c r="D138" s="14">
        <v>46169</v>
      </c>
      <c r="E138" s="16"/>
      <c r="F138" s="16">
        <v>1</v>
      </c>
      <c r="G138" s="34"/>
      <c r="H138" s="17"/>
      <c r="I138" s="17" t="s">
        <v>98</v>
      </c>
      <c r="J138" s="17">
        <v>1750000</v>
      </c>
      <c r="K138" s="18"/>
    </row>
    <row r="139" spans="1:11" ht="19.149999999999999" customHeight="1" x14ac:dyDescent="0.25">
      <c r="A139" s="33">
        <v>108</v>
      </c>
      <c r="B139" s="14"/>
      <c r="C139" s="15" t="s">
        <v>551</v>
      </c>
      <c r="D139" s="14">
        <v>46170</v>
      </c>
      <c r="E139" s="16">
        <v>1</v>
      </c>
      <c r="F139" s="16"/>
      <c r="G139" s="34"/>
      <c r="H139" s="17"/>
      <c r="I139" s="17"/>
      <c r="J139" s="17">
        <v>250000</v>
      </c>
      <c r="K139" s="18" t="s">
        <v>49</v>
      </c>
    </row>
    <row r="140" spans="1:11" ht="19.149999999999999" customHeight="1" x14ac:dyDescent="0.25">
      <c r="A140" s="33">
        <v>109</v>
      </c>
      <c r="B140" s="14"/>
      <c r="C140" s="15" t="s">
        <v>552</v>
      </c>
      <c r="D140" s="14">
        <v>46164</v>
      </c>
      <c r="E140" s="16">
        <v>1</v>
      </c>
      <c r="F140" s="16"/>
      <c r="G140" s="34"/>
      <c r="H140" s="17"/>
      <c r="I140" s="17"/>
      <c r="J140" s="17">
        <v>250000</v>
      </c>
      <c r="K140" s="18" t="s">
        <v>44</v>
      </c>
    </row>
    <row r="141" spans="1:11" ht="19.149999999999999" customHeight="1" x14ac:dyDescent="0.25">
      <c r="A141" s="33">
        <v>110</v>
      </c>
      <c r="B141" s="14"/>
      <c r="C141" s="15" t="s">
        <v>553</v>
      </c>
      <c r="D141" s="14">
        <v>46172</v>
      </c>
      <c r="E141" s="16">
        <v>1</v>
      </c>
      <c r="F141" s="16"/>
      <c r="G141" s="34"/>
      <c r="H141" s="17"/>
      <c r="I141" s="17"/>
      <c r="J141" s="17">
        <v>250000</v>
      </c>
      <c r="K141" s="18" t="s">
        <v>43</v>
      </c>
    </row>
    <row r="142" spans="1:11" ht="19.149999999999999" customHeight="1" x14ac:dyDescent="0.25">
      <c r="A142" s="33">
        <v>111</v>
      </c>
      <c r="B142" s="14"/>
      <c r="C142" s="15" t="s">
        <v>554</v>
      </c>
      <c r="D142" s="14">
        <v>46174</v>
      </c>
      <c r="E142" s="16">
        <v>1</v>
      </c>
      <c r="F142" s="16"/>
      <c r="G142" s="34"/>
      <c r="H142" s="17"/>
      <c r="I142" s="17"/>
      <c r="J142" s="17">
        <v>250000</v>
      </c>
      <c r="K142" s="18" t="s">
        <v>41</v>
      </c>
    </row>
    <row r="143" spans="1:11" ht="19.149999999999999" customHeight="1" x14ac:dyDescent="0.25">
      <c r="A143" s="33">
        <v>112</v>
      </c>
      <c r="B143" s="14">
        <v>46163</v>
      </c>
      <c r="C143" s="15" t="s">
        <v>556</v>
      </c>
      <c r="D143" s="14">
        <v>46168</v>
      </c>
      <c r="E143" s="16">
        <v>1</v>
      </c>
      <c r="F143" s="16"/>
      <c r="G143" s="34"/>
      <c r="H143" s="17"/>
      <c r="I143" s="17"/>
      <c r="J143" s="17">
        <v>250000</v>
      </c>
      <c r="K143" s="18" t="s">
        <v>49</v>
      </c>
    </row>
    <row r="144" spans="1:11" ht="19.149999999999999" customHeight="1" x14ac:dyDescent="0.25">
      <c r="A144" s="33">
        <v>113</v>
      </c>
      <c r="B144" s="14"/>
      <c r="C144" s="15" t="s">
        <v>557</v>
      </c>
      <c r="D144" s="14">
        <v>46180</v>
      </c>
      <c r="E144" s="16">
        <v>1</v>
      </c>
      <c r="F144" s="16"/>
      <c r="G144" s="34"/>
      <c r="H144" s="17"/>
      <c r="I144" s="17"/>
      <c r="J144" s="17">
        <v>250000</v>
      </c>
      <c r="K144" s="18" t="s">
        <v>41</v>
      </c>
    </row>
    <row r="145" spans="1:11" ht="19.149999999999999" customHeight="1" x14ac:dyDescent="0.25">
      <c r="A145" s="33">
        <v>114</v>
      </c>
      <c r="B145" s="14"/>
      <c r="C145" s="15"/>
      <c r="D145" s="14"/>
      <c r="E145" s="16">
        <v>1</v>
      </c>
      <c r="F145" s="16"/>
      <c r="G145" s="34"/>
      <c r="H145" s="17"/>
      <c r="I145" s="17"/>
      <c r="J145" s="17">
        <v>250000</v>
      </c>
      <c r="K145" s="18"/>
    </row>
    <row r="146" spans="1:11" ht="19.149999999999999" customHeight="1" x14ac:dyDescent="0.25">
      <c r="A146" s="33">
        <v>115</v>
      </c>
      <c r="B146" s="14"/>
      <c r="C146" s="15" t="s">
        <v>558</v>
      </c>
      <c r="D146" s="14">
        <v>46180</v>
      </c>
      <c r="E146" s="16"/>
      <c r="F146" s="16"/>
      <c r="G146" s="34">
        <v>50</v>
      </c>
      <c r="H146" s="17"/>
      <c r="I146" s="17"/>
      <c r="J146" s="17">
        <v>100000</v>
      </c>
      <c r="K146" s="18" t="s">
        <v>42</v>
      </c>
    </row>
    <row r="147" spans="1:11" ht="19.149999999999999" customHeight="1" x14ac:dyDescent="0.25">
      <c r="A147" s="33">
        <v>116</v>
      </c>
      <c r="B147" s="14"/>
      <c r="C147" s="15" t="s">
        <v>559</v>
      </c>
      <c r="D147" s="14">
        <v>46201</v>
      </c>
      <c r="E147" s="16"/>
      <c r="F147" s="16"/>
      <c r="G147" s="34">
        <v>100</v>
      </c>
      <c r="H147" s="17"/>
      <c r="I147" s="17"/>
      <c r="J147" s="17">
        <v>200000</v>
      </c>
      <c r="K147" s="18" t="s">
        <v>42</v>
      </c>
    </row>
    <row r="148" spans="1:11" ht="19.149999999999999" customHeight="1" x14ac:dyDescent="0.25">
      <c r="A148" s="33">
        <v>117</v>
      </c>
      <c r="B148" s="14">
        <v>46164</v>
      </c>
      <c r="C148" s="15" t="s">
        <v>560</v>
      </c>
      <c r="D148" s="14">
        <v>46180</v>
      </c>
      <c r="E148" s="16">
        <v>1</v>
      </c>
      <c r="F148" s="16"/>
      <c r="G148" s="34"/>
      <c r="H148" s="17"/>
      <c r="I148" s="17"/>
      <c r="J148" s="17">
        <v>250000</v>
      </c>
      <c r="K148" s="18" t="s">
        <v>44</v>
      </c>
    </row>
    <row r="149" spans="1:11" ht="19.149999999999999" customHeight="1" x14ac:dyDescent="0.25">
      <c r="A149" s="33">
        <v>118</v>
      </c>
      <c r="B149" s="14"/>
      <c r="C149" s="15" t="s">
        <v>561</v>
      </c>
      <c r="D149" s="14">
        <v>46176</v>
      </c>
      <c r="E149" s="16">
        <v>1</v>
      </c>
      <c r="F149" s="16"/>
      <c r="G149" s="34"/>
      <c r="H149" s="17"/>
      <c r="I149" s="17"/>
      <c r="J149" s="17">
        <v>250000</v>
      </c>
      <c r="K149" s="18" t="s">
        <v>43</v>
      </c>
    </row>
    <row r="150" spans="1:11" ht="19.149999999999999" customHeight="1" x14ac:dyDescent="0.25">
      <c r="A150" s="33">
        <v>119</v>
      </c>
      <c r="B150" s="14"/>
      <c r="C150" s="15" t="s">
        <v>562</v>
      </c>
      <c r="D150" s="14">
        <v>46168</v>
      </c>
      <c r="E150" s="16">
        <v>1</v>
      </c>
      <c r="F150" s="16"/>
      <c r="G150" s="34"/>
      <c r="H150" s="17"/>
      <c r="I150" s="17"/>
      <c r="J150" s="17">
        <v>250000</v>
      </c>
      <c r="K150" s="18" t="s">
        <v>47</v>
      </c>
    </row>
    <row r="151" spans="1:11" ht="19.149999999999999" customHeight="1" x14ac:dyDescent="0.25">
      <c r="A151" s="33">
        <v>120</v>
      </c>
      <c r="B151" s="14">
        <v>46165</v>
      </c>
      <c r="C151" s="15" t="s">
        <v>569</v>
      </c>
      <c r="D151" s="14">
        <v>46172</v>
      </c>
      <c r="E151" s="16"/>
      <c r="F151" s="16">
        <v>1</v>
      </c>
      <c r="G151" s="34"/>
      <c r="H151" s="17"/>
      <c r="I151" s="17" t="s">
        <v>98</v>
      </c>
      <c r="J151" s="17">
        <v>1750000</v>
      </c>
      <c r="K151" s="18"/>
    </row>
    <row r="152" spans="1:11" ht="19.149999999999999" customHeight="1" x14ac:dyDescent="0.25">
      <c r="A152" s="33">
        <v>121</v>
      </c>
      <c r="B152" s="35"/>
      <c r="C152" s="36" t="s">
        <v>563</v>
      </c>
      <c r="D152" s="14">
        <v>46165</v>
      </c>
      <c r="E152" s="37">
        <v>1</v>
      </c>
      <c r="F152" s="37"/>
      <c r="G152" s="38"/>
      <c r="H152" s="39"/>
      <c r="I152" s="39"/>
      <c r="J152" s="39">
        <v>250000</v>
      </c>
      <c r="K152" s="40" t="s">
        <v>41</v>
      </c>
    </row>
    <row r="153" spans="1:11" ht="20.25" customHeight="1" x14ac:dyDescent="0.25">
      <c r="A153" s="47"/>
      <c r="B153" s="41"/>
      <c r="C153" s="155" t="s">
        <v>12</v>
      </c>
      <c r="D153" s="155"/>
      <c r="E153" s="48">
        <f>SUM(E128:E152)</f>
        <v>77</v>
      </c>
      <c r="F153" s="48">
        <f t="shared" ref="F153:J153" si="8">SUM(F128:F152)</f>
        <v>4</v>
      </c>
      <c r="G153" s="48">
        <f t="shared" si="8"/>
        <v>4025</v>
      </c>
      <c r="H153" s="48">
        <f t="shared" si="8"/>
        <v>9</v>
      </c>
      <c r="I153" s="48">
        <f t="shared" si="8"/>
        <v>0</v>
      </c>
      <c r="J153" s="48">
        <f t="shared" si="8"/>
        <v>35200000</v>
      </c>
      <c r="K153" s="41"/>
    </row>
    <row r="154" spans="1:11" ht="19.149999999999999" customHeight="1" x14ac:dyDescent="0.25">
      <c r="A154" s="50"/>
      <c r="B154" s="24"/>
      <c r="C154" s="24"/>
      <c r="D154" s="24"/>
      <c r="E154" s="24"/>
      <c r="F154" s="24"/>
      <c r="G154" s="24"/>
      <c r="H154" s="24"/>
      <c r="I154" s="24"/>
      <c r="J154" s="24"/>
      <c r="K154" s="24"/>
    </row>
    <row r="155" spans="1:11" ht="15.75" x14ac:dyDescent="0.25">
      <c r="A155" s="50"/>
      <c r="B155" s="24"/>
      <c r="C155" s="24"/>
      <c r="D155" s="24"/>
      <c r="E155" s="24"/>
      <c r="F155" s="24"/>
      <c r="G155" s="24"/>
      <c r="H155" s="24"/>
      <c r="I155" s="24"/>
      <c r="J155" s="42"/>
      <c r="K155" s="24"/>
    </row>
    <row r="156" spans="1:11" ht="15.75" x14ac:dyDescent="0.25">
      <c r="A156" s="50"/>
      <c r="B156" s="24"/>
      <c r="C156" s="24"/>
      <c r="D156" s="24"/>
      <c r="E156" s="24"/>
      <c r="F156" s="24"/>
      <c r="G156" s="24"/>
      <c r="H156" s="24"/>
      <c r="I156" s="24"/>
      <c r="J156" s="42"/>
      <c r="K156" s="24"/>
    </row>
    <row r="157" spans="1:11" ht="15.75" x14ac:dyDescent="0.25">
      <c r="A157" s="50"/>
      <c r="B157" s="24"/>
      <c r="C157" s="24"/>
      <c r="D157" s="24"/>
      <c r="E157" s="24"/>
      <c r="F157" s="24"/>
      <c r="G157" s="24"/>
      <c r="H157" s="24"/>
      <c r="I157" s="24"/>
      <c r="J157" s="42"/>
      <c r="K157" s="24"/>
    </row>
    <row r="158" spans="1:11" ht="36.75" customHeight="1" x14ac:dyDescent="0.25">
      <c r="A158" s="4" t="s">
        <v>1</v>
      </c>
      <c r="B158" s="5" t="s">
        <v>2</v>
      </c>
      <c r="C158" s="5" t="s">
        <v>3</v>
      </c>
      <c r="D158" s="5" t="s">
        <v>4</v>
      </c>
      <c r="E158" s="5" t="s">
        <v>5</v>
      </c>
      <c r="F158" s="5" t="s">
        <v>6</v>
      </c>
      <c r="G158" s="6" t="s">
        <v>7</v>
      </c>
      <c r="H158" s="4" t="s">
        <v>8</v>
      </c>
      <c r="I158" s="4" t="s">
        <v>9</v>
      </c>
      <c r="J158" s="5" t="s">
        <v>598</v>
      </c>
      <c r="K158" s="4" t="s">
        <v>11</v>
      </c>
    </row>
    <row r="159" spans="1:11" ht="18.95" customHeight="1" x14ac:dyDescent="0.25">
      <c r="A159" s="51"/>
      <c r="B159" s="153" t="s">
        <v>13</v>
      </c>
      <c r="C159" s="153"/>
      <c r="D159" s="153"/>
      <c r="E159" s="44">
        <f t="shared" ref="E159:J159" si="9">SUM(E153)</f>
        <v>77</v>
      </c>
      <c r="F159" s="44">
        <f t="shared" si="9"/>
        <v>4</v>
      </c>
      <c r="G159" s="44">
        <f t="shared" si="9"/>
        <v>4025</v>
      </c>
      <c r="H159" s="44">
        <f t="shared" si="9"/>
        <v>9</v>
      </c>
      <c r="I159" s="44">
        <f t="shared" si="9"/>
        <v>0</v>
      </c>
      <c r="J159" s="44">
        <f t="shared" si="9"/>
        <v>35200000</v>
      </c>
      <c r="K159" s="7"/>
    </row>
    <row r="160" spans="1:11" ht="18.95" customHeight="1" x14ac:dyDescent="0.25">
      <c r="A160" s="33">
        <v>122</v>
      </c>
      <c r="B160" s="14">
        <v>46165</v>
      </c>
      <c r="C160" s="15" t="s">
        <v>564</v>
      </c>
      <c r="D160" s="14">
        <v>46174</v>
      </c>
      <c r="E160" s="16">
        <v>1</v>
      </c>
      <c r="F160" s="16"/>
      <c r="G160" s="34"/>
      <c r="H160" s="17"/>
      <c r="I160" s="17"/>
      <c r="J160" s="17">
        <v>250000</v>
      </c>
      <c r="K160" s="18" t="s">
        <v>47</v>
      </c>
    </row>
    <row r="161" spans="1:11" ht="18.95" customHeight="1" x14ac:dyDescent="0.25">
      <c r="A161" s="33">
        <v>123</v>
      </c>
      <c r="B161" s="14"/>
      <c r="C161" s="15"/>
      <c r="D161" s="14"/>
      <c r="E161" s="16"/>
      <c r="F161" s="16"/>
      <c r="G161" s="34">
        <v>50</v>
      </c>
      <c r="H161" s="17"/>
      <c r="I161" s="17"/>
      <c r="J161" s="17">
        <v>100000</v>
      </c>
      <c r="K161" s="18"/>
    </row>
    <row r="162" spans="1:11" ht="18.95" customHeight="1" x14ac:dyDescent="0.25">
      <c r="A162" s="33">
        <v>124</v>
      </c>
      <c r="B162" s="46"/>
      <c r="C162" s="15" t="s">
        <v>565</v>
      </c>
      <c r="D162" s="14">
        <v>46250</v>
      </c>
      <c r="E162" s="16">
        <v>1</v>
      </c>
      <c r="F162" s="16"/>
      <c r="G162" s="34"/>
      <c r="H162" s="17"/>
      <c r="I162" s="17"/>
      <c r="J162" s="17">
        <v>250000</v>
      </c>
      <c r="K162" s="18" t="s">
        <v>43</v>
      </c>
    </row>
    <row r="163" spans="1:11" ht="18.95" customHeight="1" x14ac:dyDescent="0.25">
      <c r="A163" s="33">
        <v>125</v>
      </c>
      <c r="B163" s="46"/>
      <c r="C163" s="15" t="s">
        <v>566</v>
      </c>
      <c r="D163" s="14">
        <v>46173</v>
      </c>
      <c r="E163" s="16">
        <v>1</v>
      </c>
      <c r="F163" s="16"/>
      <c r="G163" s="34"/>
      <c r="H163" s="17">
        <v>1</v>
      </c>
      <c r="I163" s="17"/>
      <c r="J163" s="17">
        <v>350000</v>
      </c>
      <c r="K163" s="18" t="s">
        <v>44</v>
      </c>
    </row>
    <row r="164" spans="1:11" ht="18.95" customHeight="1" x14ac:dyDescent="0.25">
      <c r="A164" s="33">
        <v>126</v>
      </c>
      <c r="B164" s="14"/>
      <c r="C164" s="15" t="s">
        <v>567</v>
      </c>
      <c r="D164" s="14">
        <v>46166</v>
      </c>
      <c r="E164" s="16">
        <v>1</v>
      </c>
      <c r="F164" s="16"/>
      <c r="G164" s="34"/>
      <c r="H164" s="17"/>
      <c r="I164" s="17"/>
      <c r="J164" s="17">
        <v>250000</v>
      </c>
      <c r="K164" s="18" t="s">
        <v>44</v>
      </c>
    </row>
    <row r="165" spans="1:11" ht="18.95" customHeight="1" x14ac:dyDescent="0.25">
      <c r="A165" s="33">
        <v>127</v>
      </c>
      <c r="B165" s="14"/>
      <c r="C165" s="15" t="s">
        <v>568</v>
      </c>
      <c r="D165" s="14">
        <v>46172</v>
      </c>
      <c r="E165" s="16">
        <v>2</v>
      </c>
      <c r="F165" s="16"/>
      <c r="G165" s="34"/>
      <c r="H165" s="17"/>
      <c r="I165" s="17"/>
      <c r="J165" s="17">
        <v>500000</v>
      </c>
      <c r="K165" s="18" t="s">
        <v>48</v>
      </c>
    </row>
    <row r="166" spans="1:11" ht="18.95" customHeight="1" x14ac:dyDescent="0.25">
      <c r="A166" s="33">
        <v>128</v>
      </c>
      <c r="B166" s="14">
        <v>46166</v>
      </c>
      <c r="C166" s="15" t="s">
        <v>570</v>
      </c>
      <c r="D166" s="14">
        <v>46208</v>
      </c>
      <c r="E166" s="16">
        <v>1</v>
      </c>
      <c r="F166" s="16"/>
      <c r="G166" s="34"/>
      <c r="H166" s="17"/>
      <c r="I166" s="17"/>
      <c r="J166" s="17">
        <v>250000</v>
      </c>
      <c r="K166" s="18" t="s">
        <v>43</v>
      </c>
    </row>
    <row r="167" spans="1:11" ht="18.95" customHeight="1" x14ac:dyDescent="0.25">
      <c r="A167" s="33">
        <v>129</v>
      </c>
      <c r="B167" s="14"/>
      <c r="C167" s="15" t="s">
        <v>571</v>
      </c>
      <c r="D167" s="14">
        <v>46194</v>
      </c>
      <c r="E167" s="16"/>
      <c r="F167" s="16"/>
      <c r="G167" s="34">
        <v>50</v>
      </c>
      <c r="H167" s="17"/>
      <c r="I167" s="17"/>
      <c r="J167" s="17">
        <v>100000</v>
      </c>
      <c r="K167" s="18" t="s">
        <v>50</v>
      </c>
    </row>
    <row r="168" spans="1:11" ht="18.95" customHeight="1" x14ac:dyDescent="0.25">
      <c r="A168" s="33">
        <v>130</v>
      </c>
      <c r="B168" s="14"/>
      <c r="C168" s="15" t="s">
        <v>572</v>
      </c>
      <c r="D168" s="14">
        <v>46169</v>
      </c>
      <c r="E168" s="16">
        <v>1</v>
      </c>
      <c r="F168" s="16"/>
      <c r="G168" s="34"/>
      <c r="H168" s="17"/>
      <c r="I168" s="17"/>
      <c r="J168" s="17">
        <v>250000</v>
      </c>
      <c r="K168" s="18" t="s">
        <v>49</v>
      </c>
    </row>
    <row r="169" spans="1:11" ht="18.95" customHeight="1" x14ac:dyDescent="0.25">
      <c r="A169" s="33">
        <v>131</v>
      </c>
      <c r="B169" s="14">
        <v>46167</v>
      </c>
      <c r="C169" s="15" t="s">
        <v>573</v>
      </c>
      <c r="D169" s="14">
        <v>46174</v>
      </c>
      <c r="E169" s="16">
        <v>1</v>
      </c>
      <c r="F169" s="16"/>
      <c r="G169" s="34"/>
      <c r="H169" s="17"/>
      <c r="I169" s="17"/>
      <c r="J169" s="17">
        <v>250000</v>
      </c>
      <c r="K169" s="18" t="s">
        <v>49</v>
      </c>
    </row>
    <row r="170" spans="1:11" ht="18.95" customHeight="1" x14ac:dyDescent="0.25">
      <c r="A170" s="33">
        <v>132</v>
      </c>
      <c r="B170" s="14"/>
      <c r="C170" s="15" t="s">
        <v>574</v>
      </c>
      <c r="D170" s="14">
        <v>46179</v>
      </c>
      <c r="E170" s="16">
        <v>1</v>
      </c>
      <c r="F170" s="16"/>
      <c r="G170" s="34"/>
      <c r="H170" s="17"/>
      <c r="I170" s="17"/>
      <c r="J170" s="17">
        <v>250000</v>
      </c>
      <c r="K170" s="18" t="s">
        <v>49</v>
      </c>
    </row>
    <row r="171" spans="1:11" ht="18.95" customHeight="1" x14ac:dyDescent="0.25">
      <c r="A171" s="33">
        <v>133</v>
      </c>
      <c r="B171" s="14"/>
      <c r="C171" s="15" t="s">
        <v>575</v>
      </c>
      <c r="D171" s="14">
        <v>46207</v>
      </c>
      <c r="E171" s="16">
        <v>2</v>
      </c>
      <c r="F171" s="16"/>
      <c r="G171" s="34"/>
      <c r="H171" s="17"/>
      <c r="I171" s="17"/>
      <c r="J171" s="17">
        <v>500000</v>
      </c>
      <c r="K171" s="18" t="s">
        <v>48</v>
      </c>
    </row>
    <row r="172" spans="1:11" ht="18.95" customHeight="1" x14ac:dyDescent="0.25">
      <c r="A172" s="33">
        <v>134</v>
      </c>
      <c r="B172" s="14"/>
      <c r="C172" s="15" t="s">
        <v>576</v>
      </c>
      <c r="D172" s="14">
        <v>46186</v>
      </c>
      <c r="E172" s="16">
        <v>1</v>
      </c>
      <c r="F172" s="16"/>
      <c r="G172" s="34"/>
      <c r="H172" s="17"/>
      <c r="I172" s="17"/>
      <c r="J172" s="17">
        <v>250000</v>
      </c>
      <c r="K172" s="18" t="s">
        <v>47</v>
      </c>
    </row>
    <row r="173" spans="1:11" ht="18.95" customHeight="1" x14ac:dyDescent="0.25">
      <c r="A173" s="33">
        <v>135</v>
      </c>
      <c r="B173" s="14">
        <v>46168</v>
      </c>
      <c r="C173" s="15" t="s">
        <v>577</v>
      </c>
      <c r="D173" s="14">
        <v>46182</v>
      </c>
      <c r="E173" s="16">
        <v>1</v>
      </c>
      <c r="F173" s="16"/>
      <c r="G173" s="34"/>
      <c r="H173" s="17"/>
      <c r="I173" s="17"/>
      <c r="J173" s="17">
        <v>250000</v>
      </c>
      <c r="K173" s="18" t="s">
        <v>44</v>
      </c>
    </row>
    <row r="174" spans="1:11" ht="18.95" customHeight="1" x14ac:dyDescent="0.25">
      <c r="A174" s="33">
        <v>136</v>
      </c>
      <c r="B174" s="14"/>
      <c r="C174" s="15" t="s">
        <v>578</v>
      </c>
      <c r="D174" s="14">
        <v>46186</v>
      </c>
      <c r="E174" s="16">
        <v>1</v>
      </c>
      <c r="F174" s="16"/>
      <c r="G174" s="34"/>
      <c r="H174" s="17"/>
      <c r="I174" s="17"/>
      <c r="J174" s="17">
        <v>250000</v>
      </c>
      <c r="K174" s="18" t="s">
        <v>49</v>
      </c>
    </row>
    <row r="175" spans="1:11" ht="18.95" customHeight="1" x14ac:dyDescent="0.25">
      <c r="A175" s="33">
        <v>137</v>
      </c>
      <c r="B175" s="14"/>
      <c r="C175" s="15" t="s">
        <v>579</v>
      </c>
      <c r="D175" s="14">
        <v>46179</v>
      </c>
      <c r="E175" s="16">
        <v>2</v>
      </c>
      <c r="F175" s="16"/>
      <c r="G175" s="34"/>
      <c r="H175" s="17"/>
      <c r="I175" s="17"/>
      <c r="J175" s="17">
        <v>500000</v>
      </c>
      <c r="K175" s="18" t="s">
        <v>48</v>
      </c>
    </row>
    <row r="176" spans="1:11" ht="18.95" customHeight="1" x14ac:dyDescent="0.25">
      <c r="A176" s="33">
        <v>138</v>
      </c>
      <c r="B176" s="14"/>
      <c r="C176" s="15" t="s">
        <v>580</v>
      </c>
      <c r="D176" s="14">
        <v>46173</v>
      </c>
      <c r="E176" s="16"/>
      <c r="F176" s="16"/>
      <c r="G176" s="34">
        <v>70</v>
      </c>
      <c r="H176" s="17"/>
      <c r="I176" s="17"/>
      <c r="J176" s="17">
        <v>140000</v>
      </c>
      <c r="K176" s="18"/>
    </row>
    <row r="177" spans="1:11" ht="18.95" customHeight="1" x14ac:dyDescent="0.25">
      <c r="A177" s="33">
        <v>139</v>
      </c>
      <c r="B177" s="14"/>
      <c r="C177" s="15" t="s">
        <v>581</v>
      </c>
      <c r="D177" s="14">
        <v>46222</v>
      </c>
      <c r="E177" s="16">
        <v>1</v>
      </c>
      <c r="F177" s="16"/>
      <c r="G177" s="34"/>
      <c r="H177" s="17"/>
      <c r="I177" s="17"/>
      <c r="J177" s="17">
        <v>250000</v>
      </c>
      <c r="K177" s="18" t="s">
        <v>43</v>
      </c>
    </row>
    <row r="178" spans="1:11" ht="18.95" customHeight="1" x14ac:dyDescent="0.25">
      <c r="A178" s="33">
        <v>140</v>
      </c>
      <c r="B178" s="14"/>
      <c r="C178" s="15" t="s">
        <v>582</v>
      </c>
      <c r="D178" s="14">
        <v>46200</v>
      </c>
      <c r="E178" s="16">
        <v>2</v>
      </c>
      <c r="F178" s="16"/>
      <c r="G178" s="34"/>
      <c r="H178" s="17">
        <v>1</v>
      </c>
      <c r="I178" s="17"/>
      <c r="J178" s="17">
        <v>600000</v>
      </c>
      <c r="K178" s="18" t="s">
        <v>48</v>
      </c>
    </row>
    <row r="179" spans="1:11" ht="18.95" customHeight="1" x14ac:dyDescent="0.25">
      <c r="A179" s="33">
        <v>141</v>
      </c>
      <c r="B179" s="14"/>
      <c r="C179" s="15" t="s">
        <v>583</v>
      </c>
      <c r="D179" s="14">
        <v>46169</v>
      </c>
      <c r="E179" s="16">
        <v>1</v>
      </c>
      <c r="F179" s="16"/>
      <c r="G179" s="34"/>
      <c r="H179" s="17">
        <v>1</v>
      </c>
      <c r="I179" s="17"/>
      <c r="J179" s="17">
        <v>350000</v>
      </c>
      <c r="K179" s="18" t="s">
        <v>44</v>
      </c>
    </row>
    <row r="180" spans="1:11" ht="18.95" customHeight="1" x14ac:dyDescent="0.25">
      <c r="A180" s="33">
        <v>142</v>
      </c>
      <c r="B180" s="14">
        <v>46169</v>
      </c>
      <c r="C180" s="15" t="s">
        <v>584</v>
      </c>
      <c r="D180" s="14">
        <v>46197</v>
      </c>
      <c r="E180" s="16">
        <v>1</v>
      </c>
      <c r="F180" s="16"/>
      <c r="G180" s="34"/>
      <c r="H180" s="17"/>
      <c r="I180" s="17"/>
      <c r="J180" s="17">
        <v>250000</v>
      </c>
      <c r="K180" s="18" t="s">
        <v>47</v>
      </c>
    </row>
    <row r="181" spans="1:11" ht="18.95" customHeight="1" x14ac:dyDescent="0.25">
      <c r="A181" s="33">
        <v>143</v>
      </c>
      <c r="B181" s="14"/>
      <c r="C181" s="15" t="s">
        <v>585</v>
      </c>
      <c r="D181" s="14">
        <v>46172</v>
      </c>
      <c r="E181" s="16"/>
      <c r="F181" s="16"/>
      <c r="G181" s="34">
        <v>50</v>
      </c>
      <c r="H181" s="17"/>
      <c r="I181" s="17"/>
      <c r="J181" s="17">
        <v>100000</v>
      </c>
      <c r="K181" s="18" t="s">
        <v>42</v>
      </c>
    </row>
    <row r="182" spans="1:11" ht="18.95" customHeight="1" x14ac:dyDescent="0.25">
      <c r="A182" s="33">
        <v>144</v>
      </c>
      <c r="B182" s="14"/>
      <c r="C182" s="15" t="s">
        <v>586</v>
      </c>
      <c r="D182" s="14">
        <v>46183</v>
      </c>
      <c r="E182" s="16">
        <v>1</v>
      </c>
      <c r="F182" s="16"/>
      <c r="G182" s="34"/>
      <c r="H182" s="17"/>
      <c r="I182" s="17"/>
      <c r="J182" s="17">
        <v>250000</v>
      </c>
      <c r="K182" s="18" t="s">
        <v>41</v>
      </c>
    </row>
    <row r="183" spans="1:11" ht="18.95" customHeight="1" x14ac:dyDescent="0.25">
      <c r="A183" s="33">
        <v>145</v>
      </c>
      <c r="B183" s="14">
        <v>46171</v>
      </c>
      <c r="C183" s="36" t="s">
        <v>587</v>
      </c>
      <c r="D183" s="35">
        <v>46179</v>
      </c>
      <c r="E183" s="37">
        <v>1</v>
      </c>
      <c r="F183" s="37"/>
      <c r="G183" s="38"/>
      <c r="H183" s="39"/>
      <c r="I183" s="39"/>
      <c r="J183" s="39">
        <v>250000</v>
      </c>
      <c r="K183" s="40" t="s">
        <v>44</v>
      </c>
    </row>
    <row r="184" spans="1:11" ht="20.25" customHeight="1" x14ac:dyDescent="0.25">
      <c r="A184" s="47"/>
      <c r="B184" s="41"/>
      <c r="C184" s="155" t="s">
        <v>12</v>
      </c>
      <c r="D184" s="155"/>
      <c r="E184" s="48">
        <f>SUM(E159:E183)</f>
        <v>101</v>
      </c>
      <c r="F184" s="48">
        <f t="shared" ref="F184:J184" si="10">SUM(F159:F183)</f>
        <v>4</v>
      </c>
      <c r="G184" s="48">
        <f t="shared" si="10"/>
        <v>4245</v>
      </c>
      <c r="H184" s="48">
        <f t="shared" si="10"/>
        <v>12</v>
      </c>
      <c r="I184" s="48">
        <f t="shared" si="10"/>
        <v>0</v>
      </c>
      <c r="J184" s="48">
        <f t="shared" si="10"/>
        <v>41940000</v>
      </c>
      <c r="K184" s="41"/>
    </row>
    <row r="185" spans="1:11" x14ac:dyDescent="0.25">
      <c r="A185" s="1"/>
    </row>
    <row r="186" spans="1:11" x14ac:dyDescent="0.25">
      <c r="A186" s="1"/>
    </row>
    <row r="187" spans="1:11" x14ac:dyDescent="0.25">
      <c r="A187" s="1"/>
    </row>
    <row r="188" spans="1:11" x14ac:dyDescent="0.25">
      <c r="A188" s="1"/>
    </row>
    <row r="189" spans="1:11" x14ac:dyDescent="0.25">
      <c r="A189" s="1"/>
    </row>
    <row r="190" spans="1:11" ht="30.75" customHeight="1" x14ac:dyDescent="0.25">
      <c r="A190" s="4" t="s">
        <v>1</v>
      </c>
      <c r="B190" s="5" t="s">
        <v>2</v>
      </c>
      <c r="C190" s="5" t="s">
        <v>3</v>
      </c>
      <c r="D190" s="5" t="s">
        <v>4</v>
      </c>
      <c r="E190" s="5" t="s">
        <v>5</v>
      </c>
      <c r="F190" s="5" t="s">
        <v>6</v>
      </c>
      <c r="G190" s="6" t="s">
        <v>7</v>
      </c>
      <c r="H190" s="4" t="s">
        <v>8</v>
      </c>
      <c r="I190" s="4" t="s">
        <v>9</v>
      </c>
      <c r="J190" s="5" t="s">
        <v>598</v>
      </c>
      <c r="K190" s="4" t="s">
        <v>11</v>
      </c>
    </row>
    <row r="191" spans="1:11" ht="18.95" customHeight="1" x14ac:dyDescent="0.25">
      <c r="A191" s="51"/>
      <c r="B191" s="153" t="s">
        <v>13</v>
      </c>
      <c r="C191" s="153"/>
      <c r="D191" s="153"/>
      <c r="E191" s="44">
        <f>SUM(E184)</f>
        <v>101</v>
      </c>
      <c r="F191" s="44">
        <f t="shared" ref="F191:J191" si="11">SUM(F184)</f>
        <v>4</v>
      </c>
      <c r="G191" s="44">
        <f t="shared" si="11"/>
        <v>4245</v>
      </c>
      <c r="H191" s="44">
        <f t="shared" si="11"/>
        <v>12</v>
      </c>
      <c r="I191" s="44">
        <f t="shared" si="11"/>
        <v>0</v>
      </c>
      <c r="J191" s="44">
        <f t="shared" si="11"/>
        <v>41940000</v>
      </c>
      <c r="K191" s="7"/>
    </row>
    <row r="192" spans="1:11" ht="18.95" customHeight="1" x14ac:dyDescent="0.25">
      <c r="A192" s="33">
        <v>146</v>
      </c>
      <c r="B192" s="14">
        <v>46171</v>
      </c>
      <c r="C192" s="15" t="s">
        <v>588</v>
      </c>
      <c r="D192" s="14">
        <v>46179</v>
      </c>
      <c r="E192" s="16"/>
      <c r="F192" s="16"/>
      <c r="G192" s="34">
        <v>50</v>
      </c>
      <c r="H192" s="17"/>
      <c r="I192" s="17"/>
      <c r="J192" s="17">
        <v>100000</v>
      </c>
      <c r="K192" s="18"/>
    </row>
    <row r="193" spans="1:11" ht="18.95" customHeight="1" x14ac:dyDescent="0.25">
      <c r="A193" s="33">
        <v>147</v>
      </c>
      <c r="B193" s="14"/>
      <c r="C193" s="15" t="s">
        <v>589</v>
      </c>
      <c r="D193" s="14">
        <v>46207</v>
      </c>
      <c r="E193" s="16">
        <v>1</v>
      </c>
      <c r="F193" s="16"/>
      <c r="G193" s="34"/>
      <c r="H193" s="17">
        <v>1</v>
      </c>
      <c r="I193" s="17"/>
      <c r="J193" s="17">
        <v>350000</v>
      </c>
      <c r="K193" s="18" t="s">
        <v>43</v>
      </c>
    </row>
    <row r="194" spans="1:11" ht="18.95" customHeight="1" x14ac:dyDescent="0.25">
      <c r="A194" s="33">
        <v>148</v>
      </c>
      <c r="B194" s="14">
        <v>46172</v>
      </c>
      <c r="C194" s="15" t="s">
        <v>590</v>
      </c>
      <c r="D194" s="14">
        <v>46185</v>
      </c>
      <c r="E194" s="16">
        <v>2</v>
      </c>
      <c r="F194" s="16"/>
      <c r="G194" s="34"/>
      <c r="H194" s="17"/>
      <c r="I194" s="17"/>
      <c r="J194" s="17">
        <v>500000</v>
      </c>
      <c r="K194" s="18" t="s">
        <v>48</v>
      </c>
    </row>
    <row r="195" spans="1:11" ht="18.95" customHeight="1" x14ac:dyDescent="0.25">
      <c r="A195" s="33">
        <v>149</v>
      </c>
      <c r="B195" s="14"/>
      <c r="C195" s="15" t="s">
        <v>591</v>
      </c>
      <c r="D195" s="14">
        <v>46180</v>
      </c>
      <c r="E195" s="16">
        <v>1</v>
      </c>
      <c r="F195" s="16"/>
      <c r="G195" s="34"/>
      <c r="H195" s="17"/>
      <c r="I195" s="17"/>
      <c r="J195" s="17">
        <v>250000</v>
      </c>
      <c r="K195" s="18" t="s">
        <v>43</v>
      </c>
    </row>
    <row r="196" spans="1:11" ht="18.95" customHeight="1" x14ac:dyDescent="0.25">
      <c r="A196" s="33">
        <v>150</v>
      </c>
      <c r="B196" s="14"/>
      <c r="C196" s="15" t="s">
        <v>592</v>
      </c>
      <c r="D196" s="14">
        <v>46187</v>
      </c>
      <c r="E196" s="16">
        <v>1</v>
      </c>
      <c r="F196" s="16"/>
      <c r="G196" s="34"/>
      <c r="H196" s="17"/>
      <c r="I196" s="17"/>
      <c r="J196" s="17">
        <v>250000</v>
      </c>
      <c r="K196" s="18" t="s">
        <v>47</v>
      </c>
    </row>
    <row r="197" spans="1:11" ht="18.95" customHeight="1" x14ac:dyDescent="0.25">
      <c r="A197" s="33">
        <v>151</v>
      </c>
      <c r="B197" s="14"/>
      <c r="C197" s="15" t="s">
        <v>593</v>
      </c>
      <c r="D197" s="14">
        <v>46177</v>
      </c>
      <c r="E197" s="16">
        <v>1</v>
      </c>
      <c r="F197" s="16"/>
      <c r="G197" s="34"/>
      <c r="H197" s="17"/>
      <c r="I197" s="17"/>
      <c r="J197" s="17">
        <v>250000</v>
      </c>
      <c r="K197" s="18" t="s">
        <v>47</v>
      </c>
    </row>
    <row r="198" spans="1:11" ht="18.95" customHeight="1" x14ac:dyDescent="0.25">
      <c r="A198" s="33">
        <v>152</v>
      </c>
      <c r="B198" s="14">
        <v>46173</v>
      </c>
      <c r="C198" s="15" t="s">
        <v>594</v>
      </c>
      <c r="D198" s="14">
        <v>46180</v>
      </c>
      <c r="E198" s="16"/>
      <c r="F198" s="16"/>
      <c r="G198" s="34">
        <v>50</v>
      </c>
      <c r="H198" s="17"/>
      <c r="I198" s="17"/>
      <c r="J198" s="17">
        <v>100000</v>
      </c>
      <c r="K198" s="18" t="s">
        <v>50</v>
      </c>
    </row>
    <row r="199" spans="1:11" ht="18.95" customHeight="1" x14ac:dyDescent="0.25">
      <c r="A199" s="33">
        <v>153</v>
      </c>
      <c r="B199" s="14"/>
      <c r="C199" s="15" t="s">
        <v>595</v>
      </c>
      <c r="D199" s="14">
        <v>46207</v>
      </c>
      <c r="E199" s="16">
        <v>1</v>
      </c>
      <c r="F199" s="16"/>
      <c r="G199" s="34"/>
      <c r="H199" s="17"/>
      <c r="I199" s="17"/>
      <c r="J199" s="17">
        <v>250000</v>
      </c>
      <c r="K199" s="18" t="s">
        <v>47</v>
      </c>
    </row>
    <row r="200" spans="1:11" ht="18.95" customHeight="1" x14ac:dyDescent="0.25">
      <c r="A200" s="33">
        <v>154</v>
      </c>
      <c r="B200" s="14"/>
      <c r="C200" s="15" t="s">
        <v>596</v>
      </c>
      <c r="D200" s="14">
        <v>46180</v>
      </c>
      <c r="E200" s="16"/>
      <c r="F200" s="16"/>
      <c r="G200" s="34">
        <v>200</v>
      </c>
      <c r="H200" s="17"/>
      <c r="I200" s="17"/>
      <c r="J200" s="17">
        <v>400000</v>
      </c>
      <c r="K200" s="18" t="s">
        <v>42</v>
      </c>
    </row>
    <row r="201" spans="1:11" ht="18.95" customHeight="1" x14ac:dyDescent="0.25">
      <c r="A201" s="33">
        <v>155</v>
      </c>
      <c r="B201" s="35"/>
      <c r="C201" s="36" t="s">
        <v>597</v>
      </c>
      <c r="D201" s="35">
        <v>46190</v>
      </c>
      <c r="E201" s="37">
        <v>1</v>
      </c>
      <c r="F201" s="37"/>
      <c r="G201" s="38"/>
      <c r="H201" s="39"/>
      <c r="I201" s="39"/>
      <c r="J201" s="39">
        <v>250000</v>
      </c>
      <c r="K201" s="40" t="s">
        <v>49</v>
      </c>
    </row>
    <row r="202" spans="1:11" ht="20.25" customHeight="1" x14ac:dyDescent="0.25">
      <c r="A202" s="47"/>
      <c r="B202" s="41"/>
      <c r="C202" s="155" t="s">
        <v>12</v>
      </c>
      <c r="D202" s="155"/>
      <c r="E202" s="48">
        <f t="shared" ref="E202:J202" si="12">SUM(E191:E201)</f>
        <v>109</v>
      </c>
      <c r="F202" s="48">
        <f t="shared" si="12"/>
        <v>4</v>
      </c>
      <c r="G202" s="48">
        <f t="shared" si="12"/>
        <v>4545</v>
      </c>
      <c r="H202" s="48">
        <f t="shared" si="12"/>
        <v>13</v>
      </c>
      <c r="I202" s="48">
        <f t="shared" si="12"/>
        <v>0</v>
      </c>
      <c r="J202" s="48">
        <f t="shared" si="12"/>
        <v>44640000</v>
      </c>
      <c r="K202" s="41"/>
    </row>
    <row r="205" spans="1:11" ht="15.75" customHeight="1" x14ac:dyDescent="0.25">
      <c r="H205" s="58"/>
      <c r="I205" s="149" t="s">
        <v>599</v>
      </c>
      <c r="J205" s="149"/>
      <c r="K205" s="149"/>
    </row>
    <row r="206" spans="1:11" ht="15.75" customHeight="1" x14ac:dyDescent="0.25">
      <c r="H206" s="58"/>
      <c r="I206" s="57"/>
      <c r="J206" s="57"/>
      <c r="K206" s="57"/>
    </row>
    <row r="207" spans="1:11" ht="15.75" x14ac:dyDescent="0.25">
      <c r="A207" s="148" t="s">
        <v>75</v>
      </c>
      <c r="B207" s="148"/>
      <c r="C207" s="148"/>
      <c r="D207" s="148"/>
      <c r="H207" s="58"/>
      <c r="I207" s="149"/>
      <c r="J207" s="149"/>
      <c r="K207" s="149"/>
    </row>
    <row r="208" spans="1:11" ht="15.75" x14ac:dyDescent="0.25">
      <c r="A208" s="149" t="s">
        <v>76</v>
      </c>
      <c r="B208" s="149"/>
      <c r="C208" s="149"/>
      <c r="D208" s="149"/>
      <c r="H208" s="58"/>
      <c r="I208" s="149" t="s">
        <v>69</v>
      </c>
      <c r="J208" s="149"/>
      <c r="K208" s="149"/>
    </row>
    <row r="209" spans="1:11" ht="15.75" x14ac:dyDescent="0.25">
      <c r="A209" s="149" t="s">
        <v>77</v>
      </c>
      <c r="B209" s="149"/>
      <c r="C209" s="149"/>
      <c r="D209" s="149"/>
      <c r="H209" s="55"/>
      <c r="I209" s="55"/>
      <c r="J209" s="56"/>
      <c r="K209" s="56"/>
    </row>
    <row r="210" spans="1:11" ht="15.75" x14ac:dyDescent="0.25">
      <c r="A210" s="149" t="s">
        <v>65</v>
      </c>
      <c r="B210" s="149"/>
      <c r="C210" s="149"/>
      <c r="D210" s="149"/>
      <c r="H210" s="55"/>
      <c r="I210" s="58"/>
      <c r="J210" s="58"/>
      <c r="K210" s="58"/>
    </row>
    <row r="211" spans="1:11" ht="15.75" x14ac:dyDescent="0.25">
      <c r="A211" s="148" t="s">
        <v>66</v>
      </c>
      <c r="B211" s="148"/>
      <c r="C211" s="148"/>
      <c r="D211" s="148"/>
      <c r="H211" s="55"/>
      <c r="I211" s="149"/>
      <c r="J211" s="149"/>
      <c r="K211" s="149"/>
    </row>
    <row r="212" spans="1:11" ht="15.75" x14ac:dyDescent="0.25">
      <c r="A212" s="55"/>
      <c r="B212" s="56"/>
      <c r="C212" s="56"/>
      <c r="H212" s="58"/>
      <c r="I212" s="149"/>
      <c r="J212" s="149"/>
      <c r="K212" s="149"/>
    </row>
    <row r="213" spans="1:11" ht="15.75" x14ac:dyDescent="0.25">
      <c r="A213" s="58"/>
      <c r="B213" s="58"/>
      <c r="C213" s="58"/>
      <c r="E213" s="148"/>
      <c r="F213" s="148"/>
      <c r="G213" s="148"/>
      <c r="H213" s="148"/>
      <c r="I213" s="58"/>
      <c r="J213" s="58"/>
      <c r="K213" s="58"/>
    </row>
    <row r="214" spans="1:11" ht="15.75" x14ac:dyDescent="0.25">
      <c r="A214" s="149" t="s">
        <v>67</v>
      </c>
      <c r="B214" s="149"/>
      <c r="C214" s="149"/>
      <c r="D214" s="149"/>
      <c r="E214" s="149"/>
      <c r="F214" s="149"/>
      <c r="G214" s="149"/>
      <c r="H214" s="149"/>
      <c r="I214" s="149" t="s">
        <v>70</v>
      </c>
      <c r="J214" s="149"/>
      <c r="K214" s="149"/>
    </row>
    <row r="215" spans="1:11" ht="15.75" x14ac:dyDescent="0.25">
      <c r="A215" s="149" t="s">
        <v>68</v>
      </c>
      <c r="B215" s="149"/>
      <c r="C215" s="149"/>
      <c r="D215" s="149"/>
      <c r="E215" s="149"/>
      <c r="F215" s="149"/>
      <c r="G215" s="149"/>
      <c r="H215" s="149"/>
      <c r="I215" s="149" t="s">
        <v>71</v>
      </c>
      <c r="J215" s="149"/>
      <c r="K215" s="149"/>
    </row>
    <row r="216" spans="1:11" ht="15.75" x14ac:dyDescent="0.25">
      <c r="E216" s="149"/>
      <c r="F216" s="149"/>
      <c r="G216" s="149"/>
      <c r="H216" s="149"/>
    </row>
    <row r="217" spans="1:11" ht="15.75" x14ac:dyDescent="0.25">
      <c r="E217" s="148"/>
      <c r="F217" s="148"/>
      <c r="G217" s="148"/>
      <c r="H217" s="148"/>
    </row>
  </sheetData>
  <mergeCells count="35">
    <mergeCell ref="E216:H216"/>
    <mergeCell ref="E217:H217"/>
    <mergeCell ref="I212:K212"/>
    <mergeCell ref="A209:D209"/>
    <mergeCell ref="A210:D210"/>
    <mergeCell ref="E213:H213"/>
    <mergeCell ref="E214:H214"/>
    <mergeCell ref="A214:D214"/>
    <mergeCell ref="I214:K214"/>
    <mergeCell ref="A215:D215"/>
    <mergeCell ref="I215:K215"/>
    <mergeCell ref="A208:D208"/>
    <mergeCell ref="I208:K208"/>
    <mergeCell ref="A211:D211"/>
    <mergeCell ref="I211:K211"/>
    <mergeCell ref="E215:H215"/>
    <mergeCell ref="A1:K1"/>
    <mergeCell ref="A2:K2"/>
    <mergeCell ref="A3:K3"/>
    <mergeCell ref="C29:D29"/>
    <mergeCell ref="B35:D35"/>
    <mergeCell ref="C61:D61"/>
    <mergeCell ref="A207:D207"/>
    <mergeCell ref="I207:K207"/>
    <mergeCell ref="B66:D66"/>
    <mergeCell ref="C91:D91"/>
    <mergeCell ref="B97:D97"/>
    <mergeCell ref="C123:D123"/>
    <mergeCell ref="B128:D128"/>
    <mergeCell ref="C153:D153"/>
    <mergeCell ref="B159:D159"/>
    <mergeCell ref="C184:D184"/>
    <mergeCell ref="B191:D191"/>
    <mergeCell ref="C202:D202"/>
    <mergeCell ref="I205:K205"/>
  </mergeCells>
  <phoneticPr fontId="8" type="noConversion"/>
  <pageMargins left="0.35433070866141736" right="0.23622047244094491" top="0.35433070866141736" bottom="0.35433070866141736" header="0.31496062992125984" footer="0.31496062992125984"/>
  <pageSetup paperSize="122" scale="95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CC38848-F4B7-49A7-9FC1-F3CAB700BC8A}">
          <x14:formula1>
            <xm:f>Sheet1!$B$3:$B$13</xm:f>
          </x14:formula1>
          <xm:sqref>K74:K75 K42:K44 K69:K72 K91:K96 K2 K61:K66 K123:K128 K38:K39 K4:K34 K133:K204 K210:K1048576 K207:K208</xm:sqref>
        </x14:dataValidation>
        <x14:dataValidation type="list" allowBlank="1" showInputMessage="1" showErrorMessage="1" xr:uid="{879DB6DF-DAD6-46B2-83E5-619B1D033EB3}">
          <x14:formula1>
            <xm:f>Sheet1!$B$3:$B$14</xm:f>
          </x14:formula1>
          <xm:sqref>K73</xm:sqref>
        </x14:dataValidation>
        <x14:dataValidation type="list" allowBlank="1" showInputMessage="1" showErrorMessage="1" xr:uid="{96532DF8-8F3C-45C4-BFE7-2D9CE95B0FB5}">
          <x14:formula1>
            <xm:f>Sheet1!$F$3:$F$51</xm:f>
          </x14:formula1>
          <xm:sqref>J26:J28 J20:J24 J47:J53</xm:sqref>
        </x14:dataValidation>
        <x14:dataValidation type="list" allowBlank="1" showInputMessage="1" showErrorMessage="1" xr:uid="{B98F3363-8FA7-4289-9F8D-F2607293DD7D}">
          <x14:formula1>
            <xm:f>Sheet1!$C$3:$C$12</xm:f>
          </x14:formula1>
          <xm:sqref>H47:H53 H26:H28 E20:F24 E26:F28 H20:H24 E47:F53</xm:sqref>
        </x14:dataValidation>
        <x14:dataValidation type="list" allowBlank="1" showInputMessage="1" showErrorMessage="1" xr:uid="{6ABF0D5A-1BD9-4F62-980B-915D05076710}">
          <x14:formula1>
            <xm:f>Sheet1!$D$3:$D$12</xm:f>
          </x14:formula1>
          <xm:sqref>I26:I28 I20:I24 I47:I53</xm:sqref>
        </x14:dataValidation>
        <x14:dataValidation type="list" allowBlank="1" showInputMessage="1" showErrorMessage="1" xr:uid="{FAE89F33-459A-466E-B3B2-726847205677}">
          <x14:formula1>
            <xm:f>Sheet1!$E$3:$E$51</xm:f>
          </x14:formula1>
          <xm:sqref>G47:G53</xm:sqref>
        </x14:dataValidation>
        <x14:dataValidation type="list" allowBlank="1" showInputMessage="1" showErrorMessage="1" xr:uid="{DF393425-C21C-4457-AD6F-38CE94794C89}">
          <x14:formula1>
            <xm:f>Sheet1!$E$3:$E$42</xm:f>
          </x14:formula1>
          <xm:sqref>G26:G28 G20:G24</xm:sqref>
        </x14:dataValidation>
        <x14:dataValidation type="list" allowBlank="1" showInputMessage="1" showErrorMessage="1" xr:uid="{3BD46F33-756E-4B4B-8E7A-0A3D3AB6455C}">
          <x14:formula1>
            <xm:f>Sheet1!$B$3:$B$19</xm:f>
          </x14:formula1>
          <xm:sqref>K76:K90 K97:K122 K129:K132 K67:K68 K35:K37 K40:K41 K45:K60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AA35-09F1-4935-9E14-A9C3C3FD1189}">
  <dimension ref="A1:K237"/>
  <sheetViews>
    <sheetView topLeftCell="A224" workbookViewId="0">
      <selection activeCell="A228" sqref="A228:K236"/>
    </sheetView>
  </sheetViews>
  <sheetFormatPr defaultRowHeight="15" x14ac:dyDescent="0.25"/>
  <cols>
    <col min="1" max="1" width="5.42578125" customWidth="1"/>
    <col min="2" max="2" width="15.7109375" customWidth="1"/>
    <col min="3" max="3" width="32.85546875" customWidth="1"/>
    <col min="4" max="4" width="14.7109375" customWidth="1"/>
    <col min="5" max="5" width="11.5703125" customWidth="1"/>
    <col min="6" max="6" width="12.42578125" customWidth="1"/>
    <col min="7" max="7" width="8.28515625" customWidth="1"/>
    <col min="8" max="8" width="9.28515625" customWidth="1"/>
    <col min="9" max="9" width="17.85546875" customWidth="1"/>
    <col min="10" max="10" width="19.140625" customWidth="1"/>
    <col min="11" max="11" width="22.140625" customWidth="1"/>
    <col min="13" max="13" width="31" customWidth="1"/>
  </cols>
  <sheetData>
    <row r="1" spans="1:11" ht="21.75" customHeight="1" x14ac:dyDescent="0.25">
      <c r="A1" s="150" t="s">
        <v>767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5.75" x14ac:dyDescent="0.25">
      <c r="A2" s="150" t="s">
        <v>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5.75" x14ac:dyDescent="0.25">
      <c r="A3" s="150" t="s">
        <v>62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30.75" customHeight="1" x14ac:dyDescent="0.25">
      <c r="A5" s="4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6" t="s">
        <v>7</v>
      </c>
      <c r="H5" s="4" t="s">
        <v>8</v>
      </c>
      <c r="I5" s="4" t="s">
        <v>9</v>
      </c>
      <c r="J5" s="4" t="s">
        <v>10</v>
      </c>
      <c r="K5" s="4" t="s">
        <v>11</v>
      </c>
    </row>
    <row r="6" spans="1:11" ht="19.149999999999999" customHeight="1" x14ac:dyDescent="0.25">
      <c r="A6" s="7">
        <v>1</v>
      </c>
      <c r="B6" s="8">
        <v>46174</v>
      </c>
      <c r="C6" s="9" t="s">
        <v>600</v>
      </c>
      <c r="D6" s="8">
        <v>46191</v>
      </c>
      <c r="E6" s="10">
        <v>1</v>
      </c>
      <c r="F6" s="10"/>
      <c r="G6" s="11"/>
      <c r="H6" s="11"/>
      <c r="I6" s="11"/>
      <c r="J6" s="11">
        <v>250000</v>
      </c>
      <c r="K6" s="12" t="s">
        <v>49</v>
      </c>
    </row>
    <row r="7" spans="1:11" ht="19.149999999999999" customHeight="1" x14ac:dyDescent="0.25">
      <c r="A7" s="13">
        <v>2</v>
      </c>
      <c r="B7" s="14"/>
      <c r="C7" s="15" t="s">
        <v>601</v>
      </c>
      <c r="D7" s="14">
        <v>46179</v>
      </c>
      <c r="E7" s="16"/>
      <c r="F7" s="16"/>
      <c r="G7" s="17">
        <v>50</v>
      </c>
      <c r="H7" s="17"/>
      <c r="I7" s="17"/>
      <c r="J7" s="17">
        <v>100000</v>
      </c>
      <c r="K7" s="18" t="s">
        <v>42</v>
      </c>
    </row>
    <row r="8" spans="1:11" ht="19.149999999999999" customHeight="1" x14ac:dyDescent="0.25">
      <c r="A8" s="13">
        <v>3</v>
      </c>
      <c r="B8" s="14"/>
      <c r="C8" s="18" t="s">
        <v>602</v>
      </c>
      <c r="D8" s="14">
        <v>46177</v>
      </c>
      <c r="E8" s="16">
        <v>2</v>
      </c>
      <c r="F8" s="16"/>
      <c r="G8" s="19"/>
      <c r="H8" s="17"/>
      <c r="I8" s="17"/>
      <c r="J8" s="17">
        <v>500000</v>
      </c>
      <c r="K8" s="18" t="s">
        <v>48</v>
      </c>
    </row>
    <row r="9" spans="1:11" ht="19.149999999999999" customHeight="1" x14ac:dyDescent="0.25">
      <c r="A9" s="13">
        <v>4</v>
      </c>
      <c r="B9" s="14"/>
      <c r="C9" s="15" t="s">
        <v>603</v>
      </c>
      <c r="D9" s="14">
        <v>46194</v>
      </c>
      <c r="E9" s="16">
        <v>1</v>
      </c>
      <c r="F9" s="16"/>
      <c r="G9" s="17"/>
      <c r="H9" s="17">
        <v>1</v>
      </c>
      <c r="I9" s="17"/>
      <c r="J9" s="17">
        <v>350000</v>
      </c>
      <c r="K9" s="18" t="s">
        <v>44</v>
      </c>
    </row>
    <row r="10" spans="1:11" ht="19.149999999999999" customHeight="1" x14ac:dyDescent="0.25">
      <c r="A10" s="13">
        <v>5</v>
      </c>
      <c r="B10" s="14">
        <v>46175</v>
      </c>
      <c r="C10" s="15" t="s">
        <v>604</v>
      </c>
      <c r="D10" s="14">
        <v>46194</v>
      </c>
      <c r="E10" s="16"/>
      <c r="F10" s="16"/>
      <c r="G10" s="17">
        <v>50</v>
      </c>
      <c r="H10" s="17"/>
      <c r="I10" s="17"/>
      <c r="J10" s="17">
        <v>100000</v>
      </c>
      <c r="K10" s="18" t="s">
        <v>42</v>
      </c>
    </row>
    <row r="11" spans="1:11" ht="19.149999999999999" customHeight="1" x14ac:dyDescent="0.25">
      <c r="A11" s="13">
        <v>6</v>
      </c>
      <c r="B11" s="14"/>
      <c r="C11" s="15" t="s">
        <v>605</v>
      </c>
      <c r="D11" s="14">
        <v>46201</v>
      </c>
      <c r="E11" s="16">
        <v>1</v>
      </c>
      <c r="F11" s="16"/>
      <c r="G11" s="17"/>
      <c r="H11" s="17"/>
      <c r="I11" s="17"/>
      <c r="J11" s="17">
        <v>250000</v>
      </c>
      <c r="K11" s="18" t="s">
        <v>47</v>
      </c>
    </row>
    <row r="12" spans="1:11" ht="19.149999999999999" customHeight="1" x14ac:dyDescent="0.25">
      <c r="A12" s="13">
        <v>7</v>
      </c>
      <c r="B12" s="14"/>
      <c r="C12" s="15" t="s">
        <v>606</v>
      </c>
      <c r="D12" s="14">
        <v>46180</v>
      </c>
      <c r="E12" s="16">
        <v>1</v>
      </c>
      <c r="F12" s="16"/>
      <c r="G12" s="17"/>
      <c r="H12" s="17"/>
      <c r="I12" s="17"/>
      <c r="J12" s="17">
        <v>250000</v>
      </c>
      <c r="K12" s="18" t="s">
        <v>47</v>
      </c>
    </row>
    <row r="13" spans="1:11" ht="19.149999999999999" customHeight="1" x14ac:dyDescent="0.25">
      <c r="A13" s="13">
        <v>8</v>
      </c>
      <c r="B13" s="14">
        <v>46176</v>
      </c>
      <c r="C13" s="15" t="s">
        <v>607</v>
      </c>
      <c r="D13" s="14">
        <v>46176</v>
      </c>
      <c r="E13" s="16">
        <v>1</v>
      </c>
      <c r="F13" s="16"/>
      <c r="G13" s="17"/>
      <c r="H13" s="17"/>
      <c r="I13" s="17"/>
      <c r="J13" s="17">
        <v>250000</v>
      </c>
      <c r="K13" s="18" t="s">
        <v>41</v>
      </c>
    </row>
    <row r="14" spans="1:11" ht="19.149999999999999" customHeight="1" x14ac:dyDescent="0.25">
      <c r="A14" s="13">
        <v>9</v>
      </c>
      <c r="B14" s="14"/>
      <c r="C14" s="15" t="s">
        <v>608</v>
      </c>
      <c r="D14" s="14">
        <v>46184</v>
      </c>
      <c r="E14" s="16"/>
      <c r="F14" s="16"/>
      <c r="G14" s="17">
        <v>100</v>
      </c>
      <c r="H14" s="17"/>
      <c r="I14" s="17"/>
      <c r="J14" s="17">
        <v>200000</v>
      </c>
      <c r="K14" s="18" t="s">
        <v>50</v>
      </c>
    </row>
    <row r="15" spans="1:11" ht="19.149999999999999" customHeight="1" x14ac:dyDescent="0.25">
      <c r="A15" s="13">
        <v>10</v>
      </c>
      <c r="B15" s="14"/>
      <c r="C15" s="15" t="s">
        <v>609</v>
      </c>
      <c r="D15" s="14">
        <v>46191</v>
      </c>
      <c r="E15" s="16">
        <v>1</v>
      </c>
      <c r="F15" s="16"/>
      <c r="G15" s="17"/>
      <c r="H15" s="17"/>
      <c r="I15" s="17"/>
      <c r="J15" s="17">
        <v>250000</v>
      </c>
      <c r="K15" s="18" t="s">
        <v>41</v>
      </c>
    </row>
    <row r="16" spans="1:11" ht="19.149999999999999" customHeight="1" x14ac:dyDescent="0.25">
      <c r="A16" s="13">
        <v>11</v>
      </c>
      <c r="B16" s="14"/>
      <c r="C16" s="15" t="s">
        <v>610</v>
      </c>
      <c r="D16" s="14">
        <v>46192</v>
      </c>
      <c r="E16" s="16">
        <v>1</v>
      </c>
      <c r="F16" s="16"/>
      <c r="G16" s="17"/>
      <c r="H16" s="17"/>
      <c r="I16" s="17"/>
      <c r="J16" s="17">
        <v>250000</v>
      </c>
      <c r="K16" s="18" t="s">
        <v>43</v>
      </c>
    </row>
    <row r="17" spans="1:11" ht="19.149999999999999" customHeight="1" x14ac:dyDescent="0.25">
      <c r="A17" s="13">
        <v>12</v>
      </c>
      <c r="B17" s="14"/>
      <c r="C17" s="15" t="s">
        <v>611</v>
      </c>
      <c r="D17" s="14">
        <v>46222</v>
      </c>
      <c r="E17" s="16">
        <v>1</v>
      </c>
      <c r="F17" s="16"/>
      <c r="G17" s="17"/>
      <c r="H17" s="17"/>
      <c r="I17" s="17"/>
      <c r="J17" s="17">
        <v>250000</v>
      </c>
      <c r="K17" s="18" t="s">
        <v>47</v>
      </c>
    </row>
    <row r="18" spans="1:11" ht="19.149999999999999" customHeight="1" x14ac:dyDescent="0.25">
      <c r="A18" s="13">
        <v>13</v>
      </c>
      <c r="B18" s="18"/>
      <c r="C18" s="15" t="s">
        <v>612</v>
      </c>
      <c r="D18" s="20">
        <v>46182</v>
      </c>
      <c r="E18" s="16"/>
      <c r="F18" s="18">
        <v>1</v>
      </c>
      <c r="G18" s="18"/>
      <c r="H18" s="18"/>
      <c r="I18" s="18" t="s">
        <v>98</v>
      </c>
      <c r="J18" s="17">
        <v>1750000</v>
      </c>
      <c r="K18" s="18" t="s">
        <v>99</v>
      </c>
    </row>
    <row r="19" spans="1:11" ht="19.149999999999999" customHeight="1" x14ac:dyDescent="0.25">
      <c r="A19" s="13">
        <v>14</v>
      </c>
      <c r="B19" s="14"/>
      <c r="C19" s="15" t="s">
        <v>613</v>
      </c>
      <c r="D19" s="14">
        <v>46193</v>
      </c>
      <c r="E19" s="16"/>
      <c r="F19" s="16"/>
      <c r="G19" s="17">
        <v>100</v>
      </c>
      <c r="H19" s="17"/>
      <c r="I19" s="17"/>
      <c r="J19" s="17">
        <v>200000</v>
      </c>
      <c r="K19" s="18" t="s">
        <v>50</v>
      </c>
    </row>
    <row r="20" spans="1:11" x14ac:dyDescent="0.25">
      <c r="A20" s="13">
        <v>15</v>
      </c>
      <c r="B20" s="20">
        <v>46177</v>
      </c>
      <c r="C20" s="15" t="s">
        <v>614</v>
      </c>
      <c r="D20" s="20">
        <v>46177</v>
      </c>
      <c r="E20" s="16">
        <v>1</v>
      </c>
      <c r="F20" s="18"/>
      <c r="G20" s="18"/>
      <c r="H20" s="18"/>
      <c r="I20" s="18"/>
      <c r="J20" s="17">
        <v>250000</v>
      </c>
      <c r="K20" s="18" t="s">
        <v>43</v>
      </c>
    </row>
    <row r="21" spans="1:11" ht="19.149999999999999" customHeight="1" x14ac:dyDescent="0.25">
      <c r="A21" s="13">
        <v>16</v>
      </c>
      <c r="B21" s="14"/>
      <c r="C21" s="21" t="s">
        <v>615</v>
      </c>
      <c r="D21" s="14">
        <v>46179</v>
      </c>
      <c r="E21" s="16"/>
      <c r="F21" s="16"/>
      <c r="G21" s="17">
        <v>50</v>
      </c>
      <c r="H21" s="17"/>
      <c r="I21" s="17"/>
      <c r="J21" s="17">
        <v>100000</v>
      </c>
      <c r="K21" s="18" t="s">
        <v>46</v>
      </c>
    </row>
    <row r="22" spans="1:11" ht="19.149999999999999" customHeight="1" x14ac:dyDescent="0.25">
      <c r="A22" s="13">
        <v>17</v>
      </c>
      <c r="B22" s="14"/>
      <c r="C22" s="21" t="s">
        <v>616</v>
      </c>
      <c r="D22" s="14">
        <v>46180</v>
      </c>
      <c r="E22" s="16"/>
      <c r="F22" s="16"/>
      <c r="G22" s="17">
        <v>50</v>
      </c>
      <c r="H22" s="17"/>
      <c r="I22" s="17"/>
      <c r="J22" s="17">
        <v>100000</v>
      </c>
      <c r="K22" s="18" t="s">
        <v>617</v>
      </c>
    </row>
    <row r="23" spans="1:11" ht="19.149999999999999" customHeight="1" x14ac:dyDescent="0.25">
      <c r="A23" s="13">
        <v>18</v>
      </c>
      <c r="B23" s="14"/>
      <c r="C23" s="21" t="s">
        <v>618</v>
      </c>
      <c r="D23" s="14">
        <v>46186</v>
      </c>
      <c r="E23" s="16"/>
      <c r="F23" s="16">
        <v>1</v>
      </c>
      <c r="G23" s="17"/>
      <c r="H23" s="17"/>
      <c r="I23" s="18" t="s">
        <v>98</v>
      </c>
      <c r="J23" s="17">
        <v>1750000</v>
      </c>
      <c r="K23" s="18" t="s">
        <v>99</v>
      </c>
    </row>
    <row r="24" spans="1:11" ht="19.149999999999999" customHeight="1" x14ac:dyDescent="0.25">
      <c r="A24" s="13">
        <v>19</v>
      </c>
      <c r="B24" s="14">
        <v>46178</v>
      </c>
      <c r="C24" s="15" t="s">
        <v>619</v>
      </c>
      <c r="D24" s="14">
        <v>46194</v>
      </c>
      <c r="E24" s="16"/>
      <c r="F24" s="16"/>
      <c r="G24" s="17">
        <v>50</v>
      </c>
      <c r="H24" s="17"/>
      <c r="I24" s="17"/>
      <c r="J24" s="17">
        <v>100000</v>
      </c>
      <c r="K24" s="18" t="s">
        <v>46</v>
      </c>
    </row>
    <row r="25" spans="1:11" ht="19.149999999999999" customHeight="1" x14ac:dyDescent="0.25">
      <c r="A25" s="13">
        <v>20</v>
      </c>
      <c r="B25" s="14"/>
      <c r="C25" s="15" t="s">
        <v>620</v>
      </c>
      <c r="D25" s="14">
        <v>46200</v>
      </c>
      <c r="E25" s="16"/>
      <c r="F25" s="16"/>
      <c r="G25" s="17">
        <v>50</v>
      </c>
      <c r="H25" s="17"/>
      <c r="I25" s="17"/>
      <c r="J25" s="17">
        <v>100000</v>
      </c>
      <c r="K25" s="18" t="s">
        <v>50</v>
      </c>
    </row>
    <row r="26" spans="1:11" ht="19.149999999999999" customHeight="1" x14ac:dyDescent="0.25">
      <c r="A26" s="13">
        <v>21</v>
      </c>
      <c r="B26" s="14"/>
      <c r="C26" s="15" t="s">
        <v>621</v>
      </c>
      <c r="D26" s="14">
        <v>46201</v>
      </c>
      <c r="E26" s="16"/>
      <c r="F26" s="16"/>
      <c r="G26" s="17">
        <v>50</v>
      </c>
      <c r="H26" s="17"/>
      <c r="I26" s="17"/>
      <c r="J26" s="17">
        <v>100000</v>
      </c>
      <c r="K26" s="18" t="s">
        <v>50</v>
      </c>
    </row>
    <row r="27" spans="1:11" ht="19.149999999999999" customHeight="1" x14ac:dyDescent="0.25">
      <c r="A27" s="13">
        <v>22</v>
      </c>
      <c r="B27" s="14"/>
      <c r="C27" s="15" t="s">
        <v>622</v>
      </c>
      <c r="D27" s="14">
        <v>46180</v>
      </c>
      <c r="E27" s="16"/>
      <c r="F27" s="16"/>
      <c r="G27" s="17">
        <v>50</v>
      </c>
      <c r="H27" s="17"/>
      <c r="I27" s="17"/>
      <c r="J27" s="17">
        <v>100000</v>
      </c>
      <c r="K27" s="18" t="s">
        <v>46</v>
      </c>
    </row>
    <row r="28" spans="1:11" ht="19.149999999999999" customHeight="1" x14ac:dyDescent="0.25">
      <c r="A28" s="13">
        <v>23</v>
      </c>
      <c r="B28" s="14"/>
      <c r="C28" s="21" t="s">
        <v>623</v>
      </c>
      <c r="D28" s="14">
        <v>46178</v>
      </c>
      <c r="E28" s="16"/>
      <c r="F28" s="16">
        <v>2</v>
      </c>
      <c r="G28" s="17">
        <v>1500</v>
      </c>
      <c r="H28" s="22"/>
      <c r="I28" s="22" t="s">
        <v>98</v>
      </c>
      <c r="J28" s="17">
        <v>6500000</v>
      </c>
      <c r="K28" s="21" t="s">
        <v>624</v>
      </c>
    </row>
    <row r="29" spans="1:11" ht="19.149999999999999" customHeight="1" x14ac:dyDescent="0.25">
      <c r="A29" s="13">
        <v>24</v>
      </c>
      <c r="B29" s="14"/>
      <c r="C29" s="21" t="s">
        <v>667</v>
      </c>
      <c r="D29" s="14">
        <v>46189</v>
      </c>
      <c r="E29" s="23">
        <v>1</v>
      </c>
      <c r="F29" s="22"/>
      <c r="G29" s="22"/>
      <c r="H29" s="22">
        <v>1</v>
      </c>
      <c r="I29" s="22"/>
      <c r="J29" s="17">
        <v>350000</v>
      </c>
      <c r="K29" s="18" t="s">
        <v>43</v>
      </c>
    </row>
    <row r="30" spans="1:11" ht="20.25" customHeight="1" x14ac:dyDescent="0.25">
      <c r="A30" s="4"/>
      <c r="B30" s="30"/>
      <c r="C30" s="151" t="s">
        <v>12</v>
      </c>
      <c r="D30" s="151"/>
      <c r="E30" s="43">
        <f t="shared" ref="E30:J30" si="0">SUM(E6:E29)</f>
        <v>12</v>
      </c>
      <c r="F30" s="43">
        <f t="shared" si="0"/>
        <v>4</v>
      </c>
      <c r="G30" s="43">
        <f t="shared" si="0"/>
        <v>2100</v>
      </c>
      <c r="H30" s="43">
        <f t="shared" si="0"/>
        <v>2</v>
      </c>
      <c r="I30" s="43">
        <f t="shared" si="0"/>
        <v>0</v>
      </c>
      <c r="J30" s="43">
        <f t="shared" si="0"/>
        <v>14400000</v>
      </c>
      <c r="K30" s="30"/>
    </row>
    <row r="31" spans="1:11" ht="15.75" x14ac:dyDescent="0.25">
      <c r="A31" s="52"/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1" ht="15.75" x14ac:dyDescent="0.25">
      <c r="A32" s="53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1" ht="15.75" x14ac:dyDescent="0.25">
      <c r="A33" s="53"/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1:11" ht="15.75" x14ac:dyDescent="0.25">
      <c r="A34" s="53"/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1:11" ht="15.75" x14ac:dyDescent="0.25">
      <c r="A35" s="53"/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spans="1:11" ht="30.75" customHeight="1" x14ac:dyDescent="0.25">
      <c r="A36" s="4"/>
      <c r="B36" s="5" t="s">
        <v>2</v>
      </c>
      <c r="C36" s="5" t="s">
        <v>3</v>
      </c>
      <c r="D36" s="5" t="s">
        <v>4</v>
      </c>
      <c r="E36" s="5" t="s">
        <v>5</v>
      </c>
      <c r="F36" s="5" t="s">
        <v>6</v>
      </c>
      <c r="G36" s="6" t="s">
        <v>7</v>
      </c>
      <c r="H36" s="4" t="s">
        <v>8</v>
      </c>
      <c r="I36" s="4" t="s">
        <v>9</v>
      </c>
      <c r="J36" s="4" t="s">
        <v>10</v>
      </c>
      <c r="K36" s="4" t="s">
        <v>11</v>
      </c>
    </row>
    <row r="37" spans="1:11" ht="19.149999999999999" customHeight="1" x14ac:dyDescent="0.25">
      <c r="A37" s="7"/>
      <c r="B37" s="153" t="s">
        <v>13</v>
      </c>
      <c r="C37" s="153"/>
      <c r="D37" s="153"/>
      <c r="E37" s="44">
        <f t="shared" ref="E37:J37" si="1">E30</f>
        <v>12</v>
      </c>
      <c r="F37" s="44">
        <f t="shared" si="1"/>
        <v>4</v>
      </c>
      <c r="G37" s="44">
        <f t="shared" si="1"/>
        <v>2100</v>
      </c>
      <c r="H37" s="44">
        <f t="shared" si="1"/>
        <v>2</v>
      </c>
      <c r="I37" s="44">
        <f t="shared" si="1"/>
        <v>0</v>
      </c>
      <c r="J37" s="44">
        <f t="shared" si="1"/>
        <v>14400000</v>
      </c>
      <c r="K37" s="18"/>
    </row>
    <row r="38" spans="1:11" ht="19.149999999999999" customHeight="1" x14ac:dyDescent="0.25">
      <c r="A38" s="13">
        <v>25</v>
      </c>
      <c r="B38" s="14">
        <v>46178</v>
      </c>
      <c r="C38" s="125" t="s">
        <v>668</v>
      </c>
      <c r="D38" s="14">
        <v>46178</v>
      </c>
      <c r="E38" s="124">
        <v>1</v>
      </c>
      <c r="F38" s="124"/>
      <c r="G38" s="124"/>
      <c r="H38" s="124"/>
      <c r="I38" s="124"/>
      <c r="J38" s="124">
        <v>250000</v>
      </c>
      <c r="K38" s="18" t="s">
        <v>43</v>
      </c>
    </row>
    <row r="39" spans="1:11" ht="19.149999999999999" customHeight="1" x14ac:dyDescent="0.25">
      <c r="A39" s="13">
        <v>26</v>
      </c>
      <c r="B39" s="46"/>
      <c r="C39" s="125" t="s">
        <v>669</v>
      </c>
      <c r="D39" s="102">
        <v>46214</v>
      </c>
      <c r="E39" s="124">
        <v>1</v>
      </c>
      <c r="F39" s="124"/>
      <c r="G39" s="124"/>
      <c r="H39" s="124"/>
      <c r="I39" s="124"/>
      <c r="J39" s="124">
        <v>250000</v>
      </c>
      <c r="K39" s="18" t="s">
        <v>631</v>
      </c>
    </row>
    <row r="40" spans="1:11" ht="19.149999999999999" customHeight="1" x14ac:dyDescent="0.25">
      <c r="A40" s="13">
        <v>27</v>
      </c>
      <c r="B40" s="46"/>
      <c r="C40" s="125"/>
      <c r="D40" s="102"/>
      <c r="E40" s="124"/>
      <c r="F40" s="124"/>
      <c r="G40" s="124">
        <v>50</v>
      </c>
      <c r="H40" s="124"/>
      <c r="I40" s="124"/>
      <c r="J40" s="124">
        <v>100000</v>
      </c>
      <c r="K40" s="18"/>
    </row>
    <row r="41" spans="1:11" ht="19.149999999999999" customHeight="1" x14ac:dyDescent="0.25">
      <c r="A41" s="13">
        <v>28</v>
      </c>
      <c r="B41" s="14">
        <v>46179</v>
      </c>
      <c r="C41" s="21" t="s">
        <v>625</v>
      </c>
      <c r="D41" s="14">
        <v>46180</v>
      </c>
      <c r="E41" s="23"/>
      <c r="F41" s="22"/>
      <c r="G41" s="22">
        <v>75</v>
      </c>
      <c r="H41" s="22"/>
      <c r="I41" s="22"/>
      <c r="J41" s="17">
        <v>150000</v>
      </c>
      <c r="K41" s="21" t="s">
        <v>626</v>
      </c>
    </row>
    <row r="42" spans="1:11" ht="19.149999999999999" customHeight="1" x14ac:dyDescent="0.25">
      <c r="A42" s="13">
        <v>29</v>
      </c>
      <c r="B42" s="14"/>
      <c r="C42" s="21" t="s">
        <v>627</v>
      </c>
      <c r="D42" s="14">
        <v>46222</v>
      </c>
      <c r="E42" s="23">
        <v>2</v>
      </c>
      <c r="F42" s="23"/>
      <c r="G42" s="26"/>
      <c r="H42" s="26"/>
      <c r="I42" s="26"/>
      <c r="J42" s="17">
        <v>500000</v>
      </c>
      <c r="K42" s="18" t="s">
        <v>48</v>
      </c>
    </row>
    <row r="43" spans="1:11" ht="19.149999999999999" customHeight="1" x14ac:dyDescent="0.25">
      <c r="A43" s="13">
        <v>30</v>
      </c>
      <c r="B43" s="14"/>
      <c r="C43" s="15" t="s">
        <v>628</v>
      </c>
      <c r="D43" s="14">
        <v>46180</v>
      </c>
      <c r="E43" s="23"/>
      <c r="F43" s="23"/>
      <c r="G43" s="26">
        <v>150</v>
      </c>
      <c r="H43" s="26"/>
      <c r="I43" s="26"/>
      <c r="J43" s="17">
        <v>300000</v>
      </c>
      <c r="K43" s="18" t="s">
        <v>626</v>
      </c>
    </row>
    <row r="44" spans="1:11" ht="19.149999999999999" customHeight="1" x14ac:dyDescent="0.25">
      <c r="A44" s="13">
        <v>31</v>
      </c>
      <c r="B44" s="14"/>
      <c r="C44" s="15" t="s">
        <v>629</v>
      </c>
      <c r="D44" s="14">
        <v>46180</v>
      </c>
      <c r="E44" s="16"/>
      <c r="F44" s="16"/>
      <c r="G44" s="17">
        <v>50</v>
      </c>
      <c r="H44" s="17"/>
      <c r="I44" s="17"/>
      <c r="J44" s="17">
        <v>100000</v>
      </c>
      <c r="K44" s="18" t="s">
        <v>626</v>
      </c>
    </row>
    <row r="45" spans="1:11" ht="19.149999999999999" customHeight="1" x14ac:dyDescent="0.25">
      <c r="A45" s="13">
        <v>32</v>
      </c>
      <c r="B45" s="14"/>
      <c r="C45" s="15" t="s">
        <v>630</v>
      </c>
      <c r="D45" s="14">
        <v>46182</v>
      </c>
      <c r="E45" s="16">
        <v>1</v>
      </c>
      <c r="F45" s="16"/>
      <c r="G45" s="17"/>
      <c r="H45" s="17"/>
      <c r="I45" s="17"/>
      <c r="J45" s="17">
        <v>250000</v>
      </c>
      <c r="K45" s="18" t="s">
        <v>631</v>
      </c>
    </row>
    <row r="46" spans="1:11" ht="19.149999999999999" customHeight="1" x14ac:dyDescent="0.25">
      <c r="A46" s="13">
        <v>33</v>
      </c>
      <c r="B46" s="14"/>
      <c r="C46" s="15" t="s">
        <v>632</v>
      </c>
      <c r="D46" s="14">
        <v>46179</v>
      </c>
      <c r="E46" s="16"/>
      <c r="F46" s="16"/>
      <c r="G46" s="17"/>
      <c r="H46" s="17">
        <v>1</v>
      </c>
      <c r="I46" s="17"/>
      <c r="J46" s="17">
        <v>100000</v>
      </c>
      <c r="K46" s="18"/>
    </row>
    <row r="47" spans="1:11" ht="19.149999999999999" customHeight="1" x14ac:dyDescent="0.25">
      <c r="A47" s="13">
        <v>34</v>
      </c>
      <c r="B47" s="14">
        <v>46180</v>
      </c>
      <c r="C47" s="15" t="s">
        <v>633</v>
      </c>
      <c r="D47" s="14">
        <v>46215</v>
      </c>
      <c r="E47" s="16">
        <v>2</v>
      </c>
      <c r="F47" s="16"/>
      <c r="G47" s="17"/>
      <c r="H47" s="17"/>
      <c r="I47" s="17"/>
      <c r="J47" s="17">
        <v>500000</v>
      </c>
      <c r="K47" s="18" t="s">
        <v>48</v>
      </c>
    </row>
    <row r="48" spans="1:11" ht="19.149999999999999" customHeight="1" x14ac:dyDescent="0.25">
      <c r="A48" s="13">
        <v>35</v>
      </c>
      <c r="B48" s="14"/>
      <c r="C48" s="15" t="s">
        <v>634</v>
      </c>
      <c r="D48" s="14">
        <v>46183</v>
      </c>
      <c r="E48" s="16"/>
      <c r="F48" s="16"/>
      <c r="G48" s="17">
        <v>100</v>
      </c>
      <c r="H48" s="17"/>
      <c r="I48" s="17"/>
      <c r="J48" s="17">
        <v>200000</v>
      </c>
      <c r="K48" s="18" t="s">
        <v>626</v>
      </c>
    </row>
    <row r="49" spans="1:11" ht="19.149999999999999" customHeight="1" x14ac:dyDescent="0.25">
      <c r="A49" s="13">
        <v>36</v>
      </c>
      <c r="B49" s="14"/>
      <c r="C49" s="15" t="s">
        <v>635</v>
      </c>
      <c r="D49" s="14">
        <v>46214</v>
      </c>
      <c r="E49" s="16">
        <v>1</v>
      </c>
      <c r="F49" s="16"/>
      <c r="G49" s="17"/>
      <c r="H49" s="17"/>
      <c r="I49" s="17"/>
      <c r="J49" s="17">
        <v>250000</v>
      </c>
      <c r="K49" s="18" t="s">
        <v>44</v>
      </c>
    </row>
    <row r="50" spans="1:11" ht="19.149999999999999" customHeight="1" x14ac:dyDescent="0.25">
      <c r="A50" s="13">
        <v>37</v>
      </c>
      <c r="B50" s="14"/>
      <c r="C50" s="15" t="s">
        <v>637</v>
      </c>
      <c r="D50" s="14">
        <v>46186</v>
      </c>
      <c r="E50" s="16"/>
      <c r="F50" s="16"/>
      <c r="G50" s="17">
        <v>100</v>
      </c>
      <c r="H50" s="17"/>
      <c r="I50" s="17"/>
      <c r="J50" s="17">
        <v>200000</v>
      </c>
      <c r="K50" s="18" t="s">
        <v>636</v>
      </c>
    </row>
    <row r="51" spans="1:11" ht="19.149999999999999" customHeight="1" x14ac:dyDescent="0.25">
      <c r="A51" s="13">
        <v>38</v>
      </c>
      <c r="B51" s="14">
        <v>46181</v>
      </c>
      <c r="C51" s="15" t="s">
        <v>638</v>
      </c>
      <c r="D51" s="14">
        <v>46189</v>
      </c>
      <c r="E51" s="16"/>
      <c r="F51" s="16"/>
      <c r="G51" s="17">
        <v>50</v>
      </c>
      <c r="H51" s="17"/>
      <c r="I51" s="17"/>
      <c r="J51" s="17">
        <v>100000</v>
      </c>
      <c r="K51" s="18" t="s">
        <v>626</v>
      </c>
    </row>
    <row r="52" spans="1:11" ht="19.149999999999999" customHeight="1" x14ac:dyDescent="0.25">
      <c r="A52" s="13">
        <v>39</v>
      </c>
      <c r="B52" s="14"/>
      <c r="C52" s="15" t="s">
        <v>639</v>
      </c>
      <c r="D52" s="14">
        <v>46243</v>
      </c>
      <c r="E52" s="16">
        <v>1</v>
      </c>
      <c r="F52" s="16"/>
      <c r="G52" s="17"/>
      <c r="H52" s="17"/>
      <c r="I52" s="17"/>
      <c r="J52" s="17">
        <v>250000</v>
      </c>
      <c r="K52" s="18" t="s">
        <v>44</v>
      </c>
    </row>
    <row r="53" spans="1:11" ht="19.149999999999999" customHeight="1" x14ac:dyDescent="0.25">
      <c r="A53" s="13">
        <v>40</v>
      </c>
      <c r="B53" s="14"/>
      <c r="C53" s="15" t="s">
        <v>640</v>
      </c>
      <c r="D53" s="14">
        <v>46191</v>
      </c>
      <c r="E53" s="16">
        <v>1</v>
      </c>
      <c r="F53" s="16"/>
      <c r="G53" s="17"/>
      <c r="H53" s="17"/>
      <c r="I53" s="17"/>
      <c r="J53" s="17">
        <v>250000</v>
      </c>
      <c r="K53" s="18" t="s">
        <v>43</v>
      </c>
    </row>
    <row r="54" spans="1:11" ht="19.149999999999999" customHeight="1" x14ac:dyDescent="0.25">
      <c r="A54" s="13">
        <v>41</v>
      </c>
      <c r="B54" s="14"/>
      <c r="C54" s="15" t="s">
        <v>641</v>
      </c>
      <c r="D54" s="14">
        <v>46201</v>
      </c>
      <c r="E54" s="16"/>
      <c r="F54" s="16"/>
      <c r="G54" s="17">
        <v>100</v>
      </c>
      <c r="H54" s="17"/>
      <c r="I54" s="17"/>
      <c r="J54" s="17">
        <v>200000</v>
      </c>
      <c r="K54" s="18" t="s">
        <v>626</v>
      </c>
    </row>
    <row r="55" spans="1:11" ht="19.149999999999999" customHeight="1" x14ac:dyDescent="0.25">
      <c r="A55" s="13">
        <v>42</v>
      </c>
      <c r="B55" s="14"/>
      <c r="C55" s="15" t="s">
        <v>642</v>
      </c>
      <c r="D55" s="14">
        <v>46207</v>
      </c>
      <c r="E55" s="16">
        <v>1</v>
      </c>
      <c r="F55" s="16"/>
      <c r="G55" s="17"/>
      <c r="H55" s="17"/>
      <c r="I55" s="17"/>
      <c r="J55" s="17">
        <v>250000</v>
      </c>
      <c r="K55" s="18" t="s">
        <v>631</v>
      </c>
    </row>
    <row r="56" spans="1:11" ht="19.149999999999999" customHeight="1" x14ac:dyDescent="0.25">
      <c r="A56" s="13">
        <v>43</v>
      </c>
      <c r="B56" s="14"/>
      <c r="C56" s="15" t="s">
        <v>643</v>
      </c>
      <c r="D56" s="14">
        <v>46201</v>
      </c>
      <c r="E56" s="16"/>
      <c r="F56" s="16">
        <v>1</v>
      </c>
      <c r="G56" s="17"/>
      <c r="H56" s="17"/>
      <c r="I56" s="17" t="s">
        <v>98</v>
      </c>
      <c r="J56" s="17">
        <v>1750000</v>
      </c>
      <c r="K56" s="18" t="s">
        <v>99</v>
      </c>
    </row>
    <row r="57" spans="1:11" ht="19.149999999999999" customHeight="1" x14ac:dyDescent="0.25">
      <c r="A57" s="13">
        <v>44</v>
      </c>
      <c r="B57" s="14"/>
      <c r="C57" s="15" t="s">
        <v>644</v>
      </c>
      <c r="D57" s="14">
        <v>46187</v>
      </c>
      <c r="E57" s="16"/>
      <c r="F57" s="16">
        <v>1</v>
      </c>
      <c r="G57" s="17"/>
      <c r="H57" s="17"/>
      <c r="I57" s="17" t="s">
        <v>98</v>
      </c>
      <c r="J57" s="17">
        <v>1750000</v>
      </c>
      <c r="K57" s="18" t="s">
        <v>99</v>
      </c>
    </row>
    <row r="58" spans="1:11" ht="19.149999999999999" customHeight="1" x14ac:dyDescent="0.25">
      <c r="A58" s="13">
        <v>45</v>
      </c>
      <c r="B58" s="14">
        <v>46182</v>
      </c>
      <c r="C58" s="15" t="s">
        <v>645</v>
      </c>
      <c r="D58" s="14">
        <v>46186</v>
      </c>
      <c r="E58" s="16">
        <v>1</v>
      </c>
      <c r="F58" s="16"/>
      <c r="G58" s="17"/>
      <c r="H58" s="17"/>
      <c r="I58" s="17"/>
      <c r="J58" s="17">
        <v>250000</v>
      </c>
      <c r="K58" s="18" t="s">
        <v>44</v>
      </c>
    </row>
    <row r="59" spans="1:11" ht="19.149999999999999" customHeight="1" x14ac:dyDescent="0.25">
      <c r="A59" s="13">
        <v>46</v>
      </c>
      <c r="B59" s="27"/>
      <c r="C59" s="21" t="s">
        <v>646</v>
      </c>
      <c r="D59" s="14">
        <v>46200</v>
      </c>
      <c r="E59" s="16"/>
      <c r="F59" s="16"/>
      <c r="G59" s="17">
        <v>100</v>
      </c>
      <c r="H59" s="17"/>
      <c r="I59" s="17"/>
      <c r="J59" s="17">
        <v>200000</v>
      </c>
      <c r="K59" s="18" t="s">
        <v>647</v>
      </c>
    </row>
    <row r="60" spans="1:11" ht="19.149999999999999" customHeight="1" x14ac:dyDescent="0.25">
      <c r="A60" s="13">
        <v>47</v>
      </c>
      <c r="B60" s="14"/>
      <c r="C60" s="15" t="s">
        <v>648</v>
      </c>
      <c r="D60" s="14">
        <v>46187</v>
      </c>
      <c r="E60" s="16"/>
      <c r="F60" s="16"/>
      <c r="G60" s="17">
        <v>50</v>
      </c>
      <c r="H60" s="17"/>
      <c r="I60" s="17"/>
      <c r="J60" s="17">
        <v>100000</v>
      </c>
      <c r="K60" s="18" t="s">
        <v>626</v>
      </c>
    </row>
    <row r="61" spans="1:11" ht="19.149999999999999" customHeight="1" x14ac:dyDescent="0.25">
      <c r="A61" s="13">
        <v>48</v>
      </c>
      <c r="B61" s="14"/>
      <c r="C61" s="15" t="s">
        <v>649</v>
      </c>
      <c r="D61" s="14">
        <v>46187</v>
      </c>
      <c r="E61" s="16"/>
      <c r="F61" s="16"/>
      <c r="G61" s="17">
        <v>50</v>
      </c>
      <c r="H61" s="17"/>
      <c r="I61" s="17"/>
      <c r="J61" s="17">
        <v>100000</v>
      </c>
      <c r="K61" s="18" t="s">
        <v>50</v>
      </c>
    </row>
    <row r="62" spans="1:11" ht="19.149999999999999" customHeight="1" x14ac:dyDescent="0.25">
      <c r="A62" s="13">
        <v>49</v>
      </c>
      <c r="B62" s="14"/>
      <c r="C62" s="15" t="s">
        <v>650</v>
      </c>
      <c r="D62" s="14">
        <v>46194</v>
      </c>
      <c r="E62" s="16"/>
      <c r="F62" s="16"/>
      <c r="G62" s="17">
        <v>50</v>
      </c>
      <c r="H62" s="17"/>
      <c r="I62" s="17"/>
      <c r="J62" s="17">
        <v>100000</v>
      </c>
      <c r="K62" s="18" t="s">
        <v>626</v>
      </c>
    </row>
    <row r="63" spans="1:11" ht="20.25" customHeight="1" x14ac:dyDescent="0.25">
      <c r="A63" s="4"/>
      <c r="B63" s="30"/>
      <c r="C63" s="151" t="s">
        <v>12</v>
      </c>
      <c r="D63" s="151"/>
      <c r="E63" s="45">
        <f t="shared" ref="E63:J63" si="2">SUM(E37:E62)</f>
        <v>24</v>
      </c>
      <c r="F63" s="45">
        <f t="shared" si="2"/>
        <v>6</v>
      </c>
      <c r="G63" s="45">
        <f t="shared" si="2"/>
        <v>3025</v>
      </c>
      <c r="H63" s="45">
        <f t="shared" si="2"/>
        <v>3</v>
      </c>
      <c r="I63" s="45">
        <f t="shared" si="2"/>
        <v>0</v>
      </c>
      <c r="J63" s="45">
        <f t="shared" si="2"/>
        <v>22850000</v>
      </c>
      <c r="K63" s="30"/>
    </row>
    <row r="64" spans="1:11" ht="15.75" x14ac:dyDescent="0.25">
      <c r="A64" s="50"/>
      <c r="B64" s="24"/>
      <c r="C64" s="24"/>
      <c r="D64" s="24"/>
      <c r="E64" s="24"/>
      <c r="F64" s="24"/>
      <c r="G64" s="24"/>
      <c r="H64" s="24"/>
      <c r="I64" s="24"/>
      <c r="J64" s="24"/>
      <c r="K64" s="24"/>
    </row>
    <row r="65" spans="1:11" ht="15.75" x14ac:dyDescent="0.25">
      <c r="A65" s="50"/>
      <c r="B65" s="24"/>
      <c r="C65" s="24"/>
      <c r="D65" s="24"/>
      <c r="E65" s="24"/>
      <c r="F65" s="24"/>
      <c r="G65" s="24"/>
      <c r="H65" s="24"/>
      <c r="I65" s="24"/>
      <c r="J65" s="24"/>
      <c r="K65" s="24"/>
    </row>
    <row r="66" spans="1:11" ht="15.75" x14ac:dyDescent="0.25">
      <c r="A66" s="50"/>
      <c r="B66" s="24"/>
      <c r="C66" s="24"/>
      <c r="D66" s="24"/>
      <c r="E66" s="24"/>
      <c r="F66" s="24"/>
      <c r="G66" s="24"/>
      <c r="H66" s="24"/>
      <c r="I66" s="24"/>
      <c r="J66" s="24"/>
      <c r="K66" s="24"/>
    </row>
    <row r="67" spans="1:11" ht="15.75" x14ac:dyDescent="0.25">
      <c r="A67" s="50"/>
      <c r="B67" s="24"/>
      <c r="C67" s="24"/>
      <c r="D67" s="24"/>
      <c r="E67" s="24"/>
      <c r="F67" s="24"/>
      <c r="G67" s="24"/>
      <c r="H67" s="24"/>
      <c r="I67" s="24"/>
      <c r="J67" s="24"/>
      <c r="K67" s="24"/>
    </row>
    <row r="68" spans="1:11" ht="15.75" x14ac:dyDescent="0.25">
      <c r="A68" s="50"/>
      <c r="B68" s="24"/>
      <c r="C68" s="24"/>
      <c r="D68" s="24"/>
      <c r="E68" s="24"/>
      <c r="F68" s="24"/>
      <c r="G68" s="24"/>
      <c r="H68" s="24"/>
      <c r="I68" s="24"/>
      <c r="J68" s="24"/>
      <c r="K68" s="24"/>
    </row>
    <row r="69" spans="1:11" ht="15.75" x14ac:dyDescent="0.25">
      <c r="A69" s="50"/>
      <c r="B69" s="24"/>
      <c r="C69" s="24"/>
      <c r="D69" s="24"/>
      <c r="E69" s="24"/>
      <c r="F69" s="24"/>
      <c r="G69" s="24"/>
      <c r="H69" s="24"/>
      <c r="I69" s="24"/>
      <c r="J69" s="24"/>
      <c r="K69" s="24"/>
    </row>
    <row r="70" spans="1:11" ht="30.75" customHeight="1" x14ac:dyDescent="0.25">
      <c r="A70" s="4" t="s">
        <v>1</v>
      </c>
      <c r="B70" s="5" t="s">
        <v>2</v>
      </c>
      <c r="C70" s="5" t="s">
        <v>3</v>
      </c>
      <c r="D70" s="5" t="s">
        <v>4</v>
      </c>
      <c r="E70" s="5" t="s">
        <v>5</v>
      </c>
      <c r="F70" s="5" t="s">
        <v>6</v>
      </c>
      <c r="G70" s="6" t="s">
        <v>7</v>
      </c>
      <c r="H70" s="4" t="s">
        <v>8</v>
      </c>
      <c r="I70" s="4" t="s">
        <v>9</v>
      </c>
      <c r="J70" s="4" t="s">
        <v>10</v>
      </c>
      <c r="K70" s="4" t="s">
        <v>11</v>
      </c>
    </row>
    <row r="71" spans="1:11" ht="19.149999999999999" customHeight="1" x14ac:dyDescent="0.25">
      <c r="A71" s="7"/>
      <c r="B71" s="153" t="s">
        <v>13</v>
      </c>
      <c r="C71" s="153"/>
      <c r="D71" s="153"/>
      <c r="E71" s="44">
        <f t="shared" ref="E71:J71" si="3">E63</f>
        <v>24</v>
      </c>
      <c r="F71" s="44">
        <f t="shared" si="3"/>
        <v>6</v>
      </c>
      <c r="G71" s="44">
        <f t="shared" si="3"/>
        <v>3025</v>
      </c>
      <c r="H71" s="44">
        <f t="shared" si="3"/>
        <v>3</v>
      </c>
      <c r="I71" s="44">
        <f t="shared" si="3"/>
        <v>0</v>
      </c>
      <c r="J71" s="44">
        <f t="shared" si="3"/>
        <v>22850000</v>
      </c>
      <c r="K71" s="7"/>
    </row>
    <row r="72" spans="1:11" ht="19.149999999999999" customHeight="1" x14ac:dyDescent="0.25">
      <c r="A72" s="13">
        <v>50</v>
      </c>
      <c r="B72" s="14"/>
      <c r="C72" s="15" t="s">
        <v>651</v>
      </c>
      <c r="D72" s="14">
        <v>46182</v>
      </c>
      <c r="E72" s="16">
        <v>1</v>
      </c>
      <c r="F72" s="16"/>
      <c r="G72" s="17"/>
      <c r="H72" s="17"/>
      <c r="I72" s="17"/>
      <c r="J72" s="17">
        <v>250000</v>
      </c>
      <c r="K72" s="18" t="s">
        <v>43</v>
      </c>
    </row>
    <row r="73" spans="1:11" ht="19.149999999999999" customHeight="1" x14ac:dyDescent="0.25">
      <c r="A73" s="13">
        <v>51</v>
      </c>
      <c r="B73" s="14"/>
      <c r="C73" s="15" t="s">
        <v>652</v>
      </c>
      <c r="D73" s="14">
        <v>46229</v>
      </c>
      <c r="E73" s="16">
        <v>2</v>
      </c>
      <c r="F73" s="16"/>
      <c r="G73" s="17"/>
      <c r="H73" s="17"/>
      <c r="I73" s="17"/>
      <c r="J73" s="17">
        <v>500000</v>
      </c>
      <c r="K73" s="18" t="s">
        <v>48</v>
      </c>
    </row>
    <row r="74" spans="1:11" ht="19.149999999999999" customHeight="1" x14ac:dyDescent="0.25">
      <c r="A74" s="13">
        <v>52</v>
      </c>
      <c r="B74" s="28"/>
      <c r="C74" s="15" t="s">
        <v>427</v>
      </c>
      <c r="D74" s="14">
        <v>46186</v>
      </c>
      <c r="E74" s="16">
        <v>2</v>
      </c>
      <c r="F74" s="16"/>
      <c r="G74" s="17"/>
      <c r="H74" s="17"/>
      <c r="I74" s="17"/>
      <c r="J74" s="17">
        <v>500000</v>
      </c>
      <c r="K74" s="18" t="s">
        <v>653</v>
      </c>
    </row>
    <row r="75" spans="1:11" ht="19.149999999999999" customHeight="1" x14ac:dyDescent="0.25">
      <c r="A75" s="13">
        <v>53</v>
      </c>
      <c r="B75" s="14">
        <v>46182</v>
      </c>
      <c r="C75" s="15" t="s">
        <v>654</v>
      </c>
      <c r="D75" s="14">
        <v>46183</v>
      </c>
      <c r="E75" s="16"/>
      <c r="F75" s="16"/>
      <c r="G75" s="17">
        <v>50</v>
      </c>
      <c r="H75" s="17"/>
      <c r="I75" s="17"/>
      <c r="J75" s="17">
        <v>100000</v>
      </c>
      <c r="K75" s="18" t="s">
        <v>626</v>
      </c>
    </row>
    <row r="76" spans="1:11" ht="19.149999999999999" customHeight="1" x14ac:dyDescent="0.25">
      <c r="A76" s="13">
        <v>54</v>
      </c>
      <c r="B76" s="14"/>
      <c r="C76" s="15" t="s">
        <v>655</v>
      </c>
      <c r="D76" s="14">
        <v>46184</v>
      </c>
      <c r="E76" s="16">
        <v>1</v>
      </c>
      <c r="F76" s="16"/>
      <c r="G76" s="17"/>
      <c r="H76" s="17"/>
      <c r="I76" s="17"/>
      <c r="J76" s="17">
        <v>250000</v>
      </c>
      <c r="K76" s="18" t="s">
        <v>49</v>
      </c>
    </row>
    <row r="77" spans="1:11" ht="19.149999999999999" customHeight="1" x14ac:dyDescent="0.25">
      <c r="A77" s="13">
        <v>55</v>
      </c>
      <c r="B77" s="14"/>
      <c r="C77" s="15" t="s">
        <v>656</v>
      </c>
      <c r="D77" s="14">
        <v>46187</v>
      </c>
      <c r="E77" s="16"/>
      <c r="F77" s="16"/>
      <c r="G77" s="17">
        <v>50</v>
      </c>
      <c r="H77" s="17"/>
      <c r="I77" s="17"/>
      <c r="J77" s="17">
        <v>100000</v>
      </c>
      <c r="K77" s="18" t="s">
        <v>636</v>
      </c>
    </row>
    <row r="78" spans="1:11" ht="19.149999999999999" customHeight="1" x14ac:dyDescent="0.25">
      <c r="A78" s="13">
        <v>56</v>
      </c>
      <c r="B78" s="14">
        <v>46183</v>
      </c>
      <c r="C78" s="15" t="s">
        <v>657</v>
      </c>
      <c r="D78" s="14">
        <v>46187</v>
      </c>
      <c r="E78" s="16"/>
      <c r="F78" s="16"/>
      <c r="G78" s="17">
        <v>100</v>
      </c>
      <c r="H78" s="17"/>
      <c r="I78" s="17"/>
      <c r="J78" s="17">
        <v>200000</v>
      </c>
      <c r="K78" s="18" t="s">
        <v>658</v>
      </c>
    </row>
    <row r="79" spans="1:11" ht="19.149999999999999" customHeight="1" x14ac:dyDescent="0.25">
      <c r="A79" s="13">
        <v>57</v>
      </c>
      <c r="B79" s="14"/>
      <c r="C79" s="15" t="s">
        <v>659</v>
      </c>
      <c r="D79" s="14">
        <v>46189</v>
      </c>
      <c r="E79" s="16"/>
      <c r="F79" s="16"/>
      <c r="G79" s="17">
        <v>100</v>
      </c>
      <c r="H79" s="17"/>
      <c r="I79" s="17"/>
      <c r="J79" s="17">
        <v>200000</v>
      </c>
      <c r="K79" s="18" t="s">
        <v>626</v>
      </c>
    </row>
    <row r="80" spans="1:11" ht="19.149999999999999" customHeight="1" x14ac:dyDescent="0.25">
      <c r="A80" s="13">
        <v>58</v>
      </c>
      <c r="B80" s="14"/>
      <c r="C80" s="15" t="s">
        <v>660</v>
      </c>
      <c r="D80" s="14">
        <v>46221</v>
      </c>
      <c r="E80" s="16">
        <v>2</v>
      </c>
      <c r="F80" s="16"/>
      <c r="G80" s="17"/>
      <c r="H80" s="17"/>
      <c r="I80" s="17"/>
      <c r="J80" s="17">
        <v>500000</v>
      </c>
      <c r="K80" s="18" t="s">
        <v>48</v>
      </c>
    </row>
    <row r="81" spans="1:11" ht="19.149999999999999" customHeight="1" x14ac:dyDescent="0.25">
      <c r="A81" s="13">
        <v>59</v>
      </c>
      <c r="B81" s="14"/>
      <c r="C81" s="21" t="s">
        <v>661</v>
      </c>
      <c r="D81" s="14">
        <v>46229</v>
      </c>
      <c r="E81" s="16">
        <v>1</v>
      </c>
      <c r="F81" s="16"/>
      <c r="G81" s="17"/>
      <c r="H81" s="17"/>
      <c r="I81" s="17"/>
      <c r="J81" s="17">
        <v>250000</v>
      </c>
      <c r="K81" s="18" t="s">
        <v>44</v>
      </c>
    </row>
    <row r="82" spans="1:11" ht="19.149999999999999" customHeight="1" x14ac:dyDescent="0.25">
      <c r="A82" s="13">
        <v>60</v>
      </c>
      <c r="B82" s="14"/>
      <c r="C82" s="15" t="s">
        <v>662</v>
      </c>
      <c r="D82" s="14">
        <v>46203</v>
      </c>
      <c r="E82" s="16">
        <v>1</v>
      </c>
      <c r="F82" s="16"/>
      <c r="G82" s="17">
        <v>100</v>
      </c>
      <c r="H82" s="17"/>
      <c r="I82" s="17"/>
      <c r="J82" s="17">
        <v>450000</v>
      </c>
      <c r="K82" s="18" t="s">
        <v>663</v>
      </c>
    </row>
    <row r="83" spans="1:11" ht="19.149999999999999" customHeight="1" x14ac:dyDescent="0.25">
      <c r="A83" s="13">
        <v>61</v>
      </c>
      <c r="B83" s="14"/>
      <c r="C83" s="15" t="s">
        <v>662</v>
      </c>
      <c r="D83" s="14">
        <v>46203</v>
      </c>
      <c r="E83" s="16">
        <v>1</v>
      </c>
      <c r="F83" s="16"/>
      <c r="G83" s="17"/>
      <c r="H83" s="17"/>
      <c r="I83" s="17"/>
      <c r="J83" s="17">
        <v>250000</v>
      </c>
      <c r="K83" s="18" t="s">
        <v>49</v>
      </c>
    </row>
    <row r="84" spans="1:11" ht="24" customHeight="1" x14ac:dyDescent="0.25">
      <c r="A84" s="13">
        <v>62</v>
      </c>
      <c r="B84" s="14"/>
      <c r="C84" s="15" t="s">
        <v>664</v>
      </c>
      <c r="D84" s="14">
        <v>46187</v>
      </c>
      <c r="E84" s="16"/>
      <c r="F84" s="16"/>
      <c r="G84" s="17">
        <v>50</v>
      </c>
      <c r="H84" s="17"/>
      <c r="I84" s="17"/>
      <c r="J84" s="17">
        <v>100000</v>
      </c>
      <c r="K84" s="18" t="s">
        <v>665</v>
      </c>
    </row>
    <row r="85" spans="1:11" ht="19.149999999999999" customHeight="1" x14ac:dyDescent="0.25">
      <c r="A85" s="13">
        <v>63</v>
      </c>
      <c r="B85" s="14"/>
      <c r="C85" s="15" t="s">
        <v>666</v>
      </c>
      <c r="D85" s="14">
        <v>46183</v>
      </c>
      <c r="E85" s="16">
        <v>1</v>
      </c>
      <c r="F85" s="16"/>
      <c r="G85" s="17"/>
      <c r="H85" s="17"/>
      <c r="I85" s="17"/>
      <c r="J85" s="17">
        <v>250000</v>
      </c>
      <c r="K85" s="18" t="s">
        <v>47</v>
      </c>
    </row>
    <row r="86" spans="1:11" ht="19.149999999999999" customHeight="1" x14ac:dyDescent="0.25">
      <c r="A86" s="13">
        <v>64</v>
      </c>
      <c r="B86" s="14"/>
      <c r="C86" s="15" t="s">
        <v>662</v>
      </c>
      <c r="D86" s="14"/>
      <c r="E86" s="16"/>
      <c r="F86" s="16"/>
      <c r="G86" s="17">
        <v>100</v>
      </c>
      <c r="H86" s="17"/>
      <c r="I86" s="17"/>
      <c r="J86" s="17">
        <v>200000</v>
      </c>
      <c r="K86" s="18"/>
    </row>
    <row r="87" spans="1:11" ht="19.149999999999999" customHeight="1" x14ac:dyDescent="0.25">
      <c r="A87" s="13">
        <v>65</v>
      </c>
      <c r="B87" s="14">
        <v>46184</v>
      </c>
      <c r="C87" s="15" t="s">
        <v>670</v>
      </c>
      <c r="D87" s="14">
        <v>46256</v>
      </c>
      <c r="E87" s="16">
        <v>1</v>
      </c>
      <c r="F87" s="16"/>
      <c r="G87" s="17"/>
      <c r="H87" s="17"/>
      <c r="I87" s="17"/>
      <c r="J87" s="17">
        <v>250000</v>
      </c>
      <c r="K87" s="18" t="s">
        <v>205</v>
      </c>
    </row>
    <row r="88" spans="1:11" ht="19.149999999999999" customHeight="1" x14ac:dyDescent="0.25">
      <c r="A88" s="13">
        <v>66</v>
      </c>
      <c r="B88" s="14"/>
      <c r="C88" s="15" t="s">
        <v>671</v>
      </c>
      <c r="D88" s="14">
        <v>46191</v>
      </c>
      <c r="E88" s="16">
        <v>2</v>
      </c>
      <c r="F88" s="16"/>
      <c r="G88" s="17"/>
      <c r="H88" s="17"/>
      <c r="I88" s="17"/>
      <c r="J88" s="17">
        <v>500000</v>
      </c>
      <c r="K88" s="18" t="s">
        <v>48</v>
      </c>
    </row>
    <row r="89" spans="1:11" ht="19.149999999999999" customHeight="1" x14ac:dyDescent="0.25">
      <c r="A89" s="13">
        <v>67</v>
      </c>
      <c r="B89" s="14"/>
      <c r="C89" s="15" t="s">
        <v>672</v>
      </c>
      <c r="D89" s="14">
        <v>46194</v>
      </c>
      <c r="E89" s="16">
        <v>1</v>
      </c>
      <c r="F89" s="16"/>
      <c r="G89" s="17"/>
      <c r="H89" s="17"/>
      <c r="I89" s="17"/>
      <c r="J89" s="17">
        <v>250000</v>
      </c>
      <c r="K89" s="18" t="s">
        <v>673</v>
      </c>
    </row>
    <row r="90" spans="1:11" ht="19.149999999999999" customHeight="1" x14ac:dyDescent="0.25">
      <c r="A90" s="13">
        <v>68</v>
      </c>
      <c r="B90" s="14">
        <v>46185</v>
      </c>
      <c r="C90" s="15" t="s">
        <v>674</v>
      </c>
      <c r="D90" s="14">
        <v>46200</v>
      </c>
      <c r="E90" s="16">
        <v>2</v>
      </c>
      <c r="F90" s="16"/>
      <c r="G90" s="17"/>
      <c r="H90" s="17"/>
      <c r="I90" s="17"/>
      <c r="J90" s="17">
        <v>500000</v>
      </c>
      <c r="K90" s="18" t="s">
        <v>48</v>
      </c>
    </row>
    <row r="91" spans="1:11" ht="19.149999999999999" customHeight="1" x14ac:dyDescent="0.25">
      <c r="A91" s="13">
        <v>69</v>
      </c>
      <c r="B91" s="14"/>
      <c r="C91" s="15" t="s">
        <v>675</v>
      </c>
      <c r="D91" s="14">
        <v>46221</v>
      </c>
      <c r="E91" s="16">
        <v>1</v>
      </c>
      <c r="F91" s="16"/>
      <c r="G91" s="17"/>
      <c r="H91" s="17"/>
      <c r="I91" s="17"/>
      <c r="J91" s="17">
        <v>250000</v>
      </c>
      <c r="K91" s="18" t="s">
        <v>47</v>
      </c>
    </row>
    <row r="92" spans="1:11" ht="19.149999999999999" customHeight="1" x14ac:dyDescent="0.25">
      <c r="A92" s="13">
        <v>70</v>
      </c>
      <c r="B92" s="14"/>
      <c r="C92" s="15" t="s">
        <v>676</v>
      </c>
      <c r="D92" s="14">
        <v>46189</v>
      </c>
      <c r="E92" s="16"/>
      <c r="F92" s="16"/>
      <c r="G92" s="17">
        <v>50</v>
      </c>
      <c r="H92" s="17"/>
      <c r="I92" s="17"/>
      <c r="J92" s="17">
        <v>100000</v>
      </c>
      <c r="K92" s="18" t="s">
        <v>461</v>
      </c>
    </row>
    <row r="93" spans="1:11" ht="19.149999999999999" customHeight="1" x14ac:dyDescent="0.25">
      <c r="A93" s="13">
        <v>71</v>
      </c>
      <c r="B93" s="14"/>
      <c r="C93" s="15" t="s">
        <v>677</v>
      </c>
      <c r="D93" s="14">
        <v>46196</v>
      </c>
      <c r="E93" s="16">
        <v>1</v>
      </c>
      <c r="F93" s="16"/>
      <c r="G93" s="17"/>
      <c r="H93" s="17"/>
      <c r="I93" s="17"/>
      <c r="J93" s="17">
        <v>250000</v>
      </c>
      <c r="K93" s="18" t="s">
        <v>49</v>
      </c>
    </row>
    <row r="94" spans="1:11" ht="19.149999999999999" customHeight="1" x14ac:dyDescent="0.25">
      <c r="A94" s="13">
        <v>72</v>
      </c>
      <c r="B94" s="14"/>
      <c r="C94" s="15" t="s">
        <v>678</v>
      </c>
      <c r="D94" s="14">
        <v>46196</v>
      </c>
      <c r="E94" s="16">
        <v>1</v>
      </c>
      <c r="F94" s="16"/>
      <c r="G94" s="17"/>
      <c r="H94" s="17"/>
      <c r="I94" s="17"/>
      <c r="J94" s="17">
        <v>250000</v>
      </c>
      <c r="K94" s="18" t="s">
        <v>41</v>
      </c>
    </row>
    <row r="95" spans="1:11" ht="19.149999999999999" customHeight="1" x14ac:dyDescent="0.25">
      <c r="A95" s="13">
        <v>73</v>
      </c>
      <c r="B95" s="14"/>
      <c r="C95" s="15" t="s">
        <v>679</v>
      </c>
      <c r="D95" s="14">
        <v>46194</v>
      </c>
      <c r="E95" s="16"/>
      <c r="F95" s="16"/>
      <c r="G95" s="17">
        <v>50</v>
      </c>
      <c r="H95" s="17"/>
      <c r="I95" s="17"/>
      <c r="J95" s="17">
        <v>100000</v>
      </c>
      <c r="K95" s="18" t="s">
        <v>658</v>
      </c>
    </row>
    <row r="96" spans="1:11" ht="19.149999999999999" customHeight="1" x14ac:dyDescent="0.25">
      <c r="A96" s="13">
        <v>74</v>
      </c>
      <c r="B96" s="14">
        <v>46186</v>
      </c>
      <c r="C96" s="15" t="s">
        <v>680</v>
      </c>
      <c r="D96" s="14">
        <v>46186</v>
      </c>
      <c r="E96" s="16">
        <v>1</v>
      </c>
      <c r="F96" s="16"/>
      <c r="G96" s="17"/>
      <c r="H96" s="17"/>
      <c r="I96" s="17"/>
      <c r="J96" s="17">
        <v>250000</v>
      </c>
      <c r="K96" s="18" t="s">
        <v>205</v>
      </c>
    </row>
    <row r="97" spans="1:11" ht="19.149999999999999" customHeight="1" x14ac:dyDescent="0.25">
      <c r="A97" s="13">
        <v>75</v>
      </c>
      <c r="B97" s="14"/>
      <c r="C97" s="15" t="s">
        <v>681</v>
      </c>
      <c r="D97" s="14">
        <v>46222</v>
      </c>
      <c r="E97" s="16">
        <v>1</v>
      </c>
      <c r="F97" s="16"/>
      <c r="G97" s="17"/>
      <c r="H97" s="17"/>
      <c r="I97" s="17"/>
      <c r="J97" s="17">
        <v>250000</v>
      </c>
      <c r="K97" s="18" t="s">
        <v>49</v>
      </c>
    </row>
    <row r="98" spans="1:11" ht="20.25" customHeight="1" x14ac:dyDescent="0.25">
      <c r="A98" s="4"/>
      <c r="B98" s="30"/>
      <c r="C98" s="151" t="s">
        <v>12</v>
      </c>
      <c r="D98" s="151"/>
      <c r="E98" s="45">
        <f t="shared" ref="E98:J98" si="4">SUM(E71:E97)</f>
        <v>47</v>
      </c>
      <c r="F98" s="45">
        <f t="shared" si="4"/>
        <v>6</v>
      </c>
      <c r="G98" s="45">
        <f t="shared" si="4"/>
        <v>3675</v>
      </c>
      <c r="H98" s="45">
        <f t="shared" si="4"/>
        <v>3</v>
      </c>
      <c r="I98" s="45">
        <f t="shared" si="4"/>
        <v>0</v>
      </c>
      <c r="J98" s="45">
        <f t="shared" si="4"/>
        <v>29900000</v>
      </c>
      <c r="K98" s="30"/>
    </row>
    <row r="99" spans="1:11" ht="15.75" x14ac:dyDescent="0.25">
      <c r="A99" s="50"/>
      <c r="B99" s="24"/>
      <c r="C99" s="24"/>
      <c r="D99" s="24"/>
      <c r="E99" s="24"/>
      <c r="F99" s="24"/>
      <c r="G99" s="24"/>
      <c r="H99" s="24"/>
      <c r="I99" s="24"/>
      <c r="J99" s="24"/>
      <c r="K99" s="24"/>
    </row>
    <row r="100" spans="1:11" ht="15.75" x14ac:dyDescent="0.25">
      <c r="A100" s="50"/>
      <c r="B100" s="24"/>
      <c r="C100" s="24"/>
      <c r="D100" s="24"/>
      <c r="E100" s="24"/>
      <c r="F100" s="24"/>
      <c r="G100" s="24"/>
      <c r="H100" s="24"/>
      <c r="I100" s="24"/>
      <c r="J100" s="24"/>
      <c r="K100" s="24"/>
    </row>
    <row r="101" spans="1:11" ht="15.75" x14ac:dyDescent="0.25">
      <c r="A101" s="50"/>
      <c r="B101" s="24"/>
      <c r="C101" s="24"/>
      <c r="D101" s="24"/>
      <c r="E101" s="24"/>
      <c r="F101" s="24"/>
      <c r="G101" s="24"/>
      <c r="H101" s="24"/>
      <c r="I101" s="24"/>
      <c r="J101" s="24"/>
      <c r="K101" s="24"/>
    </row>
    <row r="102" spans="1:11" ht="15.75" x14ac:dyDescent="0.25">
      <c r="A102" s="50"/>
      <c r="B102" s="24"/>
      <c r="C102" s="24"/>
      <c r="D102" s="24"/>
      <c r="E102" s="24"/>
      <c r="F102" s="24"/>
      <c r="G102" s="24"/>
      <c r="H102" s="24"/>
      <c r="I102" s="24"/>
      <c r="J102" s="24"/>
      <c r="K102" s="24"/>
    </row>
    <row r="103" spans="1:11" ht="30.75" customHeight="1" x14ac:dyDescent="0.25">
      <c r="A103" s="4" t="s">
        <v>1</v>
      </c>
      <c r="B103" s="5" t="s">
        <v>2</v>
      </c>
      <c r="C103" s="5" t="s">
        <v>3</v>
      </c>
      <c r="D103" s="5" t="s">
        <v>4</v>
      </c>
      <c r="E103" s="5" t="s">
        <v>5</v>
      </c>
      <c r="F103" s="5" t="s">
        <v>6</v>
      </c>
      <c r="G103" s="6" t="s">
        <v>7</v>
      </c>
      <c r="H103" s="4" t="s">
        <v>8</v>
      </c>
      <c r="I103" s="4" t="s">
        <v>9</v>
      </c>
      <c r="J103" s="4" t="s">
        <v>10</v>
      </c>
      <c r="K103" s="4" t="s">
        <v>11</v>
      </c>
    </row>
    <row r="104" spans="1:11" ht="19.149999999999999" customHeight="1" x14ac:dyDescent="0.25">
      <c r="A104" s="51"/>
      <c r="B104" s="153" t="s">
        <v>13</v>
      </c>
      <c r="C104" s="153"/>
      <c r="D104" s="153"/>
      <c r="E104" s="44">
        <f t="shared" ref="E104:J104" si="5">E98</f>
        <v>47</v>
      </c>
      <c r="F104" s="44">
        <f t="shared" si="5"/>
        <v>6</v>
      </c>
      <c r="G104" s="44">
        <f t="shared" si="5"/>
        <v>3675</v>
      </c>
      <c r="H104" s="44">
        <f t="shared" si="5"/>
        <v>3</v>
      </c>
      <c r="I104" s="44">
        <f t="shared" si="5"/>
        <v>0</v>
      </c>
      <c r="J104" s="44">
        <f t="shared" si="5"/>
        <v>29900000</v>
      </c>
      <c r="K104" s="25"/>
    </row>
    <row r="105" spans="1:11" ht="19.149999999999999" customHeight="1" x14ac:dyDescent="0.25">
      <c r="A105" s="33">
        <v>76</v>
      </c>
      <c r="B105" s="14">
        <v>46186</v>
      </c>
      <c r="C105" s="15" t="s">
        <v>682</v>
      </c>
      <c r="D105" s="14">
        <v>46221</v>
      </c>
      <c r="E105" s="16">
        <v>1</v>
      </c>
      <c r="F105" s="16"/>
      <c r="G105" s="17"/>
      <c r="H105" s="17"/>
      <c r="I105" s="17"/>
      <c r="J105" s="17">
        <v>250000</v>
      </c>
      <c r="K105" s="18" t="s">
        <v>41</v>
      </c>
    </row>
    <row r="106" spans="1:11" ht="19.149999999999999" customHeight="1" x14ac:dyDescent="0.25">
      <c r="A106" s="33">
        <v>77</v>
      </c>
      <c r="B106" s="46"/>
      <c r="C106" s="15" t="s">
        <v>683</v>
      </c>
      <c r="D106" s="14">
        <v>46208</v>
      </c>
      <c r="E106" s="16"/>
      <c r="F106" s="16"/>
      <c r="G106" s="17">
        <v>150</v>
      </c>
      <c r="H106" s="17"/>
      <c r="I106" s="17"/>
      <c r="J106" s="17">
        <v>300000</v>
      </c>
      <c r="K106" s="18" t="s">
        <v>461</v>
      </c>
    </row>
    <row r="107" spans="1:11" ht="19.149999999999999" customHeight="1" x14ac:dyDescent="0.25">
      <c r="A107" s="33">
        <v>78</v>
      </c>
      <c r="B107" s="14"/>
      <c r="C107" s="15" t="s">
        <v>684</v>
      </c>
      <c r="D107" s="14">
        <v>46198</v>
      </c>
      <c r="E107" s="16">
        <v>1</v>
      </c>
      <c r="F107" s="16"/>
      <c r="G107" s="17"/>
      <c r="H107" s="17"/>
      <c r="I107" s="17"/>
      <c r="J107" s="17">
        <v>250000</v>
      </c>
      <c r="K107" s="18" t="s">
        <v>47</v>
      </c>
    </row>
    <row r="108" spans="1:11" ht="19.149999999999999" customHeight="1" x14ac:dyDescent="0.25">
      <c r="A108" s="33">
        <v>79</v>
      </c>
      <c r="B108" s="14"/>
      <c r="C108" s="15" t="s">
        <v>685</v>
      </c>
      <c r="D108" s="14">
        <v>46208</v>
      </c>
      <c r="E108" s="16">
        <v>1</v>
      </c>
      <c r="F108" s="16"/>
      <c r="G108" s="17"/>
      <c r="H108" s="17"/>
      <c r="I108" s="17"/>
      <c r="J108" s="17">
        <v>250000</v>
      </c>
      <c r="K108" s="18" t="s">
        <v>47</v>
      </c>
    </row>
    <row r="109" spans="1:11" ht="19.149999999999999" customHeight="1" x14ac:dyDescent="0.25">
      <c r="A109" s="33">
        <v>80</v>
      </c>
      <c r="B109" s="14">
        <v>46187</v>
      </c>
      <c r="C109" s="15" t="s">
        <v>686</v>
      </c>
      <c r="D109" s="14">
        <v>46187</v>
      </c>
      <c r="E109" s="16">
        <v>1</v>
      </c>
      <c r="F109" s="16"/>
      <c r="G109" s="17"/>
      <c r="H109" s="17"/>
      <c r="I109" s="17"/>
      <c r="J109" s="17">
        <v>250000</v>
      </c>
      <c r="K109" s="18" t="s">
        <v>41</v>
      </c>
    </row>
    <row r="110" spans="1:11" ht="19.149999999999999" customHeight="1" x14ac:dyDescent="0.25">
      <c r="A110" s="33">
        <v>81</v>
      </c>
      <c r="B110" s="14"/>
      <c r="C110" s="15" t="s">
        <v>688</v>
      </c>
      <c r="D110" s="14">
        <v>46194</v>
      </c>
      <c r="E110" s="16"/>
      <c r="F110" s="16"/>
      <c r="G110" s="17">
        <v>50</v>
      </c>
      <c r="H110" s="17"/>
      <c r="I110" s="17"/>
      <c r="J110" s="17">
        <v>100000</v>
      </c>
      <c r="K110" s="18" t="s">
        <v>689</v>
      </c>
    </row>
    <row r="111" spans="1:11" ht="19.149999999999999" customHeight="1" x14ac:dyDescent="0.25">
      <c r="A111" s="33">
        <v>82</v>
      </c>
      <c r="B111" s="14"/>
      <c r="C111" s="15" t="s">
        <v>692</v>
      </c>
      <c r="D111" s="14">
        <v>46191</v>
      </c>
      <c r="E111" s="16"/>
      <c r="F111" s="16"/>
      <c r="G111" s="17">
        <v>50</v>
      </c>
      <c r="H111" s="17"/>
      <c r="I111" s="17"/>
      <c r="J111" s="17">
        <v>100000</v>
      </c>
      <c r="K111" s="18"/>
    </row>
    <row r="112" spans="1:11" ht="19.149999999999999" customHeight="1" x14ac:dyDescent="0.25">
      <c r="A112" s="33">
        <v>83</v>
      </c>
      <c r="B112" s="14"/>
      <c r="C112" s="15" t="s">
        <v>687</v>
      </c>
      <c r="D112" s="14">
        <v>46229</v>
      </c>
      <c r="E112" s="16">
        <v>1</v>
      </c>
      <c r="F112" s="16"/>
      <c r="G112" s="17"/>
      <c r="H112" s="17"/>
      <c r="I112" s="17"/>
      <c r="J112" s="17">
        <v>250000</v>
      </c>
      <c r="K112" s="18" t="s">
        <v>49</v>
      </c>
    </row>
    <row r="113" spans="1:11" ht="19.149999999999999" customHeight="1" x14ac:dyDescent="0.25">
      <c r="A113" s="33">
        <v>84</v>
      </c>
      <c r="B113" s="14"/>
      <c r="C113" s="15" t="s">
        <v>693</v>
      </c>
      <c r="D113" s="14">
        <v>46187</v>
      </c>
      <c r="E113" s="16"/>
      <c r="F113" s="16"/>
      <c r="G113" s="17"/>
      <c r="H113" s="17">
        <v>1</v>
      </c>
      <c r="I113" s="17"/>
      <c r="J113" s="17">
        <v>100000</v>
      </c>
      <c r="K113" s="18"/>
    </row>
    <row r="114" spans="1:11" ht="19.149999999999999" customHeight="1" x14ac:dyDescent="0.25">
      <c r="A114" s="33">
        <v>85</v>
      </c>
      <c r="B114" s="14"/>
      <c r="C114" s="21" t="s">
        <v>690</v>
      </c>
      <c r="D114" s="14">
        <v>46193</v>
      </c>
      <c r="E114" s="16"/>
      <c r="F114" s="16"/>
      <c r="G114" s="17">
        <v>100</v>
      </c>
      <c r="H114" s="17"/>
      <c r="I114" s="17"/>
      <c r="J114" s="17">
        <v>200000</v>
      </c>
      <c r="K114" s="18" t="s">
        <v>201</v>
      </c>
    </row>
    <row r="115" spans="1:11" ht="19.149999999999999" customHeight="1" x14ac:dyDescent="0.25">
      <c r="A115" s="33">
        <v>86</v>
      </c>
      <c r="B115" s="14"/>
      <c r="C115" s="15" t="s">
        <v>694</v>
      </c>
      <c r="D115" s="14">
        <v>46187</v>
      </c>
      <c r="E115" s="16"/>
      <c r="F115" s="16"/>
      <c r="G115" s="17">
        <v>200</v>
      </c>
      <c r="H115" s="17"/>
      <c r="I115" s="17"/>
      <c r="J115" s="17">
        <v>400000</v>
      </c>
      <c r="K115" s="18"/>
    </row>
    <row r="116" spans="1:11" ht="19.149999999999999" customHeight="1" x14ac:dyDescent="0.25">
      <c r="A116" s="33">
        <v>87</v>
      </c>
      <c r="B116" s="14"/>
      <c r="C116" s="15" t="s">
        <v>691</v>
      </c>
      <c r="D116" s="14">
        <v>46222</v>
      </c>
      <c r="E116" s="16"/>
      <c r="F116" s="16"/>
      <c r="G116" s="17">
        <v>70</v>
      </c>
      <c r="H116" s="17"/>
      <c r="I116" s="17"/>
      <c r="J116" s="17">
        <v>140000</v>
      </c>
      <c r="K116" s="18" t="s">
        <v>461</v>
      </c>
    </row>
    <row r="117" spans="1:11" ht="19.149999999999999" customHeight="1" x14ac:dyDescent="0.25">
      <c r="A117" s="33">
        <v>88</v>
      </c>
      <c r="B117" s="14"/>
      <c r="C117" s="15" t="s">
        <v>592</v>
      </c>
      <c r="D117" s="14">
        <v>46187</v>
      </c>
      <c r="E117" s="16"/>
      <c r="F117" s="16"/>
      <c r="G117" s="17"/>
      <c r="H117" s="17">
        <v>1</v>
      </c>
      <c r="I117" s="17"/>
      <c r="J117" s="17">
        <v>100000</v>
      </c>
      <c r="K117" s="18"/>
    </row>
    <row r="118" spans="1:11" ht="19.149999999999999" customHeight="1" x14ac:dyDescent="0.25">
      <c r="A118" s="33">
        <v>89</v>
      </c>
      <c r="B118" s="14">
        <v>46188</v>
      </c>
      <c r="C118" s="15" t="s">
        <v>695</v>
      </c>
      <c r="D118" s="14">
        <v>46192</v>
      </c>
      <c r="E118" s="16"/>
      <c r="F118" s="16"/>
      <c r="G118" s="17">
        <v>150</v>
      </c>
      <c r="H118" s="17"/>
      <c r="I118" s="17"/>
      <c r="J118" s="17">
        <v>300000</v>
      </c>
      <c r="K118" s="18" t="s">
        <v>461</v>
      </c>
    </row>
    <row r="119" spans="1:11" ht="19.149999999999999" customHeight="1" x14ac:dyDescent="0.25">
      <c r="A119" s="33">
        <v>90</v>
      </c>
      <c r="B119" s="14"/>
      <c r="C119" s="15" t="s">
        <v>696</v>
      </c>
      <c r="D119" s="14">
        <v>46193</v>
      </c>
      <c r="E119" s="16"/>
      <c r="F119" s="16"/>
      <c r="G119" s="17">
        <v>50</v>
      </c>
      <c r="H119" s="17"/>
      <c r="I119" s="17"/>
      <c r="J119" s="17">
        <v>100000</v>
      </c>
      <c r="K119" s="18" t="s">
        <v>697</v>
      </c>
    </row>
    <row r="120" spans="1:11" ht="19.149999999999999" customHeight="1" x14ac:dyDescent="0.25">
      <c r="A120" s="33">
        <v>91</v>
      </c>
      <c r="B120" s="14">
        <v>46189</v>
      </c>
      <c r="C120" s="15" t="s">
        <v>698</v>
      </c>
      <c r="D120" s="14">
        <v>46189</v>
      </c>
      <c r="E120" s="16">
        <v>1</v>
      </c>
      <c r="F120" s="16"/>
      <c r="G120" s="17"/>
      <c r="H120" s="17"/>
      <c r="I120" s="17"/>
      <c r="J120" s="17">
        <v>250000</v>
      </c>
      <c r="K120" s="18" t="s">
        <v>214</v>
      </c>
    </row>
    <row r="121" spans="1:11" ht="19.149999999999999" customHeight="1" x14ac:dyDescent="0.25">
      <c r="A121" s="33">
        <v>92</v>
      </c>
      <c r="B121" s="14"/>
      <c r="C121" s="15" t="s">
        <v>699</v>
      </c>
      <c r="D121" s="14">
        <v>46271</v>
      </c>
      <c r="E121" s="16">
        <v>2</v>
      </c>
      <c r="F121" s="16"/>
      <c r="G121" s="17"/>
      <c r="H121" s="17"/>
      <c r="I121" s="17"/>
      <c r="J121" s="17">
        <v>500000</v>
      </c>
      <c r="K121" s="18" t="s">
        <v>186</v>
      </c>
    </row>
    <row r="122" spans="1:11" ht="19.149999999999999" customHeight="1" x14ac:dyDescent="0.25">
      <c r="A122" s="33">
        <v>93</v>
      </c>
      <c r="B122" s="14"/>
      <c r="C122" s="15" t="s">
        <v>700</v>
      </c>
      <c r="D122" s="14">
        <v>46214</v>
      </c>
      <c r="E122" s="16">
        <v>1</v>
      </c>
      <c r="F122" s="16"/>
      <c r="G122" s="17">
        <v>225</v>
      </c>
      <c r="H122" s="17">
        <v>1</v>
      </c>
      <c r="I122" s="17"/>
      <c r="J122" s="17">
        <v>800000</v>
      </c>
      <c r="K122" s="18" t="s">
        <v>41</v>
      </c>
    </row>
    <row r="123" spans="1:11" ht="19.149999999999999" customHeight="1" x14ac:dyDescent="0.25">
      <c r="A123" s="33">
        <v>94</v>
      </c>
      <c r="B123" s="14"/>
      <c r="C123" s="15" t="s">
        <v>645</v>
      </c>
      <c r="D123" s="14">
        <v>46193</v>
      </c>
      <c r="E123" s="16"/>
      <c r="F123" s="16"/>
      <c r="G123" s="17">
        <v>50</v>
      </c>
      <c r="H123" s="17"/>
      <c r="I123" s="17"/>
      <c r="J123" s="17">
        <v>100000</v>
      </c>
      <c r="K123" s="18"/>
    </row>
    <row r="124" spans="1:11" ht="19.149999999999999" customHeight="1" x14ac:dyDescent="0.25">
      <c r="A124" s="33">
        <v>95</v>
      </c>
      <c r="B124" s="14"/>
      <c r="C124" s="15" t="s">
        <v>701</v>
      </c>
      <c r="D124" s="14">
        <v>46192</v>
      </c>
      <c r="E124" s="16">
        <v>1</v>
      </c>
      <c r="F124" s="16"/>
      <c r="G124" s="17"/>
      <c r="H124" s="17"/>
      <c r="I124" s="17"/>
      <c r="J124" s="17">
        <v>250000</v>
      </c>
      <c r="K124" s="18" t="s">
        <v>47</v>
      </c>
    </row>
    <row r="125" spans="1:11" ht="19.149999999999999" customHeight="1" x14ac:dyDescent="0.25">
      <c r="A125" s="33">
        <v>96</v>
      </c>
      <c r="B125" s="14"/>
      <c r="C125" s="15" t="s">
        <v>190</v>
      </c>
      <c r="D125" s="14">
        <v>46189</v>
      </c>
      <c r="E125" s="16"/>
      <c r="F125" s="16"/>
      <c r="G125" s="17"/>
      <c r="H125" s="17">
        <v>1</v>
      </c>
      <c r="I125" s="17"/>
      <c r="J125" s="17">
        <v>100000</v>
      </c>
      <c r="K125" s="18"/>
    </row>
    <row r="126" spans="1:11" ht="19.149999999999999" customHeight="1" x14ac:dyDescent="0.25">
      <c r="A126" s="33">
        <v>97</v>
      </c>
      <c r="B126" s="14"/>
      <c r="C126" s="15" t="s">
        <v>702</v>
      </c>
      <c r="D126" s="14">
        <v>46194</v>
      </c>
      <c r="E126" s="16"/>
      <c r="F126" s="16"/>
      <c r="G126" s="17">
        <v>100</v>
      </c>
      <c r="H126" s="17"/>
      <c r="I126" s="17"/>
      <c r="J126" s="17">
        <v>200000</v>
      </c>
      <c r="K126" s="18" t="s">
        <v>226</v>
      </c>
    </row>
    <row r="127" spans="1:11" ht="19.149999999999999" customHeight="1" x14ac:dyDescent="0.25">
      <c r="A127" s="33">
        <v>98</v>
      </c>
      <c r="B127" s="14">
        <v>46190</v>
      </c>
      <c r="C127" s="15" t="s">
        <v>743</v>
      </c>
      <c r="D127" s="14">
        <v>46203</v>
      </c>
      <c r="E127" s="16">
        <v>1</v>
      </c>
      <c r="F127" s="16"/>
      <c r="G127" s="17"/>
      <c r="H127" s="17"/>
      <c r="I127" s="17"/>
      <c r="J127" s="17">
        <v>250000</v>
      </c>
      <c r="K127" s="18" t="s">
        <v>47</v>
      </c>
    </row>
    <row r="128" spans="1:11" ht="19.149999999999999" customHeight="1" x14ac:dyDescent="0.25">
      <c r="A128" s="33">
        <v>99</v>
      </c>
      <c r="B128" s="14"/>
      <c r="C128" s="15" t="s">
        <v>743</v>
      </c>
      <c r="D128" s="14">
        <v>46203</v>
      </c>
      <c r="E128" s="16"/>
      <c r="F128" s="16"/>
      <c r="G128" s="17">
        <v>100</v>
      </c>
      <c r="H128" s="17"/>
      <c r="I128" s="17"/>
      <c r="J128" s="17">
        <v>200000</v>
      </c>
      <c r="K128" s="18"/>
    </row>
    <row r="129" spans="1:11" ht="19.149999999999999" customHeight="1" x14ac:dyDescent="0.25">
      <c r="A129" s="33">
        <v>100</v>
      </c>
      <c r="B129" s="14"/>
      <c r="C129" s="15" t="s">
        <v>744</v>
      </c>
      <c r="D129" s="14">
        <v>46208</v>
      </c>
      <c r="E129" s="16">
        <v>1</v>
      </c>
      <c r="F129" s="16"/>
      <c r="G129" s="17"/>
      <c r="H129" s="17"/>
      <c r="I129" s="17"/>
      <c r="J129" s="17">
        <v>250000</v>
      </c>
      <c r="K129" s="18" t="s">
        <v>41</v>
      </c>
    </row>
    <row r="130" spans="1:11" ht="19.149999999999999" customHeight="1" x14ac:dyDescent="0.25">
      <c r="A130" s="33">
        <v>101</v>
      </c>
      <c r="B130" s="14"/>
      <c r="C130" s="15" t="s">
        <v>745</v>
      </c>
      <c r="D130" s="14">
        <v>46201</v>
      </c>
      <c r="E130" s="16"/>
      <c r="F130" s="16"/>
      <c r="G130" s="17">
        <v>50</v>
      </c>
      <c r="H130" s="17"/>
      <c r="I130" s="17"/>
      <c r="J130" s="17">
        <v>100000</v>
      </c>
      <c r="K130" s="18" t="s">
        <v>746</v>
      </c>
    </row>
    <row r="131" spans="1:11" ht="19.149999999999999" customHeight="1" x14ac:dyDescent="0.25">
      <c r="A131" s="33">
        <v>102</v>
      </c>
      <c r="B131" s="28"/>
      <c r="C131" s="106" t="s">
        <v>747</v>
      </c>
      <c r="D131" s="35">
        <v>46201</v>
      </c>
      <c r="E131" s="107"/>
      <c r="F131" s="107"/>
      <c r="G131" s="108">
        <v>60</v>
      </c>
      <c r="H131" s="108"/>
      <c r="I131" s="108"/>
      <c r="J131" s="108">
        <v>120000</v>
      </c>
      <c r="K131" s="109" t="s">
        <v>748</v>
      </c>
    </row>
    <row r="132" spans="1:11" ht="20.25" customHeight="1" x14ac:dyDescent="0.25">
      <c r="A132" s="4"/>
      <c r="B132" s="30"/>
      <c r="C132" s="151" t="s">
        <v>12</v>
      </c>
      <c r="D132" s="151"/>
      <c r="E132" s="45">
        <f t="shared" ref="E132:J132" si="6">SUM(E104:E131)</f>
        <v>59</v>
      </c>
      <c r="F132" s="45">
        <f t="shared" si="6"/>
        <v>6</v>
      </c>
      <c r="G132" s="45">
        <f t="shared" si="6"/>
        <v>5080</v>
      </c>
      <c r="H132" s="45">
        <f t="shared" si="6"/>
        <v>7</v>
      </c>
      <c r="I132" s="45">
        <f t="shared" si="6"/>
        <v>0</v>
      </c>
      <c r="J132" s="45">
        <f t="shared" si="6"/>
        <v>36110000</v>
      </c>
      <c r="K132" s="30"/>
    </row>
    <row r="133" spans="1:11" ht="15.75" x14ac:dyDescent="0.25">
      <c r="A133" s="50"/>
      <c r="B133" s="24"/>
      <c r="C133" s="24"/>
      <c r="D133" s="24"/>
      <c r="E133" s="24"/>
      <c r="F133" s="24"/>
      <c r="G133" s="24"/>
      <c r="H133" s="24"/>
      <c r="I133" s="24"/>
      <c r="J133" s="24"/>
      <c r="K133" s="24"/>
    </row>
    <row r="134" spans="1:11" ht="15.75" x14ac:dyDescent="0.25">
      <c r="A134" s="50"/>
      <c r="B134" s="24"/>
      <c r="C134" s="24"/>
      <c r="D134" s="24"/>
      <c r="E134" s="24"/>
      <c r="F134" s="24"/>
      <c r="G134" s="24"/>
      <c r="H134" s="24"/>
      <c r="I134" s="24"/>
      <c r="J134" s="24"/>
      <c r="K134" s="24"/>
    </row>
    <row r="135" spans="1:11" ht="15.75" x14ac:dyDescent="0.25">
      <c r="A135" s="50"/>
      <c r="B135" s="24"/>
      <c r="C135" s="24"/>
      <c r="D135" s="24"/>
      <c r="E135" s="24"/>
      <c r="F135" s="24"/>
      <c r="G135" s="24"/>
      <c r="H135" s="24"/>
      <c r="I135" s="24"/>
      <c r="J135" s="24"/>
      <c r="K135" s="24"/>
    </row>
    <row r="136" spans="1:11" ht="30.75" customHeight="1" x14ac:dyDescent="0.25">
      <c r="A136" s="4" t="s">
        <v>1</v>
      </c>
      <c r="B136" s="5" t="s">
        <v>2</v>
      </c>
      <c r="C136" s="5" t="s">
        <v>3</v>
      </c>
      <c r="D136" s="5" t="s">
        <v>4</v>
      </c>
      <c r="E136" s="5" t="s">
        <v>5</v>
      </c>
      <c r="F136" s="5" t="s">
        <v>6</v>
      </c>
      <c r="G136" s="6" t="s">
        <v>7</v>
      </c>
      <c r="H136" s="4" t="s">
        <v>8</v>
      </c>
      <c r="I136" s="4" t="s">
        <v>9</v>
      </c>
      <c r="J136" s="4" t="s">
        <v>10</v>
      </c>
      <c r="K136" s="4" t="s">
        <v>11</v>
      </c>
    </row>
    <row r="137" spans="1:11" ht="19.149999999999999" customHeight="1" x14ac:dyDescent="0.25">
      <c r="A137" s="51"/>
      <c r="B137" s="153" t="s">
        <v>13</v>
      </c>
      <c r="C137" s="153"/>
      <c r="D137" s="153"/>
      <c r="E137" s="44">
        <f t="shared" ref="E137:J137" si="7">E132</f>
        <v>59</v>
      </c>
      <c r="F137" s="44">
        <f t="shared" si="7"/>
        <v>6</v>
      </c>
      <c r="G137" s="44">
        <f t="shared" si="7"/>
        <v>5080</v>
      </c>
      <c r="H137" s="44">
        <f t="shared" si="7"/>
        <v>7</v>
      </c>
      <c r="I137" s="44">
        <f t="shared" si="7"/>
        <v>0</v>
      </c>
      <c r="J137" s="44">
        <f t="shared" si="7"/>
        <v>36110000</v>
      </c>
      <c r="K137" s="7"/>
    </row>
    <row r="138" spans="1:11" ht="19.149999999999999" customHeight="1" x14ac:dyDescent="0.25">
      <c r="A138" s="33">
        <v>103</v>
      </c>
      <c r="B138" s="14">
        <v>46190</v>
      </c>
      <c r="C138" s="125" t="s">
        <v>749</v>
      </c>
      <c r="D138" s="14">
        <v>46208</v>
      </c>
      <c r="E138" s="124"/>
      <c r="F138" s="124"/>
      <c r="G138" s="124">
        <v>100</v>
      </c>
      <c r="H138" s="124"/>
      <c r="I138" s="124"/>
      <c r="J138" s="124">
        <v>200000</v>
      </c>
      <c r="K138" s="13"/>
    </row>
    <row r="139" spans="1:11" ht="19.149999999999999" customHeight="1" x14ac:dyDescent="0.25">
      <c r="A139" s="33">
        <v>104</v>
      </c>
      <c r="B139" s="14"/>
      <c r="C139" s="125" t="s">
        <v>750</v>
      </c>
      <c r="D139" s="14">
        <v>46229</v>
      </c>
      <c r="E139" s="124">
        <v>1</v>
      </c>
      <c r="F139" s="124"/>
      <c r="G139" s="124"/>
      <c r="H139" s="124"/>
      <c r="I139" s="124"/>
      <c r="J139" s="124">
        <v>250000</v>
      </c>
      <c r="K139" s="130" t="s">
        <v>205</v>
      </c>
    </row>
    <row r="140" spans="1:11" ht="19.149999999999999" customHeight="1" x14ac:dyDescent="0.25">
      <c r="A140" s="33">
        <v>105</v>
      </c>
      <c r="B140" s="14">
        <v>46191</v>
      </c>
      <c r="C140" s="15" t="s">
        <v>703</v>
      </c>
      <c r="D140" s="14">
        <v>46235</v>
      </c>
      <c r="E140" s="16">
        <v>1</v>
      </c>
      <c r="F140" s="16"/>
      <c r="G140" s="17"/>
      <c r="H140" s="17"/>
      <c r="I140" s="17"/>
      <c r="J140" s="17">
        <v>250000</v>
      </c>
      <c r="K140" s="18" t="s">
        <v>44</v>
      </c>
    </row>
    <row r="141" spans="1:11" ht="19.149999999999999" customHeight="1" x14ac:dyDescent="0.25">
      <c r="A141" s="33">
        <v>106</v>
      </c>
      <c r="B141" s="46"/>
      <c r="C141" s="27" t="s">
        <v>704</v>
      </c>
      <c r="D141" s="14">
        <v>46192</v>
      </c>
      <c r="E141" s="27">
        <v>2</v>
      </c>
      <c r="F141" s="27"/>
      <c r="G141" s="27"/>
      <c r="H141" s="27"/>
      <c r="I141" s="27"/>
      <c r="J141" s="29">
        <v>500000</v>
      </c>
      <c r="K141" s="18" t="s">
        <v>48</v>
      </c>
    </row>
    <row r="142" spans="1:11" ht="19.149999999999999" customHeight="1" x14ac:dyDescent="0.25">
      <c r="A142" s="33">
        <v>107</v>
      </c>
      <c r="B142" s="46"/>
      <c r="C142" s="27" t="s">
        <v>705</v>
      </c>
      <c r="D142" s="14">
        <v>46236</v>
      </c>
      <c r="E142" s="27">
        <v>1</v>
      </c>
      <c r="F142" s="27"/>
      <c r="G142" s="27"/>
      <c r="H142" s="27"/>
      <c r="I142" s="27"/>
      <c r="J142" s="29">
        <v>250000</v>
      </c>
      <c r="K142" s="18" t="s">
        <v>44</v>
      </c>
    </row>
    <row r="143" spans="1:11" ht="19.149999999999999" customHeight="1" x14ac:dyDescent="0.25">
      <c r="A143" s="33">
        <v>108</v>
      </c>
      <c r="B143" s="14"/>
      <c r="C143" s="31" t="s">
        <v>706</v>
      </c>
      <c r="D143" s="14">
        <v>46206</v>
      </c>
      <c r="E143" s="31">
        <v>1</v>
      </c>
      <c r="F143" s="31"/>
      <c r="G143" s="31"/>
      <c r="H143" s="31"/>
      <c r="I143" s="31"/>
      <c r="J143" s="32">
        <v>250000</v>
      </c>
      <c r="K143" s="18" t="s">
        <v>47</v>
      </c>
    </row>
    <row r="144" spans="1:11" ht="19.149999999999999" customHeight="1" x14ac:dyDescent="0.25">
      <c r="A144" s="33">
        <v>109</v>
      </c>
      <c r="B144" s="14"/>
      <c r="C144" s="15" t="s">
        <v>707</v>
      </c>
      <c r="D144" s="14">
        <v>46198</v>
      </c>
      <c r="E144" s="16">
        <v>1</v>
      </c>
      <c r="F144" s="16"/>
      <c r="G144" s="34"/>
      <c r="H144" s="17"/>
      <c r="I144" s="17"/>
      <c r="J144" s="17">
        <v>250000</v>
      </c>
      <c r="K144" s="18" t="s">
        <v>44</v>
      </c>
    </row>
    <row r="145" spans="1:11" ht="19.149999999999999" customHeight="1" x14ac:dyDescent="0.25">
      <c r="A145" s="33">
        <v>110</v>
      </c>
      <c r="B145" s="14"/>
      <c r="C145" s="15" t="s">
        <v>708</v>
      </c>
      <c r="D145" s="14">
        <v>46223</v>
      </c>
      <c r="E145" s="16"/>
      <c r="F145" s="16"/>
      <c r="G145" s="34">
        <v>100</v>
      </c>
      <c r="H145" s="17"/>
      <c r="I145" s="17"/>
      <c r="J145" s="17">
        <v>200000</v>
      </c>
      <c r="K145" s="18" t="s">
        <v>689</v>
      </c>
    </row>
    <row r="146" spans="1:11" ht="19.149999999999999" customHeight="1" x14ac:dyDescent="0.25">
      <c r="A146" s="33">
        <v>111</v>
      </c>
      <c r="B146" s="14"/>
      <c r="C146" s="15" t="s">
        <v>709</v>
      </c>
      <c r="D146" s="14">
        <v>46228</v>
      </c>
      <c r="E146" s="16">
        <v>1</v>
      </c>
      <c r="F146" s="16"/>
      <c r="G146" s="34"/>
      <c r="H146" s="17"/>
      <c r="I146" s="17"/>
      <c r="J146" s="17">
        <v>250000</v>
      </c>
      <c r="K146" s="18" t="s">
        <v>43</v>
      </c>
    </row>
    <row r="147" spans="1:11" ht="19.149999999999999" customHeight="1" x14ac:dyDescent="0.25">
      <c r="A147" s="33">
        <v>112</v>
      </c>
      <c r="B147" s="14">
        <v>46192</v>
      </c>
      <c r="C147" s="15" t="s">
        <v>710</v>
      </c>
      <c r="D147" s="14">
        <v>46223</v>
      </c>
      <c r="E147" s="16"/>
      <c r="F147" s="16"/>
      <c r="G147" s="34">
        <v>50</v>
      </c>
      <c r="H147" s="17"/>
      <c r="I147" s="17"/>
      <c r="J147" s="17">
        <v>100000</v>
      </c>
      <c r="K147" s="18" t="s">
        <v>711</v>
      </c>
    </row>
    <row r="148" spans="1:11" ht="19.149999999999999" customHeight="1" x14ac:dyDescent="0.25">
      <c r="A148" s="33">
        <v>113</v>
      </c>
      <c r="B148" s="14"/>
      <c r="C148" s="15" t="s">
        <v>712</v>
      </c>
      <c r="D148" s="14">
        <v>46200</v>
      </c>
      <c r="E148" s="16"/>
      <c r="F148" s="16"/>
      <c r="G148" s="34">
        <v>50</v>
      </c>
      <c r="H148" s="17"/>
      <c r="I148" s="17"/>
      <c r="J148" s="17">
        <v>100000</v>
      </c>
      <c r="K148" s="18" t="s">
        <v>713</v>
      </c>
    </row>
    <row r="149" spans="1:11" ht="19.149999999999999" customHeight="1" x14ac:dyDescent="0.25">
      <c r="A149" s="33">
        <v>114</v>
      </c>
      <c r="B149" s="14"/>
      <c r="C149" s="15" t="s">
        <v>714</v>
      </c>
      <c r="D149" s="14">
        <v>46201</v>
      </c>
      <c r="E149" s="16"/>
      <c r="F149" s="16"/>
      <c r="G149" s="34">
        <v>50</v>
      </c>
      <c r="H149" s="17"/>
      <c r="I149" s="17"/>
      <c r="J149" s="17">
        <v>100000</v>
      </c>
      <c r="K149" s="18" t="s">
        <v>220</v>
      </c>
    </row>
    <row r="150" spans="1:11" ht="19.149999999999999" customHeight="1" x14ac:dyDescent="0.25">
      <c r="A150" s="33">
        <v>115</v>
      </c>
      <c r="B150" s="14"/>
      <c r="C150" s="15" t="s">
        <v>715</v>
      </c>
      <c r="D150" s="14">
        <v>46193</v>
      </c>
      <c r="E150" s="16"/>
      <c r="F150" s="16"/>
      <c r="G150" s="34">
        <v>50</v>
      </c>
      <c r="H150" s="17"/>
      <c r="I150" s="17"/>
      <c r="J150" s="17">
        <v>100000</v>
      </c>
      <c r="K150" s="18" t="s">
        <v>716</v>
      </c>
    </row>
    <row r="151" spans="1:11" ht="19.149999999999999" customHeight="1" x14ac:dyDescent="0.25">
      <c r="A151" s="33">
        <v>116</v>
      </c>
      <c r="B151" s="14"/>
      <c r="C151" s="15" t="s">
        <v>717</v>
      </c>
      <c r="D151" s="14">
        <v>46204</v>
      </c>
      <c r="E151" s="16">
        <v>2</v>
      </c>
      <c r="F151" s="16"/>
      <c r="G151" s="34"/>
      <c r="H151" s="17"/>
      <c r="I151" s="17"/>
      <c r="J151" s="17">
        <v>500000</v>
      </c>
      <c r="K151" s="18" t="s">
        <v>48</v>
      </c>
    </row>
    <row r="152" spans="1:11" ht="19.149999999999999" customHeight="1" x14ac:dyDescent="0.25">
      <c r="A152" s="33">
        <v>117</v>
      </c>
      <c r="B152" s="14"/>
      <c r="C152" s="15" t="s">
        <v>718</v>
      </c>
      <c r="D152" s="14">
        <v>46195</v>
      </c>
      <c r="E152" s="16"/>
      <c r="F152" s="16"/>
      <c r="G152" s="34">
        <v>50</v>
      </c>
      <c r="H152" s="17"/>
      <c r="I152" s="17"/>
      <c r="J152" s="17">
        <v>100000</v>
      </c>
      <c r="K152" s="18" t="s">
        <v>201</v>
      </c>
    </row>
    <row r="153" spans="1:11" ht="19.149999999999999" customHeight="1" x14ac:dyDescent="0.25">
      <c r="A153" s="33">
        <v>118</v>
      </c>
      <c r="B153" s="14">
        <v>46193</v>
      </c>
      <c r="C153" s="15" t="s">
        <v>719</v>
      </c>
      <c r="D153" s="14">
        <v>46194</v>
      </c>
      <c r="E153" s="16"/>
      <c r="F153" s="16"/>
      <c r="G153" s="34">
        <v>50</v>
      </c>
      <c r="H153" s="17"/>
      <c r="I153" s="17"/>
      <c r="J153" s="17">
        <v>100000</v>
      </c>
      <c r="K153" s="18" t="s">
        <v>480</v>
      </c>
    </row>
    <row r="154" spans="1:11" ht="19.149999999999999" customHeight="1" x14ac:dyDescent="0.25">
      <c r="A154" s="33">
        <v>119</v>
      </c>
      <c r="B154" s="14"/>
      <c r="C154" s="15" t="s">
        <v>720</v>
      </c>
      <c r="D154" s="14">
        <v>46223</v>
      </c>
      <c r="E154" s="16">
        <v>1</v>
      </c>
      <c r="F154" s="16"/>
      <c r="G154" s="34"/>
      <c r="H154" s="17">
        <v>1</v>
      </c>
      <c r="I154" s="17"/>
      <c r="J154" s="17">
        <v>350000</v>
      </c>
      <c r="K154" s="18" t="s">
        <v>44</v>
      </c>
    </row>
    <row r="155" spans="1:11" ht="19.149999999999999" customHeight="1" x14ac:dyDescent="0.25">
      <c r="A155" s="33">
        <v>120</v>
      </c>
      <c r="B155" s="14">
        <v>46194</v>
      </c>
      <c r="C155" s="15" t="s">
        <v>721</v>
      </c>
      <c r="D155" s="14">
        <v>46204</v>
      </c>
      <c r="E155" s="16">
        <v>1</v>
      </c>
      <c r="F155" s="16"/>
      <c r="G155" s="34"/>
      <c r="H155" s="17"/>
      <c r="I155" s="17"/>
      <c r="J155" s="17">
        <v>250000</v>
      </c>
      <c r="K155" s="18" t="s">
        <v>44</v>
      </c>
    </row>
    <row r="156" spans="1:11" ht="19.149999999999999" customHeight="1" x14ac:dyDescent="0.25">
      <c r="A156" s="33">
        <v>121</v>
      </c>
      <c r="B156" s="14"/>
      <c r="C156" s="15" t="s">
        <v>722</v>
      </c>
      <c r="D156" s="14">
        <v>46201</v>
      </c>
      <c r="E156" s="16"/>
      <c r="F156" s="16"/>
      <c r="G156" s="34">
        <v>50</v>
      </c>
      <c r="H156" s="17"/>
      <c r="I156" s="17"/>
      <c r="J156" s="17">
        <v>100000</v>
      </c>
      <c r="K156" s="18" t="s">
        <v>203</v>
      </c>
    </row>
    <row r="157" spans="1:11" ht="19.149999999999999" customHeight="1" x14ac:dyDescent="0.25">
      <c r="A157" s="33">
        <v>122</v>
      </c>
      <c r="B157" s="14"/>
      <c r="C157" s="15" t="s">
        <v>723</v>
      </c>
      <c r="D157" s="14">
        <v>46197</v>
      </c>
      <c r="E157" s="16">
        <v>1</v>
      </c>
      <c r="F157" s="16"/>
      <c r="G157" s="34"/>
      <c r="H157" s="17"/>
      <c r="I157" s="17"/>
      <c r="J157" s="17">
        <v>250000</v>
      </c>
      <c r="K157" s="18" t="s">
        <v>43</v>
      </c>
    </row>
    <row r="158" spans="1:11" ht="19.149999999999999" customHeight="1" x14ac:dyDescent="0.25">
      <c r="A158" s="33">
        <v>123</v>
      </c>
      <c r="B158" s="14"/>
      <c r="C158" s="15" t="s">
        <v>724</v>
      </c>
      <c r="D158" s="14">
        <v>46215</v>
      </c>
      <c r="E158" s="16">
        <v>1</v>
      </c>
      <c r="F158" s="16"/>
      <c r="G158" s="34"/>
      <c r="H158" s="17"/>
      <c r="I158" s="17"/>
      <c r="J158" s="17">
        <v>250000</v>
      </c>
      <c r="K158" s="18" t="s">
        <v>47</v>
      </c>
    </row>
    <row r="159" spans="1:11" ht="19.149999999999999" customHeight="1" x14ac:dyDescent="0.25">
      <c r="A159" s="33">
        <v>124</v>
      </c>
      <c r="B159" s="14">
        <v>46195</v>
      </c>
      <c r="C159" s="15" t="s">
        <v>725</v>
      </c>
      <c r="D159" s="14">
        <v>46196</v>
      </c>
      <c r="E159" s="16"/>
      <c r="F159" s="16"/>
      <c r="G159" s="34">
        <v>100</v>
      </c>
      <c r="H159" s="17"/>
      <c r="I159" s="17"/>
      <c r="J159" s="17">
        <v>200000</v>
      </c>
      <c r="K159" s="18" t="s">
        <v>461</v>
      </c>
    </row>
    <row r="160" spans="1:11" ht="19.149999999999999" customHeight="1" x14ac:dyDescent="0.25">
      <c r="A160" s="33">
        <v>125</v>
      </c>
      <c r="B160" s="14"/>
      <c r="C160" s="15" t="s">
        <v>726</v>
      </c>
      <c r="D160" s="14">
        <v>46228</v>
      </c>
      <c r="E160" s="16">
        <v>1</v>
      </c>
      <c r="F160" s="16"/>
      <c r="G160" s="34"/>
      <c r="H160" s="17"/>
      <c r="I160" s="17"/>
      <c r="J160" s="17">
        <v>250000</v>
      </c>
      <c r="K160" s="18" t="s">
        <v>41</v>
      </c>
    </row>
    <row r="161" spans="1:11" ht="19.149999999999999" customHeight="1" x14ac:dyDescent="0.25">
      <c r="A161" s="33">
        <v>126</v>
      </c>
      <c r="B161" s="14"/>
      <c r="C161" s="15" t="s">
        <v>726</v>
      </c>
      <c r="D161" s="14">
        <v>46228</v>
      </c>
      <c r="E161" s="16"/>
      <c r="F161" s="16"/>
      <c r="G161" s="34">
        <v>200</v>
      </c>
      <c r="H161" s="17"/>
      <c r="I161" s="17"/>
      <c r="J161" s="17">
        <v>400000</v>
      </c>
      <c r="K161" s="18" t="s">
        <v>727</v>
      </c>
    </row>
    <row r="162" spans="1:11" ht="19.149999999999999" customHeight="1" x14ac:dyDescent="0.25">
      <c r="A162" s="33">
        <v>127</v>
      </c>
      <c r="B162" s="14"/>
      <c r="C162" s="15" t="s">
        <v>728</v>
      </c>
      <c r="D162" s="14">
        <v>46225</v>
      </c>
      <c r="E162" s="16">
        <v>1</v>
      </c>
      <c r="F162" s="16"/>
      <c r="G162" s="34"/>
      <c r="H162" s="17"/>
      <c r="I162" s="17" t="s">
        <v>809</v>
      </c>
      <c r="J162" s="17">
        <v>1750000</v>
      </c>
      <c r="K162" s="18"/>
    </row>
    <row r="163" spans="1:11" ht="19.149999999999999" customHeight="1" x14ac:dyDescent="0.25">
      <c r="A163" s="33">
        <v>128</v>
      </c>
      <c r="B163" s="131">
        <v>46196</v>
      </c>
      <c r="C163" s="132" t="s">
        <v>729</v>
      </c>
      <c r="D163" s="131">
        <v>46197</v>
      </c>
      <c r="E163" s="133">
        <v>1</v>
      </c>
      <c r="F163" s="133"/>
      <c r="G163" s="134"/>
      <c r="H163" s="135"/>
      <c r="I163" s="135"/>
      <c r="J163" s="135">
        <v>250000</v>
      </c>
      <c r="K163" s="25" t="s">
        <v>49</v>
      </c>
    </row>
    <row r="164" spans="1:11" ht="20.25" customHeight="1" x14ac:dyDescent="0.25">
      <c r="A164" s="47"/>
      <c r="B164" s="41"/>
      <c r="C164" s="155" t="s">
        <v>12</v>
      </c>
      <c r="D164" s="155"/>
      <c r="E164" s="48">
        <f t="shared" ref="E164:J164" si="8">SUM(E137:E163)</f>
        <v>76</v>
      </c>
      <c r="F164" s="48">
        <f t="shared" si="8"/>
        <v>6</v>
      </c>
      <c r="G164" s="48">
        <f t="shared" si="8"/>
        <v>5930</v>
      </c>
      <c r="H164" s="48">
        <f t="shared" si="8"/>
        <v>8</v>
      </c>
      <c r="I164" s="48">
        <f t="shared" si="8"/>
        <v>0</v>
      </c>
      <c r="J164" s="48">
        <f t="shared" si="8"/>
        <v>43660000</v>
      </c>
      <c r="K164" s="41"/>
    </row>
    <row r="165" spans="1:11" ht="19.149999999999999" customHeight="1" x14ac:dyDescent="0.25">
      <c r="A165" s="50"/>
      <c r="B165" s="24"/>
      <c r="C165" s="24"/>
      <c r="D165" s="24"/>
      <c r="E165" s="24"/>
      <c r="F165" s="24"/>
      <c r="G165" s="24"/>
      <c r="H165" s="24"/>
      <c r="I165" s="24"/>
      <c r="J165" s="24"/>
      <c r="K165" s="24"/>
    </row>
    <row r="166" spans="1:11" ht="15.75" x14ac:dyDescent="0.25">
      <c r="A166" s="50"/>
      <c r="B166" s="24"/>
      <c r="C166" s="24"/>
      <c r="D166" s="24"/>
      <c r="E166" s="24"/>
      <c r="F166" s="24"/>
      <c r="G166" s="24"/>
      <c r="H166" s="24"/>
      <c r="I166" s="24"/>
      <c r="J166" s="42"/>
      <c r="K166" s="24"/>
    </row>
    <row r="167" spans="1:11" ht="15.75" x14ac:dyDescent="0.25">
      <c r="A167" s="50"/>
      <c r="B167" s="24"/>
      <c r="C167" s="24"/>
      <c r="D167" s="24"/>
      <c r="E167" s="24"/>
      <c r="F167" s="24"/>
      <c r="G167" s="24"/>
      <c r="H167" s="24"/>
      <c r="I167" s="24"/>
      <c r="J167" s="42"/>
      <c r="K167" s="24"/>
    </row>
    <row r="168" spans="1:11" ht="15.75" x14ac:dyDescent="0.25">
      <c r="A168" s="50"/>
      <c r="B168" s="24"/>
      <c r="C168" s="24"/>
      <c r="D168" s="24"/>
      <c r="E168" s="24"/>
      <c r="F168" s="24"/>
      <c r="G168" s="24"/>
      <c r="H168" s="24"/>
      <c r="I168" s="24"/>
      <c r="J168" s="42"/>
      <c r="K168" s="24"/>
    </row>
    <row r="169" spans="1:11" ht="36.75" customHeight="1" x14ac:dyDescent="0.25">
      <c r="A169" s="4" t="s">
        <v>1</v>
      </c>
      <c r="B169" s="5" t="s">
        <v>2</v>
      </c>
      <c r="C169" s="5" t="s">
        <v>3</v>
      </c>
      <c r="D169" s="5" t="s">
        <v>4</v>
      </c>
      <c r="E169" s="5" t="s">
        <v>5</v>
      </c>
      <c r="F169" s="5" t="s">
        <v>6</v>
      </c>
      <c r="G169" s="6" t="s">
        <v>7</v>
      </c>
      <c r="H169" s="4" t="s">
        <v>8</v>
      </c>
      <c r="I169" s="4" t="s">
        <v>9</v>
      </c>
      <c r="J169" s="4" t="s">
        <v>10</v>
      </c>
      <c r="K169" s="4" t="s">
        <v>11</v>
      </c>
    </row>
    <row r="170" spans="1:11" ht="18.95" customHeight="1" x14ac:dyDescent="0.25">
      <c r="A170" s="51"/>
      <c r="B170" s="153" t="s">
        <v>13</v>
      </c>
      <c r="C170" s="153"/>
      <c r="D170" s="153"/>
      <c r="E170" s="44">
        <f t="shared" ref="E170:J170" si="9">SUM(E164)</f>
        <v>76</v>
      </c>
      <c r="F170" s="44">
        <f t="shared" si="9"/>
        <v>6</v>
      </c>
      <c r="G170" s="44">
        <f t="shared" si="9"/>
        <v>5930</v>
      </c>
      <c r="H170" s="44">
        <f t="shared" si="9"/>
        <v>8</v>
      </c>
      <c r="I170" s="44">
        <f t="shared" si="9"/>
        <v>0</v>
      </c>
      <c r="J170" s="44">
        <f t="shared" si="9"/>
        <v>43660000</v>
      </c>
      <c r="K170" s="7"/>
    </row>
    <row r="171" spans="1:11" ht="18.95" customHeight="1" x14ac:dyDescent="0.25">
      <c r="A171" s="33">
        <v>129</v>
      </c>
      <c r="B171" s="14">
        <v>46196</v>
      </c>
      <c r="C171" s="15" t="s">
        <v>730</v>
      </c>
      <c r="D171" s="14">
        <v>46208</v>
      </c>
      <c r="E171" s="16"/>
      <c r="F171" s="16"/>
      <c r="G171" s="34">
        <v>100</v>
      </c>
      <c r="H171" s="17"/>
      <c r="I171" s="17"/>
      <c r="J171" s="17">
        <v>200000</v>
      </c>
      <c r="K171" s="18" t="s">
        <v>689</v>
      </c>
    </row>
    <row r="172" spans="1:11" ht="18.95" customHeight="1" x14ac:dyDescent="0.25">
      <c r="A172" s="33">
        <v>130</v>
      </c>
      <c r="B172" s="14"/>
      <c r="C172" s="15" t="s">
        <v>731</v>
      </c>
      <c r="D172" s="14">
        <v>46204</v>
      </c>
      <c r="E172" s="16">
        <v>1</v>
      </c>
      <c r="F172" s="16"/>
      <c r="G172" s="34"/>
      <c r="H172" s="17">
        <v>1</v>
      </c>
      <c r="I172" s="17"/>
      <c r="J172" s="17">
        <v>350000</v>
      </c>
      <c r="K172" s="18" t="s">
        <v>732</v>
      </c>
    </row>
    <row r="173" spans="1:11" ht="18.95" customHeight="1" x14ac:dyDescent="0.25">
      <c r="A173" s="33">
        <v>131</v>
      </c>
      <c r="B173" s="46"/>
      <c r="C173" s="15" t="s">
        <v>733</v>
      </c>
      <c r="D173" s="14">
        <v>46208</v>
      </c>
      <c r="E173" s="16"/>
      <c r="F173" s="16"/>
      <c r="G173" s="34">
        <v>50</v>
      </c>
      <c r="H173" s="17"/>
      <c r="I173" s="17"/>
      <c r="J173" s="17">
        <v>100000</v>
      </c>
      <c r="K173" s="18" t="s">
        <v>220</v>
      </c>
    </row>
    <row r="174" spans="1:11" ht="18.95" customHeight="1" x14ac:dyDescent="0.25">
      <c r="A174" s="33">
        <v>132</v>
      </c>
      <c r="B174" s="46"/>
      <c r="C174" s="15" t="s">
        <v>734</v>
      </c>
      <c r="D174" s="14" t="s">
        <v>735</v>
      </c>
      <c r="E174" s="16"/>
      <c r="F174" s="16"/>
      <c r="G174" s="34">
        <v>100</v>
      </c>
      <c r="H174" s="17"/>
      <c r="I174" s="17"/>
      <c r="J174" s="17">
        <v>200000</v>
      </c>
      <c r="K174" s="18" t="s">
        <v>201</v>
      </c>
    </row>
    <row r="175" spans="1:11" ht="18.95" customHeight="1" x14ac:dyDescent="0.25">
      <c r="A175" s="33">
        <v>133</v>
      </c>
      <c r="B175" s="14"/>
      <c r="C175" s="15" t="s">
        <v>736</v>
      </c>
      <c r="D175" s="14">
        <v>46222</v>
      </c>
      <c r="E175" s="16">
        <v>1</v>
      </c>
      <c r="F175" s="16"/>
      <c r="G175" s="34"/>
      <c r="H175" s="17"/>
      <c r="I175" s="17"/>
      <c r="J175" s="17">
        <v>250000</v>
      </c>
      <c r="K175" s="18" t="s">
        <v>41</v>
      </c>
    </row>
    <row r="176" spans="1:11" ht="18.95" customHeight="1" x14ac:dyDescent="0.25">
      <c r="A176" s="33">
        <v>134</v>
      </c>
      <c r="B176" s="14"/>
      <c r="C176" s="15" t="s">
        <v>751</v>
      </c>
      <c r="D176" s="14" t="s">
        <v>752</v>
      </c>
      <c r="E176" s="16"/>
      <c r="F176" s="16"/>
      <c r="G176" s="34">
        <v>1200</v>
      </c>
      <c r="H176" s="17"/>
      <c r="I176" s="17"/>
      <c r="J176" s="17">
        <v>2400000</v>
      </c>
      <c r="K176" s="18"/>
    </row>
    <row r="177" spans="1:11" ht="18.95" customHeight="1" x14ac:dyDescent="0.25">
      <c r="A177" s="33">
        <v>135</v>
      </c>
      <c r="B177" s="14">
        <v>46197</v>
      </c>
      <c r="C177" s="15" t="s">
        <v>737</v>
      </c>
      <c r="D177" s="14">
        <v>46201</v>
      </c>
      <c r="E177" s="16"/>
      <c r="F177" s="16"/>
      <c r="G177" s="34">
        <v>50</v>
      </c>
      <c r="H177" s="17"/>
      <c r="I177" s="17"/>
      <c r="J177" s="17">
        <v>100000</v>
      </c>
      <c r="K177" s="18" t="s">
        <v>713</v>
      </c>
    </row>
    <row r="178" spans="1:11" ht="18.95" customHeight="1" x14ac:dyDescent="0.25">
      <c r="A178" s="33">
        <v>136</v>
      </c>
      <c r="B178" s="14"/>
      <c r="C178" s="15" t="s">
        <v>738</v>
      </c>
      <c r="D178" s="14">
        <v>46204</v>
      </c>
      <c r="E178" s="16">
        <v>1</v>
      </c>
      <c r="F178" s="16"/>
      <c r="G178" s="34"/>
      <c r="H178" s="17"/>
      <c r="I178" s="17"/>
      <c r="J178" s="17">
        <v>250000</v>
      </c>
      <c r="K178" s="18" t="s">
        <v>47</v>
      </c>
    </row>
    <row r="179" spans="1:11" ht="18.95" customHeight="1" x14ac:dyDescent="0.25">
      <c r="A179" s="33">
        <v>137</v>
      </c>
      <c r="B179" s="14"/>
      <c r="C179" s="15" t="s">
        <v>739</v>
      </c>
      <c r="D179" s="14">
        <v>46233</v>
      </c>
      <c r="E179" s="16"/>
      <c r="F179" s="16"/>
      <c r="G179" s="34">
        <v>100</v>
      </c>
      <c r="H179" s="17"/>
      <c r="I179" s="17"/>
      <c r="J179" s="17">
        <v>200000</v>
      </c>
      <c r="K179" s="18" t="s">
        <v>713</v>
      </c>
    </row>
    <row r="180" spans="1:11" ht="18.95" customHeight="1" x14ac:dyDescent="0.25">
      <c r="A180" s="33">
        <v>138</v>
      </c>
      <c r="B180" s="14"/>
      <c r="C180" s="15" t="s">
        <v>740</v>
      </c>
      <c r="D180" s="14">
        <v>46199</v>
      </c>
      <c r="E180" s="16"/>
      <c r="F180" s="16"/>
      <c r="G180" s="34">
        <v>100</v>
      </c>
      <c r="H180" s="17"/>
      <c r="I180" s="17"/>
      <c r="J180" s="17">
        <v>200000</v>
      </c>
      <c r="K180" s="18" t="s">
        <v>480</v>
      </c>
    </row>
    <row r="181" spans="1:11" ht="18.95" customHeight="1" x14ac:dyDescent="0.25">
      <c r="A181" s="33">
        <v>139</v>
      </c>
      <c r="B181" s="14"/>
      <c r="C181" s="15"/>
      <c r="D181" s="14"/>
      <c r="E181" s="16"/>
      <c r="F181" s="16"/>
      <c r="G181" s="34">
        <v>50</v>
      </c>
      <c r="H181" s="17"/>
      <c r="I181" s="17"/>
      <c r="J181" s="17">
        <v>100000</v>
      </c>
      <c r="K181" s="18"/>
    </row>
    <row r="182" spans="1:11" ht="18.95" customHeight="1" x14ac:dyDescent="0.25">
      <c r="A182" s="33">
        <v>140</v>
      </c>
      <c r="B182" s="14">
        <v>46198</v>
      </c>
      <c r="C182" s="15" t="s">
        <v>741</v>
      </c>
      <c r="D182" s="14">
        <v>46203</v>
      </c>
      <c r="E182" s="16"/>
      <c r="F182" s="16"/>
      <c r="G182" s="34">
        <v>100</v>
      </c>
      <c r="H182" s="17"/>
      <c r="I182" s="17"/>
      <c r="J182" s="17">
        <v>200000</v>
      </c>
      <c r="K182" s="18" t="s">
        <v>697</v>
      </c>
    </row>
    <row r="183" spans="1:11" ht="18.95" customHeight="1" x14ac:dyDescent="0.25">
      <c r="A183" s="33">
        <v>141</v>
      </c>
      <c r="B183" s="14"/>
      <c r="C183" s="15" t="s">
        <v>742</v>
      </c>
      <c r="D183" s="14">
        <v>46200</v>
      </c>
      <c r="E183" s="16"/>
      <c r="F183" s="16"/>
      <c r="G183" s="34">
        <v>50</v>
      </c>
      <c r="H183" s="17"/>
      <c r="I183" s="17"/>
      <c r="J183" s="17">
        <v>100000</v>
      </c>
      <c r="K183" s="18" t="s">
        <v>617</v>
      </c>
    </row>
    <row r="184" spans="1:11" ht="18.95" customHeight="1" x14ac:dyDescent="0.25">
      <c r="A184" s="33">
        <v>142</v>
      </c>
      <c r="B184" s="14">
        <v>46199</v>
      </c>
      <c r="C184" s="15" t="s">
        <v>754</v>
      </c>
      <c r="D184" s="14">
        <v>46205</v>
      </c>
      <c r="E184" s="16">
        <v>1</v>
      </c>
      <c r="F184" s="16"/>
      <c r="G184" s="34"/>
      <c r="H184" s="17"/>
      <c r="I184" s="17"/>
      <c r="J184" s="17">
        <v>250000</v>
      </c>
      <c r="K184" s="18" t="s">
        <v>41</v>
      </c>
    </row>
    <row r="185" spans="1:11" ht="18.95" customHeight="1" x14ac:dyDescent="0.25">
      <c r="A185" s="33">
        <v>143</v>
      </c>
      <c r="B185" s="14"/>
      <c r="C185" s="15" t="s">
        <v>755</v>
      </c>
      <c r="D185" s="14">
        <v>46205</v>
      </c>
      <c r="E185" s="16">
        <v>2</v>
      </c>
      <c r="F185" s="16"/>
      <c r="G185" s="34"/>
      <c r="H185" s="17"/>
      <c r="I185" s="17"/>
      <c r="J185" s="17">
        <v>500000</v>
      </c>
      <c r="K185" s="18" t="s">
        <v>186</v>
      </c>
    </row>
    <row r="186" spans="1:11" ht="18.95" customHeight="1" x14ac:dyDescent="0.25">
      <c r="A186" s="33">
        <v>144</v>
      </c>
      <c r="B186" s="14"/>
      <c r="C186" s="15" t="s">
        <v>756</v>
      </c>
      <c r="D186" s="14">
        <v>46208</v>
      </c>
      <c r="E186" s="16">
        <v>1</v>
      </c>
      <c r="F186" s="16"/>
      <c r="G186" s="34"/>
      <c r="H186" s="17"/>
      <c r="I186" s="17"/>
      <c r="J186" s="17">
        <v>250000</v>
      </c>
      <c r="K186" s="18" t="s">
        <v>197</v>
      </c>
    </row>
    <row r="187" spans="1:11" ht="18.95" customHeight="1" x14ac:dyDescent="0.25">
      <c r="A187" s="33">
        <v>145</v>
      </c>
      <c r="B187" s="14"/>
      <c r="C187" s="15" t="s">
        <v>757</v>
      </c>
      <c r="D187" s="14">
        <v>46201</v>
      </c>
      <c r="E187" s="16"/>
      <c r="F187" s="16"/>
      <c r="G187" s="34">
        <v>50</v>
      </c>
      <c r="H187" s="17"/>
      <c r="I187" s="17"/>
      <c r="J187" s="17">
        <v>100000</v>
      </c>
      <c r="K187" s="18" t="s">
        <v>617</v>
      </c>
    </row>
    <row r="188" spans="1:11" ht="18.95" customHeight="1" x14ac:dyDescent="0.25">
      <c r="A188" s="33">
        <v>146</v>
      </c>
      <c r="B188" s="14"/>
      <c r="C188" s="15"/>
      <c r="D188" s="14"/>
      <c r="E188" s="16"/>
      <c r="F188" s="16"/>
      <c r="G188" s="34">
        <v>500</v>
      </c>
      <c r="H188" s="17"/>
      <c r="I188" s="17"/>
      <c r="J188" s="17">
        <v>1000000</v>
      </c>
      <c r="K188" s="18"/>
    </row>
    <row r="189" spans="1:11" ht="18.95" customHeight="1" x14ac:dyDescent="0.25">
      <c r="A189" s="33">
        <v>147</v>
      </c>
      <c r="B189" s="14"/>
      <c r="C189" s="15" t="s">
        <v>758</v>
      </c>
      <c r="D189" s="14">
        <v>46203</v>
      </c>
      <c r="E189" s="16"/>
      <c r="F189" s="16"/>
      <c r="G189" s="34">
        <v>50</v>
      </c>
      <c r="H189" s="17"/>
      <c r="I189" s="17"/>
      <c r="J189" s="17">
        <v>100000</v>
      </c>
      <c r="K189" s="18" t="s">
        <v>746</v>
      </c>
    </row>
    <row r="190" spans="1:11" ht="18.95" customHeight="1" x14ac:dyDescent="0.25">
      <c r="A190" s="33">
        <v>148</v>
      </c>
      <c r="B190" s="14"/>
      <c r="C190" s="15" t="s">
        <v>702</v>
      </c>
      <c r="D190" s="14">
        <v>46200</v>
      </c>
      <c r="E190" s="16"/>
      <c r="F190" s="16"/>
      <c r="G190" s="34">
        <v>50</v>
      </c>
      <c r="H190" s="17"/>
      <c r="I190" s="17"/>
      <c r="J190" s="17">
        <v>100000</v>
      </c>
      <c r="K190" s="18" t="s">
        <v>746</v>
      </c>
    </row>
    <row r="191" spans="1:11" ht="18.95" customHeight="1" x14ac:dyDescent="0.25">
      <c r="A191" s="33">
        <v>149</v>
      </c>
      <c r="B191" s="14"/>
      <c r="C191" s="15" t="s">
        <v>759</v>
      </c>
      <c r="D191" s="14">
        <v>46236</v>
      </c>
      <c r="E191" s="16">
        <v>1</v>
      </c>
      <c r="F191" s="16"/>
      <c r="G191" s="34"/>
      <c r="H191" s="17"/>
      <c r="I191" s="17"/>
      <c r="J191" s="17">
        <v>250000</v>
      </c>
      <c r="K191" s="18" t="s">
        <v>41</v>
      </c>
    </row>
    <row r="192" spans="1:11" ht="18.95" customHeight="1" x14ac:dyDescent="0.25">
      <c r="A192" s="33">
        <v>150</v>
      </c>
      <c r="B192" s="14"/>
      <c r="C192" s="15" t="s">
        <v>674</v>
      </c>
      <c r="D192" s="14">
        <v>46200</v>
      </c>
      <c r="E192" s="16"/>
      <c r="F192" s="16"/>
      <c r="G192" s="34"/>
      <c r="H192" s="17">
        <v>1</v>
      </c>
      <c r="I192" s="17"/>
      <c r="J192" s="17">
        <v>100000</v>
      </c>
      <c r="K192" s="18"/>
    </row>
    <row r="193" spans="1:11" ht="18.95" customHeight="1" x14ac:dyDescent="0.25">
      <c r="A193" s="33">
        <v>151</v>
      </c>
      <c r="B193" s="14"/>
      <c r="C193" s="15" t="s">
        <v>760</v>
      </c>
      <c r="D193" s="14">
        <v>46207</v>
      </c>
      <c r="E193" s="16">
        <v>1</v>
      </c>
      <c r="F193" s="16"/>
      <c r="G193" s="34"/>
      <c r="H193" s="17">
        <v>1</v>
      </c>
      <c r="I193" s="17"/>
      <c r="J193" s="17">
        <v>350000</v>
      </c>
      <c r="K193" s="18" t="s">
        <v>41</v>
      </c>
    </row>
    <row r="194" spans="1:11" ht="18.95" customHeight="1" x14ac:dyDescent="0.25">
      <c r="A194" s="33">
        <v>152</v>
      </c>
      <c r="B194" s="14">
        <v>46200</v>
      </c>
      <c r="C194" s="15" t="s">
        <v>766</v>
      </c>
      <c r="D194" s="14">
        <v>46200</v>
      </c>
      <c r="E194" s="16"/>
      <c r="F194" s="16"/>
      <c r="G194" s="34">
        <v>100</v>
      </c>
      <c r="H194" s="17"/>
      <c r="I194" s="17"/>
      <c r="J194" s="17">
        <v>200000</v>
      </c>
      <c r="K194" s="18" t="s">
        <v>746</v>
      </c>
    </row>
    <row r="195" spans="1:11" ht="18.95" customHeight="1" x14ac:dyDescent="0.25">
      <c r="A195" s="33">
        <v>153</v>
      </c>
      <c r="B195" s="14"/>
      <c r="C195" s="15" t="s">
        <v>761</v>
      </c>
      <c r="D195" s="14">
        <v>46207</v>
      </c>
      <c r="E195" s="16"/>
      <c r="F195" s="16"/>
      <c r="G195" s="34">
        <v>50</v>
      </c>
      <c r="H195" s="17"/>
      <c r="I195" s="17"/>
      <c r="J195" s="17">
        <v>100000</v>
      </c>
      <c r="K195" s="18"/>
    </row>
    <row r="196" spans="1:11" ht="18.95" customHeight="1" x14ac:dyDescent="0.25">
      <c r="A196" s="33">
        <v>154</v>
      </c>
      <c r="B196" s="35"/>
      <c r="C196" s="36" t="s">
        <v>762</v>
      </c>
      <c r="D196" s="14">
        <v>46203</v>
      </c>
      <c r="E196" s="37">
        <v>2</v>
      </c>
      <c r="F196" s="37"/>
      <c r="G196" s="38"/>
      <c r="H196" s="39"/>
      <c r="I196" s="39"/>
      <c r="J196" s="39">
        <v>500000</v>
      </c>
      <c r="K196" s="40" t="s">
        <v>186</v>
      </c>
    </row>
    <row r="197" spans="1:11" ht="20.25" customHeight="1" x14ac:dyDescent="0.25">
      <c r="A197" s="47"/>
      <c r="B197" s="41"/>
      <c r="C197" s="155" t="s">
        <v>12</v>
      </c>
      <c r="D197" s="155"/>
      <c r="E197" s="48">
        <f t="shared" ref="E197:J197" si="10">SUM(E170:E196)</f>
        <v>87</v>
      </c>
      <c r="F197" s="48">
        <f t="shared" si="10"/>
        <v>6</v>
      </c>
      <c r="G197" s="48">
        <f t="shared" si="10"/>
        <v>8630</v>
      </c>
      <c r="H197" s="48">
        <f t="shared" si="10"/>
        <v>11</v>
      </c>
      <c r="I197" s="48">
        <f t="shared" si="10"/>
        <v>0</v>
      </c>
      <c r="J197" s="48">
        <f t="shared" si="10"/>
        <v>52110000</v>
      </c>
      <c r="K197" s="41"/>
    </row>
    <row r="198" spans="1:11" x14ac:dyDescent="0.25">
      <c r="A198" s="1"/>
    </row>
    <row r="199" spans="1:11" x14ac:dyDescent="0.25">
      <c r="A199" s="1"/>
    </row>
    <row r="200" spans="1:11" x14ac:dyDescent="0.25">
      <c r="A200" s="1"/>
    </row>
    <row r="201" spans="1:11" x14ac:dyDescent="0.25">
      <c r="A201" s="1"/>
    </row>
    <row r="202" spans="1:11" x14ac:dyDescent="0.25">
      <c r="A202" s="1"/>
    </row>
    <row r="203" spans="1:11" ht="30.75" customHeight="1" x14ac:dyDescent="0.25">
      <c r="A203" s="4" t="s">
        <v>1</v>
      </c>
      <c r="B203" s="5" t="s">
        <v>2</v>
      </c>
      <c r="C203" s="5" t="s">
        <v>3</v>
      </c>
      <c r="D203" s="5" t="s">
        <v>4</v>
      </c>
      <c r="E203" s="5" t="s">
        <v>5</v>
      </c>
      <c r="F203" s="5" t="s">
        <v>6</v>
      </c>
      <c r="G203" s="6" t="s">
        <v>7</v>
      </c>
      <c r="H203" s="4" t="s">
        <v>8</v>
      </c>
      <c r="I203" s="4" t="s">
        <v>9</v>
      </c>
      <c r="J203" s="4" t="s">
        <v>10</v>
      </c>
      <c r="K203" s="4" t="s">
        <v>11</v>
      </c>
    </row>
    <row r="204" spans="1:11" ht="18.95" customHeight="1" x14ac:dyDescent="0.25">
      <c r="A204" s="51"/>
      <c r="B204" s="153" t="s">
        <v>13</v>
      </c>
      <c r="C204" s="153"/>
      <c r="D204" s="153"/>
      <c r="E204" s="44">
        <f t="shared" ref="E204:J204" si="11">SUM(E197)</f>
        <v>87</v>
      </c>
      <c r="F204" s="44">
        <f t="shared" si="11"/>
        <v>6</v>
      </c>
      <c r="G204" s="44">
        <f t="shared" si="11"/>
        <v>8630</v>
      </c>
      <c r="H204" s="44">
        <f t="shared" si="11"/>
        <v>11</v>
      </c>
      <c r="I204" s="44">
        <f t="shared" si="11"/>
        <v>0</v>
      </c>
      <c r="J204" s="44">
        <f t="shared" si="11"/>
        <v>52110000</v>
      </c>
      <c r="K204" s="7"/>
    </row>
    <row r="205" spans="1:11" ht="18.95" customHeight="1" x14ac:dyDescent="0.25">
      <c r="A205" s="33">
        <v>155</v>
      </c>
      <c r="B205" s="14">
        <v>46200</v>
      </c>
      <c r="C205" s="15"/>
      <c r="D205" s="14"/>
      <c r="E205" s="16">
        <v>1</v>
      </c>
      <c r="F205" s="16"/>
      <c r="G205" s="34"/>
      <c r="H205" s="17"/>
      <c r="I205" s="17"/>
      <c r="J205" s="17">
        <v>250000</v>
      </c>
      <c r="K205" s="18"/>
    </row>
    <row r="206" spans="1:11" ht="18.95" customHeight="1" x14ac:dyDescent="0.25">
      <c r="A206" s="33">
        <v>156</v>
      </c>
      <c r="B206" s="14"/>
      <c r="C206" s="15" t="s">
        <v>726</v>
      </c>
      <c r="D206" s="14">
        <v>46200</v>
      </c>
      <c r="E206" s="16"/>
      <c r="F206" s="16"/>
      <c r="G206" s="34">
        <v>500</v>
      </c>
      <c r="H206" s="17"/>
      <c r="I206" s="17"/>
      <c r="J206" s="17">
        <v>1000000</v>
      </c>
      <c r="K206" s="18" t="s">
        <v>697</v>
      </c>
    </row>
    <row r="207" spans="1:11" ht="18.95" customHeight="1" x14ac:dyDescent="0.25">
      <c r="A207" s="33">
        <v>157</v>
      </c>
      <c r="B207" s="14"/>
      <c r="C207" s="15" t="s">
        <v>763</v>
      </c>
      <c r="D207" s="14">
        <v>46214</v>
      </c>
      <c r="E207" s="16">
        <v>2</v>
      </c>
      <c r="F207" s="16"/>
      <c r="G207" s="34"/>
      <c r="H207" s="17"/>
      <c r="I207" s="17"/>
      <c r="J207" s="17">
        <v>500000</v>
      </c>
      <c r="K207" s="18" t="s">
        <v>186</v>
      </c>
    </row>
    <row r="208" spans="1:11" ht="18.95" customHeight="1" x14ac:dyDescent="0.25">
      <c r="A208" s="33">
        <v>158</v>
      </c>
      <c r="B208" s="14"/>
      <c r="C208" s="15" t="s">
        <v>764</v>
      </c>
      <c r="D208" s="14">
        <v>46215</v>
      </c>
      <c r="E208" s="16"/>
      <c r="F208" s="16"/>
      <c r="G208" s="34">
        <v>100</v>
      </c>
      <c r="H208" s="17"/>
      <c r="I208" s="17"/>
      <c r="J208" s="17">
        <v>200000</v>
      </c>
      <c r="K208" s="18"/>
    </row>
    <row r="209" spans="1:11" ht="18.95" customHeight="1" x14ac:dyDescent="0.25">
      <c r="A209" s="33">
        <v>159</v>
      </c>
      <c r="B209" s="14"/>
      <c r="C209" s="15" t="s">
        <v>765</v>
      </c>
      <c r="D209" s="14">
        <v>46249</v>
      </c>
      <c r="E209" s="16">
        <v>1</v>
      </c>
      <c r="F209" s="16"/>
      <c r="G209" s="34"/>
      <c r="H209" s="17"/>
      <c r="I209" s="17"/>
      <c r="J209" s="17">
        <v>250000</v>
      </c>
      <c r="K209" s="18" t="s">
        <v>41</v>
      </c>
    </row>
    <row r="210" spans="1:11" ht="18.95" customHeight="1" x14ac:dyDescent="0.25">
      <c r="A210" s="33">
        <v>160</v>
      </c>
      <c r="B210" s="14">
        <v>46201</v>
      </c>
      <c r="C210" s="15" t="s">
        <v>795</v>
      </c>
      <c r="D210" s="14">
        <v>46208</v>
      </c>
      <c r="E210" s="16"/>
      <c r="F210" s="16"/>
      <c r="G210" s="34">
        <v>100</v>
      </c>
      <c r="H210" s="17"/>
      <c r="I210" s="17"/>
      <c r="J210" s="17">
        <v>200000</v>
      </c>
      <c r="K210" s="18" t="s">
        <v>617</v>
      </c>
    </row>
    <row r="211" spans="1:11" ht="18.95" customHeight="1" x14ac:dyDescent="0.25">
      <c r="A211" s="33">
        <v>161</v>
      </c>
      <c r="B211" s="14"/>
      <c r="C211" s="15" t="s">
        <v>796</v>
      </c>
      <c r="D211" s="14">
        <v>46201</v>
      </c>
      <c r="E211" s="16">
        <v>1</v>
      </c>
      <c r="F211" s="16"/>
      <c r="G211" s="34"/>
      <c r="H211" s="17"/>
      <c r="I211" s="17"/>
      <c r="J211" s="17">
        <v>250000</v>
      </c>
      <c r="K211" s="18" t="s">
        <v>214</v>
      </c>
    </row>
    <row r="212" spans="1:11" ht="18.95" customHeight="1" x14ac:dyDescent="0.25">
      <c r="A212" s="33">
        <v>162</v>
      </c>
      <c r="B212" s="14"/>
      <c r="C212" s="15" t="s">
        <v>797</v>
      </c>
      <c r="D212" s="14">
        <v>46201</v>
      </c>
      <c r="E212" s="16"/>
      <c r="F212" s="16"/>
      <c r="G212" s="34"/>
      <c r="H212" s="17">
        <v>1</v>
      </c>
      <c r="I212" s="17"/>
      <c r="J212" s="17">
        <v>100000</v>
      </c>
      <c r="K212" s="18"/>
    </row>
    <row r="213" spans="1:11" ht="18.95" customHeight="1" x14ac:dyDescent="0.25">
      <c r="A213" s="33">
        <v>163</v>
      </c>
      <c r="B213" s="14"/>
      <c r="C213" s="15"/>
      <c r="D213" s="14">
        <v>46201</v>
      </c>
      <c r="E213" s="16"/>
      <c r="F213" s="16"/>
      <c r="G213" s="34"/>
      <c r="H213" s="17">
        <v>1</v>
      </c>
      <c r="I213" s="17"/>
      <c r="J213" s="17">
        <v>100000</v>
      </c>
      <c r="K213" s="18"/>
    </row>
    <row r="214" spans="1:11" ht="18.95" customHeight="1" x14ac:dyDescent="0.25">
      <c r="A214" s="33">
        <v>164</v>
      </c>
      <c r="B214" s="14"/>
      <c r="C214" s="15" t="s">
        <v>798</v>
      </c>
      <c r="D214" s="14">
        <v>46201</v>
      </c>
      <c r="E214" s="16"/>
      <c r="F214" s="16"/>
      <c r="G214" s="34"/>
      <c r="H214" s="17">
        <v>1</v>
      </c>
      <c r="I214" s="17"/>
      <c r="J214" s="17">
        <v>100000</v>
      </c>
      <c r="K214" s="18"/>
    </row>
    <row r="215" spans="1:11" ht="18.95" customHeight="1" x14ac:dyDescent="0.25">
      <c r="A215" s="33">
        <v>165</v>
      </c>
      <c r="B215" s="14">
        <v>46202</v>
      </c>
      <c r="C215" s="15" t="s">
        <v>799</v>
      </c>
      <c r="D215" s="14">
        <v>46207</v>
      </c>
      <c r="E215" s="16"/>
      <c r="F215" s="16"/>
      <c r="G215" s="34">
        <v>100</v>
      </c>
      <c r="H215" s="17"/>
      <c r="I215" s="17"/>
      <c r="J215" s="17">
        <v>200000</v>
      </c>
      <c r="K215" s="18" t="s">
        <v>746</v>
      </c>
    </row>
    <row r="216" spans="1:11" ht="18.95" customHeight="1" x14ac:dyDescent="0.25">
      <c r="A216" s="33">
        <v>166</v>
      </c>
      <c r="B216" s="14"/>
      <c r="C216" s="15" t="s">
        <v>800</v>
      </c>
      <c r="D216" s="14">
        <v>46256</v>
      </c>
      <c r="E216" s="16">
        <v>1</v>
      </c>
      <c r="F216" s="16"/>
      <c r="G216" s="34"/>
      <c r="H216" s="17"/>
      <c r="I216" s="17"/>
      <c r="J216" s="17">
        <v>250000</v>
      </c>
      <c r="K216" s="18" t="s">
        <v>214</v>
      </c>
    </row>
    <row r="217" spans="1:11" ht="18.95" customHeight="1" x14ac:dyDescent="0.25">
      <c r="A217" s="33">
        <v>167</v>
      </c>
      <c r="B217" s="14">
        <v>46203</v>
      </c>
      <c r="C217" s="15" t="s">
        <v>127</v>
      </c>
      <c r="D217" s="14">
        <v>46207</v>
      </c>
      <c r="E217" s="16"/>
      <c r="F217" s="16"/>
      <c r="G217" s="34">
        <v>100</v>
      </c>
      <c r="H217" s="17"/>
      <c r="I217" s="17"/>
      <c r="J217" s="17">
        <v>200000</v>
      </c>
      <c r="K217" s="18" t="s">
        <v>461</v>
      </c>
    </row>
    <row r="218" spans="1:11" ht="18.95" customHeight="1" x14ac:dyDescent="0.25">
      <c r="A218" s="33">
        <v>168</v>
      </c>
      <c r="B218" s="14"/>
      <c r="C218" s="15" t="s">
        <v>801</v>
      </c>
      <c r="D218" s="14">
        <v>46208</v>
      </c>
      <c r="E218" s="16"/>
      <c r="F218" s="16"/>
      <c r="G218" s="34">
        <v>100</v>
      </c>
      <c r="H218" s="17"/>
      <c r="I218" s="17"/>
      <c r="J218" s="17">
        <v>200000</v>
      </c>
      <c r="K218" s="18" t="s">
        <v>791</v>
      </c>
    </row>
    <row r="219" spans="1:11" ht="18.95" customHeight="1" x14ac:dyDescent="0.25">
      <c r="A219" s="33">
        <v>169</v>
      </c>
      <c r="B219" s="14"/>
      <c r="C219" s="15" t="s">
        <v>802</v>
      </c>
      <c r="D219" s="14">
        <v>46205</v>
      </c>
      <c r="E219" s="16">
        <v>1</v>
      </c>
      <c r="F219" s="16"/>
      <c r="G219" s="34"/>
      <c r="H219" s="17"/>
      <c r="I219" s="17"/>
      <c r="J219" s="17">
        <v>250000</v>
      </c>
      <c r="K219" s="18" t="s">
        <v>214</v>
      </c>
    </row>
    <row r="220" spans="1:11" ht="18.95" customHeight="1" x14ac:dyDescent="0.25">
      <c r="A220" s="33">
        <v>170</v>
      </c>
      <c r="B220" s="14"/>
      <c r="C220" s="15" t="s">
        <v>803</v>
      </c>
      <c r="D220" s="14">
        <v>46205</v>
      </c>
      <c r="E220" s="16">
        <v>1</v>
      </c>
      <c r="F220" s="16"/>
      <c r="G220" s="34"/>
      <c r="H220" s="17"/>
      <c r="I220" s="17"/>
      <c r="J220" s="17">
        <v>250000</v>
      </c>
      <c r="K220" s="18" t="s">
        <v>49</v>
      </c>
    </row>
    <row r="221" spans="1:11" ht="18.95" customHeight="1" x14ac:dyDescent="0.25">
      <c r="A221" s="33">
        <v>171</v>
      </c>
      <c r="B221" s="14"/>
      <c r="C221" s="15" t="s">
        <v>805</v>
      </c>
      <c r="D221" s="14">
        <v>46215</v>
      </c>
      <c r="E221" s="16"/>
      <c r="F221" s="16"/>
      <c r="G221" s="34">
        <v>50</v>
      </c>
      <c r="H221" s="17"/>
      <c r="I221" s="17"/>
      <c r="J221" s="17">
        <v>100000</v>
      </c>
      <c r="K221" s="18" t="s">
        <v>806</v>
      </c>
    </row>
    <row r="222" spans="1:11" ht="18.95" customHeight="1" x14ac:dyDescent="0.25">
      <c r="A222" s="33">
        <v>172</v>
      </c>
      <c r="B222" s="14"/>
      <c r="C222" s="15" t="s">
        <v>808</v>
      </c>
      <c r="D222" s="14">
        <v>46208</v>
      </c>
      <c r="E222" s="16"/>
      <c r="F222" s="16"/>
      <c r="G222" s="34">
        <v>50</v>
      </c>
      <c r="H222" s="17"/>
      <c r="I222" s="17"/>
      <c r="J222" s="17">
        <v>100000</v>
      </c>
      <c r="K222" s="18" t="s">
        <v>617</v>
      </c>
    </row>
    <row r="223" spans="1:11" ht="18.95" customHeight="1" x14ac:dyDescent="0.25">
      <c r="A223" s="33">
        <v>173</v>
      </c>
      <c r="B223" s="14"/>
      <c r="C223" s="15" t="s">
        <v>804</v>
      </c>
      <c r="D223" s="14">
        <v>46249</v>
      </c>
      <c r="E223" s="16">
        <v>1</v>
      </c>
      <c r="F223" s="16"/>
      <c r="G223" s="34"/>
      <c r="H223" s="17"/>
      <c r="I223" s="17"/>
      <c r="J223" s="17">
        <v>250000</v>
      </c>
      <c r="K223" s="18" t="s">
        <v>197</v>
      </c>
    </row>
    <row r="224" spans="1:11" ht="18.95" customHeight="1" x14ac:dyDescent="0.25">
      <c r="A224" s="33">
        <v>174</v>
      </c>
      <c r="B224" s="14"/>
      <c r="C224" s="15" t="s">
        <v>807</v>
      </c>
      <c r="D224" s="14">
        <v>46204</v>
      </c>
      <c r="E224" s="16">
        <v>1</v>
      </c>
      <c r="F224" s="16"/>
      <c r="G224" s="34"/>
      <c r="H224" s="17"/>
      <c r="I224" s="17"/>
      <c r="J224" s="17">
        <v>250000</v>
      </c>
      <c r="K224" s="18"/>
    </row>
    <row r="225" spans="1:11" ht="20.25" customHeight="1" x14ac:dyDescent="0.25">
      <c r="A225" s="47"/>
      <c r="B225" s="41"/>
      <c r="C225" s="155" t="s">
        <v>12</v>
      </c>
      <c r="D225" s="155"/>
      <c r="E225" s="48">
        <f t="shared" ref="E225:J225" si="12">SUM(E204:E224)</f>
        <v>97</v>
      </c>
      <c r="F225" s="48">
        <f t="shared" si="12"/>
        <v>6</v>
      </c>
      <c r="G225" s="48">
        <f t="shared" si="12"/>
        <v>9730</v>
      </c>
      <c r="H225" s="48">
        <f t="shared" si="12"/>
        <v>14</v>
      </c>
      <c r="I225" s="48">
        <f t="shared" si="12"/>
        <v>0</v>
      </c>
      <c r="J225" s="48">
        <f t="shared" si="12"/>
        <v>57110000</v>
      </c>
      <c r="K225" s="41"/>
    </row>
    <row r="227" spans="1:11" ht="15.75" x14ac:dyDescent="0.25">
      <c r="H227" s="58"/>
      <c r="I227" s="149" t="s">
        <v>810</v>
      </c>
      <c r="J227" s="149"/>
      <c r="K227" s="149"/>
    </row>
    <row r="228" spans="1:11" ht="15.75" customHeight="1" x14ac:dyDescent="0.25">
      <c r="A228" s="148" t="s">
        <v>75</v>
      </c>
      <c r="B228" s="148"/>
      <c r="C228" s="148"/>
      <c r="D228" s="148"/>
      <c r="H228" s="58"/>
      <c r="I228" s="149"/>
      <c r="J228" s="149"/>
      <c r="K228" s="149"/>
    </row>
    <row r="229" spans="1:11" ht="15.75" customHeight="1" x14ac:dyDescent="0.25">
      <c r="A229" s="149" t="s">
        <v>76</v>
      </c>
      <c r="B229" s="149"/>
      <c r="C229" s="149"/>
      <c r="D229" s="149"/>
      <c r="H229" s="58"/>
      <c r="I229" s="149" t="s">
        <v>69</v>
      </c>
      <c r="J229" s="149"/>
      <c r="K229" s="149"/>
    </row>
    <row r="230" spans="1:11" ht="15.75" customHeight="1" x14ac:dyDescent="0.25">
      <c r="A230" s="149" t="s">
        <v>77</v>
      </c>
      <c r="B230" s="149"/>
      <c r="C230" s="149"/>
      <c r="D230" s="149"/>
      <c r="H230" s="55"/>
      <c r="I230" s="55"/>
      <c r="J230" s="56"/>
      <c r="K230" s="56"/>
    </row>
    <row r="231" spans="1:11" ht="15.75" customHeight="1" x14ac:dyDescent="0.25">
      <c r="A231" s="149" t="s">
        <v>65</v>
      </c>
      <c r="B231" s="149"/>
      <c r="C231" s="149"/>
      <c r="D231" s="149"/>
      <c r="H231" s="55"/>
      <c r="I231" s="58"/>
      <c r="J231" s="58"/>
      <c r="K231" s="58"/>
    </row>
    <row r="232" spans="1:11" ht="15.75" x14ac:dyDescent="0.25">
      <c r="A232" s="148" t="s">
        <v>66</v>
      </c>
      <c r="B232" s="148"/>
      <c r="C232" s="148"/>
      <c r="D232" s="148"/>
      <c r="H232" s="55"/>
      <c r="I232" s="149"/>
      <c r="J232" s="149"/>
      <c r="K232" s="149"/>
    </row>
    <row r="233" spans="1:11" ht="15.75" customHeight="1" x14ac:dyDescent="0.25">
      <c r="A233" s="55"/>
      <c r="B233" s="56"/>
      <c r="C233" s="56"/>
      <c r="H233" s="58"/>
      <c r="I233" s="149"/>
      <c r="J233" s="149"/>
      <c r="K233" s="149"/>
    </row>
    <row r="234" spans="1:11" ht="15.75" customHeight="1" x14ac:dyDescent="0.25">
      <c r="A234" s="58"/>
      <c r="B234" s="58"/>
      <c r="C234" s="58"/>
      <c r="E234" s="148"/>
      <c r="F234" s="148"/>
      <c r="G234" s="148"/>
      <c r="H234" s="148"/>
      <c r="I234" s="58"/>
      <c r="J234" s="58"/>
      <c r="K234" s="58"/>
    </row>
    <row r="235" spans="1:11" ht="15.75" customHeight="1" x14ac:dyDescent="0.25">
      <c r="A235" s="149" t="s">
        <v>67</v>
      </c>
      <c r="B235" s="149"/>
      <c r="C235" s="149"/>
      <c r="D235" s="149"/>
      <c r="E235" s="149"/>
      <c r="F235" s="149"/>
      <c r="G235" s="149"/>
      <c r="H235" s="149"/>
      <c r="I235" s="149" t="s">
        <v>70</v>
      </c>
      <c r="J235" s="149"/>
      <c r="K235" s="149"/>
    </row>
    <row r="236" spans="1:11" ht="15.75" customHeight="1" x14ac:dyDescent="0.25">
      <c r="A236" s="149" t="s">
        <v>68</v>
      </c>
      <c r="B236" s="149"/>
      <c r="C236" s="149"/>
      <c r="D236" s="149"/>
      <c r="E236" s="149"/>
      <c r="F236" s="149"/>
      <c r="G236" s="149"/>
      <c r="H236" s="149"/>
      <c r="I236" s="149" t="s">
        <v>71</v>
      </c>
      <c r="J236" s="149"/>
      <c r="K236" s="149"/>
    </row>
    <row r="237" spans="1:11" ht="15.75" customHeight="1" x14ac:dyDescent="0.25">
      <c r="E237" s="149"/>
      <c r="F237" s="149"/>
      <c r="G237" s="149"/>
      <c r="H237" s="149"/>
    </row>
  </sheetData>
  <mergeCells count="34">
    <mergeCell ref="A230:D230"/>
    <mergeCell ref="E235:H235"/>
    <mergeCell ref="E236:H236"/>
    <mergeCell ref="E237:H237"/>
    <mergeCell ref="I233:K233"/>
    <mergeCell ref="A231:D231"/>
    <mergeCell ref="A232:D232"/>
    <mergeCell ref="I232:K232"/>
    <mergeCell ref="E234:H234"/>
    <mergeCell ref="A235:D235"/>
    <mergeCell ref="I235:K235"/>
    <mergeCell ref="A236:D236"/>
    <mergeCell ref="I236:K236"/>
    <mergeCell ref="A1:K1"/>
    <mergeCell ref="A2:K2"/>
    <mergeCell ref="A3:K3"/>
    <mergeCell ref="C30:D30"/>
    <mergeCell ref="B37:D37"/>
    <mergeCell ref="C63:D63"/>
    <mergeCell ref="A229:D229"/>
    <mergeCell ref="I229:K229"/>
    <mergeCell ref="B71:D71"/>
    <mergeCell ref="C98:D98"/>
    <mergeCell ref="B104:D104"/>
    <mergeCell ref="C132:D132"/>
    <mergeCell ref="B137:D137"/>
    <mergeCell ref="C164:D164"/>
    <mergeCell ref="B170:D170"/>
    <mergeCell ref="C197:D197"/>
    <mergeCell ref="B204:D204"/>
    <mergeCell ref="C225:D225"/>
    <mergeCell ref="I227:K227"/>
    <mergeCell ref="A228:D228"/>
    <mergeCell ref="I228:K228"/>
  </mergeCells>
  <pageMargins left="0.35433070866141736" right="0.23622047244094491" top="0.35433070866141736" bottom="0.35433070866141736" header="0.31496062992125984" footer="0.31496062992125984"/>
  <pageSetup paperSize="122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0A6D24-A00C-4C13-83F5-5CC87C337DD4}">
          <x14:formula1>
            <xm:f>Sheet1!$B$3:$B$13</xm:f>
          </x14:formula1>
          <xm:sqref>K231:K237 K228:K229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37C4-F024-41B1-8616-BD37AD0CF004}">
  <dimension ref="A1:K146"/>
  <sheetViews>
    <sheetView workbookViewId="0">
      <selection activeCell="M131" sqref="M131"/>
    </sheetView>
  </sheetViews>
  <sheetFormatPr defaultRowHeight="15" x14ac:dyDescent="0.25"/>
  <cols>
    <col min="1" max="1" width="5.42578125" customWidth="1"/>
    <col min="2" max="2" width="15.7109375" customWidth="1"/>
    <col min="3" max="3" width="39" bestFit="1" customWidth="1"/>
    <col min="4" max="4" width="14.7109375" customWidth="1"/>
    <col min="5" max="5" width="11.5703125" customWidth="1"/>
    <col min="6" max="6" width="12.42578125" customWidth="1"/>
    <col min="7" max="7" width="8.28515625" customWidth="1"/>
    <col min="8" max="8" width="9.28515625" customWidth="1"/>
    <col min="9" max="9" width="16.85546875" customWidth="1"/>
    <col min="10" max="10" width="19.140625" customWidth="1"/>
    <col min="11" max="11" width="22.140625" customWidth="1"/>
  </cols>
  <sheetData>
    <row r="1" spans="1:11" ht="21.75" customHeight="1" x14ac:dyDescent="0.25">
      <c r="A1" s="150" t="s">
        <v>753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5.75" x14ac:dyDescent="0.25">
      <c r="A2" s="150" t="s">
        <v>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5.75" x14ac:dyDescent="0.25">
      <c r="A3" s="150" t="s">
        <v>62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30.75" customHeight="1" x14ac:dyDescent="0.25">
      <c r="A5" s="4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6" t="s">
        <v>7</v>
      </c>
      <c r="H5" s="4" t="s">
        <v>8</v>
      </c>
      <c r="I5" s="4" t="s">
        <v>9</v>
      </c>
      <c r="J5" s="4" t="s">
        <v>10</v>
      </c>
      <c r="K5" s="4" t="s">
        <v>11</v>
      </c>
    </row>
    <row r="6" spans="1:11" ht="19.149999999999999" customHeight="1" x14ac:dyDescent="0.25">
      <c r="A6" s="7">
        <v>1</v>
      </c>
      <c r="B6" s="8">
        <v>46204</v>
      </c>
      <c r="C6" s="9" t="s">
        <v>768</v>
      </c>
      <c r="D6" s="8">
        <v>46250</v>
      </c>
      <c r="E6" s="10">
        <v>1</v>
      </c>
      <c r="F6" s="10"/>
      <c r="G6" s="11"/>
      <c r="H6" s="11"/>
      <c r="I6" s="11"/>
      <c r="J6" s="11">
        <v>250000</v>
      </c>
      <c r="K6" s="12" t="s">
        <v>47</v>
      </c>
    </row>
    <row r="7" spans="1:11" ht="19.149999999999999" customHeight="1" x14ac:dyDescent="0.25">
      <c r="A7" s="13">
        <v>2</v>
      </c>
      <c r="B7" s="14"/>
      <c r="C7" s="15" t="s">
        <v>769</v>
      </c>
      <c r="D7" s="14">
        <v>46259</v>
      </c>
      <c r="E7" s="16">
        <v>1</v>
      </c>
      <c r="F7" s="16"/>
      <c r="G7" s="17"/>
      <c r="H7" s="17"/>
      <c r="I7" s="17"/>
      <c r="J7" s="17">
        <v>250000</v>
      </c>
      <c r="K7" s="18" t="s">
        <v>47</v>
      </c>
    </row>
    <row r="8" spans="1:11" ht="19.149999999999999" customHeight="1" x14ac:dyDescent="0.25">
      <c r="A8" s="13">
        <v>3</v>
      </c>
      <c r="B8" s="14"/>
      <c r="C8" s="18" t="s">
        <v>770</v>
      </c>
      <c r="D8" s="14">
        <v>46206</v>
      </c>
      <c r="E8" s="16"/>
      <c r="F8" s="16"/>
      <c r="G8" s="19">
        <v>300</v>
      </c>
      <c r="H8" s="17"/>
      <c r="I8" s="17"/>
      <c r="J8" s="17">
        <v>600000</v>
      </c>
      <c r="K8" s="18" t="s">
        <v>771</v>
      </c>
    </row>
    <row r="9" spans="1:11" ht="19.149999999999999" customHeight="1" x14ac:dyDescent="0.25">
      <c r="A9" s="13">
        <v>4</v>
      </c>
      <c r="B9" s="14"/>
      <c r="C9" s="15" t="s">
        <v>772</v>
      </c>
      <c r="D9" s="14">
        <v>46207</v>
      </c>
      <c r="E9" s="16"/>
      <c r="F9" s="16"/>
      <c r="G9" s="17">
        <v>70</v>
      </c>
      <c r="H9" s="17"/>
      <c r="I9" s="17"/>
      <c r="J9" s="17">
        <v>140000</v>
      </c>
      <c r="K9" s="18" t="s">
        <v>689</v>
      </c>
    </row>
    <row r="10" spans="1:11" ht="19.149999999999999" customHeight="1" x14ac:dyDescent="0.25">
      <c r="A10" s="13">
        <v>5</v>
      </c>
      <c r="B10" s="14">
        <v>46205</v>
      </c>
      <c r="C10" s="15" t="s">
        <v>773</v>
      </c>
      <c r="D10" s="14">
        <v>46207</v>
      </c>
      <c r="E10" s="16"/>
      <c r="F10" s="16"/>
      <c r="G10" s="17">
        <v>50</v>
      </c>
      <c r="H10" s="17"/>
      <c r="I10" s="17"/>
      <c r="J10" s="17">
        <v>100000</v>
      </c>
      <c r="K10" s="18" t="s">
        <v>451</v>
      </c>
    </row>
    <row r="11" spans="1:11" ht="19.149999999999999" customHeight="1" x14ac:dyDescent="0.25">
      <c r="A11" s="13">
        <v>6</v>
      </c>
      <c r="B11" s="14"/>
      <c r="C11" s="15" t="s">
        <v>774</v>
      </c>
      <c r="D11" s="14">
        <v>46206</v>
      </c>
      <c r="E11" s="16">
        <v>1</v>
      </c>
      <c r="F11" s="16"/>
      <c r="G11" s="17"/>
      <c r="H11" s="17"/>
      <c r="I11" s="17"/>
      <c r="J11" s="17">
        <v>250000</v>
      </c>
      <c r="K11" s="18" t="s">
        <v>41</v>
      </c>
    </row>
    <row r="12" spans="1:11" ht="19.149999999999999" customHeight="1" x14ac:dyDescent="0.25">
      <c r="A12" s="13">
        <v>7</v>
      </c>
      <c r="B12" s="14"/>
      <c r="C12" s="15" t="s">
        <v>775</v>
      </c>
      <c r="D12" s="14">
        <v>46236</v>
      </c>
      <c r="E12" s="16">
        <v>1</v>
      </c>
      <c r="F12" s="16"/>
      <c r="G12" s="17"/>
      <c r="H12" s="17"/>
      <c r="I12" s="17"/>
      <c r="J12" s="17">
        <v>250000</v>
      </c>
      <c r="K12" s="18" t="s">
        <v>43</v>
      </c>
    </row>
    <row r="13" spans="1:11" ht="19.149999999999999" customHeight="1" x14ac:dyDescent="0.25">
      <c r="A13" s="13">
        <v>8</v>
      </c>
      <c r="B13" s="14"/>
      <c r="C13" s="15" t="s">
        <v>776</v>
      </c>
      <c r="D13" s="14">
        <v>46206</v>
      </c>
      <c r="E13" s="16"/>
      <c r="F13" s="16"/>
      <c r="G13" s="17">
        <v>50</v>
      </c>
      <c r="H13" s="17"/>
      <c r="I13" s="17"/>
      <c r="J13" s="17">
        <v>100000</v>
      </c>
      <c r="K13" s="18" t="s">
        <v>777</v>
      </c>
    </row>
    <row r="14" spans="1:11" ht="19.149999999999999" customHeight="1" x14ac:dyDescent="0.25">
      <c r="A14" s="13">
        <v>9</v>
      </c>
      <c r="B14" s="14"/>
      <c r="C14" s="15" t="s">
        <v>778</v>
      </c>
      <c r="D14" s="14">
        <v>46208</v>
      </c>
      <c r="E14" s="16"/>
      <c r="F14" s="16"/>
      <c r="G14" s="17">
        <v>50</v>
      </c>
      <c r="H14" s="17"/>
      <c r="I14" s="17"/>
      <c r="J14" s="17">
        <v>100000</v>
      </c>
      <c r="K14" s="18" t="s">
        <v>451</v>
      </c>
    </row>
    <row r="15" spans="1:11" ht="19.149999999999999" customHeight="1" x14ac:dyDescent="0.25">
      <c r="A15" s="13">
        <v>10</v>
      </c>
      <c r="B15" s="14"/>
      <c r="C15" s="15" t="s">
        <v>779</v>
      </c>
      <c r="D15" s="14">
        <v>46222</v>
      </c>
      <c r="E15" s="16">
        <v>1</v>
      </c>
      <c r="F15" s="16"/>
      <c r="G15" s="17"/>
      <c r="H15" s="17"/>
      <c r="I15" s="17"/>
      <c r="J15" s="17">
        <v>250000</v>
      </c>
      <c r="K15" s="18" t="s">
        <v>44</v>
      </c>
    </row>
    <row r="16" spans="1:11" ht="19.149999999999999" customHeight="1" x14ac:dyDescent="0.25">
      <c r="A16" s="13">
        <v>11</v>
      </c>
      <c r="B16" s="14"/>
      <c r="C16" s="15" t="s">
        <v>780</v>
      </c>
      <c r="D16" s="14">
        <v>46207</v>
      </c>
      <c r="E16" s="16"/>
      <c r="F16" s="16"/>
      <c r="G16" s="17">
        <v>100</v>
      </c>
      <c r="H16" s="17"/>
      <c r="I16" s="17"/>
      <c r="J16" s="17">
        <v>200000</v>
      </c>
      <c r="K16" s="18" t="s">
        <v>220</v>
      </c>
    </row>
    <row r="17" spans="1:11" ht="19.149999999999999" customHeight="1" x14ac:dyDescent="0.25">
      <c r="A17" s="13">
        <v>12</v>
      </c>
      <c r="B17" s="14"/>
      <c r="C17" s="15"/>
      <c r="D17" s="14"/>
      <c r="E17" s="16"/>
      <c r="F17" s="16"/>
      <c r="G17" s="17"/>
      <c r="H17" s="17">
        <v>1</v>
      </c>
      <c r="I17" s="17"/>
      <c r="J17" s="17">
        <v>100000</v>
      </c>
      <c r="K17" s="18"/>
    </row>
    <row r="18" spans="1:11" ht="19.149999999999999" customHeight="1" x14ac:dyDescent="0.25">
      <c r="A18" s="13">
        <v>13</v>
      </c>
      <c r="B18" s="14">
        <v>46206</v>
      </c>
      <c r="C18" s="15" t="s">
        <v>781</v>
      </c>
      <c r="D18" s="14">
        <v>46208</v>
      </c>
      <c r="E18" s="16"/>
      <c r="F18" s="16"/>
      <c r="G18" s="17">
        <v>50</v>
      </c>
      <c r="H18" s="17"/>
      <c r="I18" s="17"/>
      <c r="J18" s="17">
        <v>100000</v>
      </c>
      <c r="K18" s="18" t="s">
        <v>226</v>
      </c>
    </row>
    <row r="19" spans="1:11" ht="19.149999999999999" customHeight="1" x14ac:dyDescent="0.25">
      <c r="A19" s="13">
        <v>14</v>
      </c>
      <c r="B19" s="18"/>
      <c r="C19" s="15" t="s">
        <v>782</v>
      </c>
      <c r="D19" s="20">
        <v>46228</v>
      </c>
      <c r="E19" s="16">
        <v>2</v>
      </c>
      <c r="F19" s="18"/>
      <c r="G19" s="18"/>
      <c r="H19" s="18"/>
      <c r="I19" s="18"/>
      <c r="J19" s="17">
        <v>500000</v>
      </c>
      <c r="K19" s="18" t="s">
        <v>48</v>
      </c>
    </row>
    <row r="20" spans="1:11" ht="19.149999999999999" customHeight="1" x14ac:dyDescent="0.25">
      <c r="A20" s="13">
        <v>15</v>
      </c>
      <c r="B20" s="14"/>
      <c r="C20" s="15" t="s">
        <v>783</v>
      </c>
      <c r="D20" s="14">
        <v>46215</v>
      </c>
      <c r="E20" s="16"/>
      <c r="F20" s="16"/>
      <c r="G20" s="17">
        <v>100</v>
      </c>
      <c r="H20" s="17"/>
      <c r="I20" s="17"/>
      <c r="J20" s="17">
        <v>200000</v>
      </c>
      <c r="K20" s="18" t="s">
        <v>461</v>
      </c>
    </row>
    <row r="21" spans="1:11" x14ac:dyDescent="0.25">
      <c r="A21" s="13">
        <v>16</v>
      </c>
      <c r="B21" s="20">
        <v>46207</v>
      </c>
      <c r="C21" s="15" t="s">
        <v>784</v>
      </c>
      <c r="D21" s="20">
        <v>46214</v>
      </c>
      <c r="E21" s="16"/>
      <c r="F21" s="18"/>
      <c r="G21" s="18">
        <v>50</v>
      </c>
      <c r="H21" s="18"/>
      <c r="I21" s="18"/>
      <c r="J21" s="17">
        <v>100000</v>
      </c>
      <c r="K21" s="18" t="s">
        <v>201</v>
      </c>
    </row>
    <row r="22" spans="1:11" ht="19.149999999999999" customHeight="1" x14ac:dyDescent="0.25">
      <c r="A22" s="13">
        <v>17</v>
      </c>
      <c r="B22" s="14"/>
      <c r="C22" s="21" t="s">
        <v>785</v>
      </c>
      <c r="D22" s="14">
        <v>46213</v>
      </c>
      <c r="E22" s="16">
        <v>1</v>
      </c>
      <c r="F22" s="16"/>
      <c r="G22" s="17"/>
      <c r="H22" s="17"/>
      <c r="I22" s="17"/>
      <c r="J22" s="17">
        <v>250000</v>
      </c>
      <c r="K22" s="18" t="s">
        <v>44</v>
      </c>
    </row>
    <row r="23" spans="1:11" ht="19.149999999999999" customHeight="1" x14ac:dyDescent="0.25">
      <c r="A23" s="13">
        <v>18</v>
      </c>
      <c r="B23" s="14"/>
      <c r="C23" s="21" t="s">
        <v>786</v>
      </c>
      <c r="D23" s="14">
        <v>46247</v>
      </c>
      <c r="E23" s="16">
        <v>1</v>
      </c>
      <c r="F23" s="16"/>
      <c r="G23" s="17"/>
      <c r="H23" s="17"/>
      <c r="I23" s="17"/>
      <c r="J23" s="17">
        <v>250000</v>
      </c>
      <c r="K23" s="18" t="s">
        <v>44</v>
      </c>
    </row>
    <row r="24" spans="1:11" ht="19.149999999999999" customHeight="1" x14ac:dyDescent="0.25">
      <c r="A24" s="13">
        <v>19</v>
      </c>
      <c r="B24" s="14"/>
      <c r="C24" s="21" t="s">
        <v>787</v>
      </c>
      <c r="D24" s="14">
        <v>46207</v>
      </c>
      <c r="E24" s="16"/>
      <c r="F24" s="16"/>
      <c r="G24" s="17"/>
      <c r="H24" s="17">
        <v>1</v>
      </c>
      <c r="I24" s="18"/>
      <c r="J24" s="17">
        <v>100000</v>
      </c>
      <c r="K24" s="18"/>
    </row>
    <row r="25" spans="1:11" ht="19.149999999999999" customHeight="1" x14ac:dyDescent="0.25">
      <c r="A25" s="13">
        <v>20</v>
      </c>
      <c r="B25" s="14">
        <v>46208</v>
      </c>
      <c r="C25" s="15" t="s">
        <v>788</v>
      </c>
      <c r="D25" s="14">
        <v>46210</v>
      </c>
      <c r="E25" s="16">
        <v>1</v>
      </c>
      <c r="F25" s="16"/>
      <c r="G25" s="17"/>
      <c r="H25" s="17"/>
      <c r="I25" s="17"/>
      <c r="J25" s="17">
        <v>250000</v>
      </c>
      <c r="K25" s="18" t="s">
        <v>43</v>
      </c>
    </row>
    <row r="26" spans="1:11" ht="19.149999999999999" customHeight="1" x14ac:dyDescent="0.25">
      <c r="A26" s="13">
        <v>21</v>
      </c>
      <c r="B26" s="14"/>
      <c r="C26" s="15" t="s">
        <v>789</v>
      </c>
      <c r="D26" s="14">
        <v>46250</v>
      </c>
      <c r="E26" s="16"/>
      <c r="F26" s="16"/>
      <c r="G26" s="17">
        <v>150</v>
      </c>
      <c r="H26" s="17"/>
      <c r="I26" s="17"/>
      <c r="J26" s="17">
        <v>300000</v>
      </c>
      <c r="K26" s="18" t="s">
        <v>771</v>
      </c>
    </row>
    <row r="27" spans="1:11" ht="19.149999999999999" customHeight="1" x14ac:dyDescent="0.25">
      <c r="A27" s="13">
        <v>22</v>
      </c>
      <c r="B27" s="14"/>
      <c r="C27" s="15" t="s">
        <v>790</v>
      </c>
      <c r="D27" s="14">
        <v>46215</v>
      </c>
      <c r="E27" s="16"/>
      <c r="F27" s="16"/>
      <c r="G27" s="17">
        <v>100</v>
      </c>
      <c r="H27" s="17"/>
      <c r="I27" s="17"/>
      <c r="J27" s="17">
        <v>200000</v>
      </c>
      <c r="K27" s="18" t="s">
        <v>791</v>
      </c>
    </row>
    <row r="28" spans="1:11" ht="19.149999999999999" customHeight="1" x14ac:dyDescent="0.25">
      <c r="A28" s="13">
        <v>23</v>
      </c>
      <c r="B28" s="14"/>
      <c r="C28" s="15" t="s">
        <v>792</v>
      </c>
      <c r="D28" s="14">
        <v>46208</v>
      </c>
      <c r="E28" s="16"/>
      <c r="F28" s="16"/>
      <c r="G28" s="17"/>
      <c r="H28" s="17">
        <v>1</v>
      </c>
      <c r="I28" s="17"/>
      <c r="J28" s="17">
        <v>100000</v>
      </c>
      <c r="K28" s="18" t="s">
        <v>793</v>
      </c>
    </row>
    <row r="29" spans="1:11" ht="19.149999999999999" customHeight="1" x14ac:dyDescent="0.25">
      <c r="A29" s="13">
        <v>24</v>
      </c>
      <c r="B29" s="14"/>
      <c r="C29" s="15"/>
      <c r="D29" s="14"/>
      <c r="E29" s="16"/>
      <c r="F29" s="16"/>
      <c r="G29" s="17">
        <v>50</v>
      </c>
      <c r="H29" s="17"/>
      <c r="I29" s="17"/>
      <c r="J29" s="17">
        <v>100000</v>
      </c>
      <c r="K29" s="18"/>
    </row>
    <row r="30" spans="1:11" ht="19.149999999999999" customHeight="1" x14ac:dyDescent="0.25">
      <c r="A30" s="13">
        <v>25</v>
      </c>
      <c r="B30" s="14">
        <v>46209</v>
      </c>
      <c r="C30" s="125" t="s">
        <v>794</v>
      </c>
      <c r="D30" s="14">
        <v>46213</v>
      </c>
      <c r="E30" s="124">
        <v>1</v>
      </c>
      <c r="F30" s="124"/>
      <c r="G30" s="124"/>
      <c r="H30" s="124"/>
      <c r="I30" s="124"/>
      <c r="J30" s="124">
        <v>250000</v>
      </c>
      <c r="K30" s="18" t="s">
        <v>41</v>
      </c>
    </row>
    <row r="31" spans="1:11" ht="18.75" customHeight="1" x14ac:dyDescent="0.25">
      <c r="A31" s="13">
        <v>26</v>
      </c>
      <c r="B31" s="14"/>
      <c r="C31" s="125" t="s">
        <v>811</v>
      </c>
      <c r="D31" s="14">
        <v>46243</v>
      </c>
      <c r="E31" s="124">
        <v>1</v>
      </c>
      <c r="F31" s="124"/>
      <c r="G31" s="124"/>
      <c r="H31" s="124"/>
      <c r="I31" s="124"/>
      <c r="J31" s="124">
        <v>250000</v>
      </c>
      <c r="K31" s="18" t="s">
        <v>43</v>
      </c>
    </row>
    <row r="32" spans="1:11" ht="18.75" customHeight="1" x14ac:dyDescent="0.25">
      <c r="A32" s="13">
        <v>27</v>
      </c>
      <c r="B32" s="14"/>
      <c r="C32" s="125" t="s">
        <v>882</v>
      </c>
      <c r="D32" s="14">
        <v>46212</v>
      </c>
      <c r="E32" s="124">
        <v>1</v>
      </c>
      <c r="F32" s="124"/>
      <c r="G32" s="124"/>
      <c r="H32" s="124"/>
      <c r="I32" s="124"/>
      <c r="J32" s="124">
        <v>250000</v>
      </c>
      <c r="K32" s="18" t="s">
        <v>41</v>
      </c>
    </row>
    <row r="33" spans="1:11" ht="18.75" customHeight="1" x14ac:dyDescent="0.25">
      <c r="A33" s="13">
        <v>28</v>
      </c>
      <c r="B33" s="14">
        <v>46210</v>
      </c>
      <c r="C33" s="125" t="s">
        <v>812</v>
      </c>
      <c r="D33" s="14">
        <v>46218</v>
      </c>
      <c r="E33" s="124">
        <v>1</v>
      </c>
      <c r="F33" s="124"/>
      <c r="G33" s="124"/>
      <c r="H33" s="124">
        <v>1</v>
      </c>
      <c r="I33" s="124"/>
      <c r="J33" s="124">
        <v>350000</v>
      </c>
      <c r="K33" s="18" t="s">
        <v>41</v>
      </c>
    </row>
    <row r="34" spans="1:11" ht="18.75" customHeight="1" x14ac:dyDescent="0.25">
      <c r="A34" s="13">
        <v>29</v>
      </c>
      <c r="B34" s="14"/>
      <c r="C34" s="125" t="s">
        <v>813</v>
      </c>
      <c r="D34" s="14">
        <v>46235</v>
      </c>
      <c r="E34" s="124">
        <v>1</v>
      </c>
      <c r="F34" s="124"/>
      <c r="G34" s="124"/>
      <c r="H34" s="124"/>
      <c r="I34" s="124"/>
      <c r="J34" s="124">
        <v>250000</v>
      </c>
      <c r="K34" s="18" t="s">
        <v>41</v>
      </c>
    </row>
    <row r="35" spans="1:11" ht="18.75" customHeight="1" x14ac:dyDescent="0.25">
      <c r="A35" s="13">
        <v>30</v>
      </c>
      <c r="B35" s="14"/>
      <c r="C35" s="125" t="s">
        <v>814</v>
      </c>
      <c r="D35" s="14">
        <v>46225</v>
      </c>
      <c r="E35" s="124">
        <v>1</v>
      </c>
      <c r="F35" s="124"/>
      <c r="G35" s="124"/>
      <c r="H35" s="124"/>
      <c r="I35" s="124"/>
      <c r="J35" s="124">
        <v>250000</v>
      </c>
      <c r="K35" s="18" t="s">
        <v>44</v>
      </c>
    </row>
    <row r="36" spans="1:11" ht="18.75" customHeight="1" x14ac:dyDescent="0.25">
      <c r="A36" s="13">
        <v>31</v>
      </c>
      <c r="B36" s="14"/>
      <c r="C36" s="125" t="s">
        <v>815</v>
      </c>
      <c r="D36" s="14">
        <v>46214</v>
      </c>
      <c r="E36" s="124"/>
      <c r="F36" s="124"/>
      <c r="G36" s="124">
        <v>50</v>
      </c>
      <c r="H36" s="124"/>
      <c r="I36" s="124"/>
      <c r="J36" s="124">
        <v>100000</v>
      </c>
      <c r="K36" s="18" t="s">
        <v>771</v>
      </c>
    </row>
    <row r="37" spans="1:11" ht="18.75" customHeight="1" x14ac:dyDescent="0.25">
      <c r="A37" s="13">
        <v>32</v>
      </c>
      <c r="B37" s="14"/>
      <c r="C37" s="125" t="s">
        <v>816</v>
      </c>
      <c r="D37" s="14">
        <v>46211</v>
      </c>
      <c r="E37" s="124">
        <v>1</v>
      </c>
      <c r="F37" s="124"/>
      <c r="G37" s="124"/>
      <c r="H37" s="124"/>
      <c r="I37" s="124"/>
      <c r="J37" s="124">
        <v>250000</v>
      </c>
      <c r="K37" s="18" t="s">
        <v>44</v>
      </c>
    </row>
    <row r="38" spans="1:11" ht="18.75" customHeight="1" x14ac:dyDescent="0.25">
      <c r="A38" s="13">
        <v>33</v>
      </c>
      <c r="B38" s="14"/>
      <c r="C38" s="125" t="s">
        <v>817</v>
      </c>
      <c r="D38" s="14">
        <v>46215</v>
      </c>
      <c r="E38" s="124"/>
      <c r="F38" s="124"/>
      <c r="G38" s="124">
        <v>50</v>
      </c>
      <c r="H38" s="124"/>
      <c r="I38" s="124"/>
      <c r="J38" s="124">
        <v>100000</v>
      </c>
      <c r="K38" s="18" t="s">
        <v>713</v>
      </c>
    </row>
    <row r="39" spans="1:11" ht="18.75" customHeight="1" x14ac:dyDescent="0.25">
      <c r="A39" s="13">
        <v>34</v>
      </c>
      <c r="B39" s="14"/>
      <c r="C39" s="125" t="s">
        <v>818</v>
      </c>
      <c r="D39" s="14">
        <v>46260</v>
      </c>
      <c r="E39" s="124">
        <v>1</v>
      </c>
      <c r="F39" s="124"/>
      <c r="G39" s="124"/>
      <c r="H39" s="124"/>
      <c r="I39" s="124"/>
      <c r="J39" s="124">
        <v>250000</v>
      </c>
      <c r="K39" s="18" t="s">
        <v>43</v>
      </c>
    </row>
    <row r="40" spans="1:11" ht="18.75" customHeight="1" x14ac:dyDescent="0.25">
      <c r="A40" s="13">
        <v>35</v>
      </c>
      <c r="B40" s="14"/>
      <c r="C40" s="125" t="s">
        <v>819</v>
      </c>
      <c r="D40" s="14">
        <v>46211</v>
      </c>
      <c r="E40" s="124">
        <v>1</v>
      </c>
      <c r="F40" s="124"/>
      <c r="G40" s="124"/>
      <c r="H40" s="124"/>
      <c r="I40" s="124"/>
      <c r="J40" s="124">
        <v>250000</v>
      </c>
      <c r="K40" s="18" t="s">
        <v>43</v>
      </c>
    </row>
    <row r="41" spans="1:11" ht="18.75" customHeight="1" x14ac:dyDescent="0.25">
      <c r="A41" s="13">
        <v>36</v>
      </c>
      <c r="B41" s="14"/>
      <c r="C41" s="125" t="s">
        <v>820</v>
      </c>
      <c r="D41" s="14">
        <v>46249</v>
      </c>
      <c r="E41" s="124">
        <v>1</v>
      </c>
      <c r="F41" s="124"/>
      <c r="G41" s="124"/>
      <c r="H41" s="124"/>
      <c r="I41" s="124"/>
      <c r="J41" s="124">
        <v>250000</v>
      </c>
      <c r="K41" s="18" t="s">
        <v>43</v>
      </c>
    </row>
    <row r="42" spans="1:11" ht="18.75" customHeight="1" x14ac:dyDescent="0.25">
      <c r="A42" s="13">
        <v>37</v>
      </c>
      <c r="B42" s="14"/>
      <c r="C42" s="125" t="s">
        <v>816</v>
      </c>
      <c r="D42" s="14">
        <v>46211</v>
      </c>
      <c r="E42" s="124">
        <v>1</v>
      </c>
      <c r="F42" s="124"/>
      <c r="G42" s="124"/>
      <c r="H42" s="124"/>
      <c r="I42" s="124"/>
      <c r="J42" s="124">
        <v>250000</v>
      </c>
      <c r="K42" s="18"/>
    </row>
    <row r="43" spans="1:11" ht="18.75" customHeight="1" x14ac:dyDescent="0.25">
      <c r="A43" s="13">
        <v>38</v>
      </c>
      <c r="B43" s="14"/>
      <c r="C43" s="125"/>
      <c r="D43" s="14"/>
      <c r="E43" s="124">
        <v>1</v>
      </c>
      <c r="F43" s="124"/>
      <c r="G43" s="124"/>
      <c r="H43" s="124"/>
      <c r="I43" s="124"/>
      <c r="J43" s="124">
        <v>250000</v>
      </c>
      <c r="K43" s="18"/>
    </row>
    <row r="44" spans="1:11" ht="18.75" customHeight="1" x14ac:dyDescent="0.25">
      <c r="A44" s="13">
        <v>39</v>
      </c>
      <c r="B44" s="14">
        <v>46211</v>
      </c>
      <c r="C44" s="125" t="s">
        <v>817</v>
      </c>
      <c r="D44" s="14">
        <v>46215</v>
      </c>
      <c r="E44" s="124"/>
      <c r="F44" s="124"/>
      <c r="G44" s="124">
        <v>50</v>
      </c>
      <c r="H44" s="124"/>
      <c r="I44" s="124"/>
      <c r="J44" s="124">
        <v>100000</v>
      </c>
      <c r="K44" s="18" t="s">
        <v>713</v>
      </c>
    </row>
    <row r="45" spans="1:11" ht="18.75" customHeight="1" x14ac:dyDescent="0.25">
      <c r="A45" s="13">
        <v>40</v>
      </c>
      <c r="B45" s="14"/>
      <c r="C45" s="125" t="s">
        <v>821</v>
      </c>
      <c r="D45" s="14">
        <v>46214</v>
      </c>
      <c r="E45" s="124"/>
      <c r="F45" s="124"/>
      <c r="G45" s="124">
        <v>50</v>
      </c>
      <c r="H45" s="124"/>
      <c r="I45" s="124"/>
      <c r="J45" s="124">
        <v>100000</v>
      </c>
      <c r="K45" s="18" t="s">
        <v>203</v>
      </c>
    </row>
    <row r="46" spans="1:11" ht="18.75" customHeight="1" x14ac:dyDescent="0.25">
      <c r="A46" s="13">
        <v>41</v>
      </c>
      <c r="B46" s="14"/>
      <c r="C46" s="125" t="s">
        <v>820</v>
      </c>
      <c r="D46" s="14">
        <v>46249</v>
      </c>
      <c r="E46" s="124"/>
      <c r="F46" s="124"/>
      <c r="G46" s="124">
        <v>50</v>
      </c>
      <c r="H46" s="124"/>
      <c r="I46" s="124"/>
      <c r="J46" s="124">
        <v>100000</v>
      </c>
      <c r="K46" s="18" t="s">
        <v>451</v>
      </c>
    </row>
    <row r="47" spans="1:11" ht="18.75" customHeight="1" x14ac:dyDescent="0.25">
      <c r="A47" s="13">
        <v>42</v>
      </c>
      <c r="B47" s="14"/>
      <c r="C47" s="125" t="s">
        <v>822</v>
      </c>
      <c r="D47" s="14">
        <v>46236</v>
      </c>
      <c r="E47" s="124">
        <v>1</v>
      </c>
      <c r="F47" s="124"/>
      <c r="G47" s="124"/>
      <c r="H47" s="124"/>
      <c r="I47" s="124"/>
      <c r="J47" s="124">
        <v>250000</v>
      </c>
      <c r="K47" s="18" t="s">
        <v>49</v>
      </c>
    </row>
    <row r="48" spans="1:11" ht="18.75" customHeight="1" x14ac:dyDescent="0.25">
      <c r="A48" s="13">
        <v>43</v>
      </c>
      <c r="B48" s="14"/>
      <c r="C48" s="125" t="s">
        <v>823</v>
      </c>
      <c r="D48" s="14">
        <v>46222</v>
      </c>
      <c r="E48" s="124"/>
      <c r="F48" s="124"/>
      <c r="G48" s="124">
        <v>50</v>
      </c>
      <c r="H48" s="124"/>
      <c r="I48" s="124"/>
      <c r="J48" s="124">
        <v>100000</v>
      </c>
      <c r="K48" s="18" t="s">
        <v>451</v>
      </c>
    </row>
    <row r="49" spans="1:11" ht="18.75" customHeight="1" x14ac:dyDescent="0.25">
      <c r="A49" s="13">
        <v>44</v>
      </c>
      <c r="B49" s="14"/>
      <c r="C49" s="125" t="s">
        <v>879</v>
      </c>
      <c r="D49" s="14">
        <v>46228</v>
      </c>
      <c r="E49" s="124"/>
      <c r="F49" s="124"/>
      <c r="G49" s="124"/>
      <c r="H49" s="124"/>
      <c r="I49" s="124" t="s">
        <v>512</v>
      </c>
      <c r="J49" s="124">
        <v>250000</v>
      </c>
      <c r="K49" s="18"/>
    </row>
    <row r="50" spans="1:11" ht="18.75" customHeight="1" x14ac:dyDescent="0.25">
      <c r="A50" s="13">
        <v>45</v>
      </c>
      <c r="B50" s="14">
        <v>46212</v>
      </c>
      <c r="C50" s="125" t="s">
        <v>824</v>
      </c>
      <c r="D50" s="14">
        <v>46214</v>
      </c>
      <c r="E50" s="124"/>
      <c r="F50" s="124"/>
      <c r="G50" s="124">
        <v>100</v>
      </c>
      <c r="H50" s="124"/>
      <c r="I50" s="124"/>
      <c r="J50" s="124">
        <v>200000</v>
      </c>
      <c r="K50" s="18" t="s">
        <v>791</v>
      </c>
    </row>
    <row r="51" spans="1:11" ht="18.75" customHeight="1" x14ac:dyDescent="0.25">
      <c r="A51" s="13">
        <v>46</v>
      </c>
      <c r="B51" s="14"/>
      <c r="C51" s="125" t="s">
        <v>825</v>
      </c>
      <c r="D51" s="14">
        <v>46222</v>
      </c>
      <c r="E51" s="124"/>
      <c r="F51" s="124"/>
      <c r="G51" s="124">
        <v>50</v>
      </c>
      <c r="H51" s="124"/>
      <c r="I51" s="124"/>
      <c r="J51" s="124">
        <v>100000</v>
      </c>
      <c r="K51" s="18" t="s">
        <v>201</v>
      </c>
    </row>
    <row r="52" spans="1:11" ht="18.75" customHeight="1" x14ac:dyDescent="0.25">
      <c r="A52" s="13">
        <v>47</v>
      </c>
      <c r="B52" s="14"/>
      <c r="C52" s="125" t="s">
        <v>826</v>
      </c>
      <c r="D52" s="14">
        <v>46236</v>
      </c>
      <c r="E52" s="124">
        <v>2</v>
      </c>
      <c r="F52" s="124"/>
      <c r="G52" s="124"/>
      <c r="H52" s="124"/>
      <c r="I52" s="124"/>
      <c r="J52" s="124">
        <v>500000</v>
      </c>
      <c r="K52" s="18" t="s">
        <v>48</v>
      </c>
    </row>
    <row r="53" spans="1:11" ht="18.75" customHeight="1" x14ac:dyDescent="0.25">
      <c r="A53" s="13">
        <v>48</v>
      </c>
      <c r="B53" s="14"/>
      <c r="C53" s="125" t="s">
        <v>827</v>
      </c>
      <c r="D53" s="14">
        <v>46236</v>
      </c>
      <c r="E53" s="124"/>
      <c r="F53" s="124"/>
      <c r="G53" s="124">
        <v>300</v>
      </c>
      <c r="H53" s="124"/>
      <c r="I53" s="124"/>
      <c r="J53" s="124">
        <v>600000</v>
      </c>
      <c r="K53" s="18" t="s">
        <v>771</v>
      </c>
    </row>
    <row r="54" spans="1:11" ht="18.75" customHeight="1" x14ac:dyDescent="0.25">
      <c r="A54" s="13">
        <v>49</v>
      </c>
      <c r="B54" s="14">
        <v>46213</v>
      </c>
      <c r="C54" s="125" t="s">
        <v>828</v>
      </c>
      <c r="D54" s="14">
        <v>46234</v>
      </c>
      <c r="E54" s="124">
        <v>1</v>
      </c>
      <c r="F54" s="124"/>
      <c r="G54" s="124"/>
      <c r="H54" s="124"/>
      <c r="I54" s="124"/>
      <c r="J54" s="124">
        <v>250000</v>
      </c>
      <c r="K54" s="18" t="s">
        <v>47</v>
      </c>
    </row>
    <row r="55" spans="1:11" ht="18.75" customHeight="1" x14ac:dyDescent="0.25">
      <c r="A55" s="13">
        <v>50</v>
      </c>
      <c r="B55" s="14"/>
      <c r="C55" s="125" t="s">
        <v>829</v>
      </c>
      <c r="D55" s="14">
        <v>46215</v>
      </c>
      <c r="E55" s="124"/>
      <c r="F55" s="124"/>
      <c r="G55" s="124">
        <v>50</v>
      </c>
      <c r="H55" s="124"/>
      <c r="I55" s="124"/>
      <c r="J55" s="124">
        <v>100000</v>
      </c>
      <c r="K55" s="18" t="s">
        <v>689</v>
      </c>
    </row>
    <row r="56" spans="1:11" ht="18.75" customHeight="1" x14ac:dyDescent="0.25">
      <c r="A56" s="13">
        <v>51</v>
      </c>
      <c r="B56" s="14"/>
      <c r="C56" s="125" t="s">
        <v>830</v>
      </c>
      <c r="D56" s="14">
        <v>46214</v>
      </c>
      <c r="E56" s="124"/>
      <c r="F56" s="124"/>
      <c r="G56" s="124">
        <v>100</v>
      </c>
      <c r="H56" s="124"/>
      <c r="I56" s="124"/>
      <c r="J56" s="124">
        <v>200000</v>
      </c>
      <c r="K56" s="18" t="s">
        <v>461</v>
      </c>
    </row>
    <row r="57" spans="1:11" ht="18.75" customHeight="1" x14ac:dyDescent="0.25">
      <c r="A57" s="13">
        <v>52</v>
      </c>
      <c r="B57" s="14"/>
      <c r="C57" s="125" t="s">
        <v>831</v>
      </c>
      <c r="D57" s="14">
        <v>46229</v>
      </c>
      <c r="E57" s="124"/>
      <c r="F57" s="124"/>
      <c r="G57" s="124">
        <v>100</v>
      </c>
      <c r="H57" s="124"/>
      <c r="I57" s="124"/>
      <c r="J57" s="124">
        <v>200000</v>
      </c>
      <c r="K57" s="18" t="s">
        <v>461</v>
      </c>
    </row>
    <row r="58" spans="1:11" ht="18.75" customHeight="1" x14ac:dyDescent="0.25">
      <c r="A58" s="13">
        <v>53</v>
      </c>
      <c r="B58" s="14">
        <v>46214</v>
      </c>
      <c r="C58" s="125" t="s">
        <v>832</v>
      </c>
      <c r="D58" s="14">
        <v>46214</v>
      </c>
      <c r="E58" s="124">
        <v>1</v>
      </c>
      <c r="F58" s="124"/>
      <c r="G58" s="124"/>
      <c r="H58" s="124"/>
      <c r="I58" s="124"/>
      <c r="J58" s="124">
        <v>250000</v>
      </c>
      <c r="K58" s="18" t="s">
        <v>47</v>
      </c>
    </row>
    <row r="59" spans="1:11" ht="18.75" customHeight="1" x14ac:dyDescent="0.25">
      <c r="A59" s="13">
        <v>54</v>
      </c>
      <c r="B59" s="14"/>
      <c r="C59" s="125" t="s">
        <v>833</v>
      </c>
      <c r="D59" s="14">
        <v>46205</v>
      </c>
      <c r="E59" s="124"/>
      <c r="F59" s="124"/>
      <c r="G59" s="124">
        <v>50</v>
      </c>
      <c r="H59" s="124"/>
      <c r="I59" s="124"/>
      <c r="J59" s="124">
        <v>100000</v>
      </c>
      <c r="K59" s="18" t="s">
        <v>201</v>
      </c>
    </row>
    <row r="60" spans="1:11" ht="18.75" customHeight="1" x14ac:dyDescent="0.25">
      <c r="A60" s="13">
        <v>55</v>
      </c>
      <c r="B60" s="14"/>
      <c r="C60" s="125" t="s">
        <v>834</v>
      </c>
      <c r="D60" s="14">
        <v>46238</v>
      </c>
      <c r="E60" s="124">
        <v>1</v>
      </c>
      <c r="F60" s="124"/>
      <c r="G60" s="124"/>
      <c r="H60" s="124"/>
      <c r="I60" s="124"/>
      <c r="J60" s="124">
        <v>250000</v>
      </c>
      <c r="K60" s="18" t="s">
        <v>49</v>
      </c>
    </row>
    <row r="61" spans="1:11" ht="18.75" customHeight="1" x14ac:dyDescent="0.25">
      <c r="A61" s="13">
        <v>56</v>
      </c>
      <c r="B61" s="14"/>
      <c r="C61" s="125"/>
      <c r="D61" s="14"/>
      <c r="E61" s="124"/>
      <c r="F61" s="124"/>
      <c r="G61" s="124"/>
      <c r="H61" s="124">
        <v>1</v>
      </c>
      <c r="I61" s="124"/>
      <c r="J61" s="124">
        <v>100000</v>
      </c>
      <c r="K61" s="18"/>
    </row>
    <row r="62" spans="1:11" ht="18.75" customHeight="1" x14ac:dyDescent="0.25">
      <c r="A62" s="13">
        <v>57</v>
      </c>
      <c r="B62" s="14">
        <v>46215</v>
      </c>
      <c r="C62" s="125" t="s">
        <v>835</v>
      </c>
      <c r="D62" s="14">
        <v>46215</v>
      </c>
      <c r="E62" s="124">
        <v>0</v>
      </c>
      <c r="F62" s="124"/>
      <c r="G62" s="124"/>
      <c r="H62" s="124">
        <v>1</v>
      </c>
      <c r="I62" s="124"/>
      <c r="J62" s="124">
        <v>100000</v>
      </c>
      <c r="K62" s="18" t="s">
        <v>836</v>
      </c>
    </row>
    <row r="63" spans="1:11" ht="19.149999999999999" customHeight="1" x14ac:dyDescent="0.25">
      <c r="A63" s="13">
        <v>58</v>
      </c>
      <c r="B63" s="14"/>
      <c r="C63" s="125" t="s">
        <v>837</v>
      </c>
      <c r="D63" s="14">
        <v>46222</v>
      </c>
      <c r="E63" s="124"/>
      <c r="F63" s="124"/>
      <c r="G63" s="124">
        <v>50</v>
      </c>
      <c r="H63" s="124"/>
      <c r="I63" s="124"/>
      <c r="J63" s="124">
        <v>100000</v>
      </c>
      <c r="K63" s="18" t="s">
        <v>791</v>
      </c>
    </row>
    <row r="64" spans="1:11" ht="19.149999999999999" customHeight="1" x14ac:dyDescent="0.25">
      <c r="A64" s="13">
        <v>59</v>
      </c>
      <c r="B64" s="14"/>
      <c r="C64" s="125" t="s">
        <v>339</v>
      </c>
      <c r="D64" s="14">
        <v>46243</v>
      </c>
      <c r="E64" s="124"/>
      <c r="F64" s="124"/>
      <c r="G64" s="124">
        <v>50</v>
      </c>
      <c r="H64" s="124"/>
      <c r="I64" s="124"/>
      <c r="J64" s="124">
        <v>100000</v>
      </c>
      <c r="K64" s="18" t="s">
        <v>461</v>
      </c>
    </row>
    <row r="65" spans="1:11" ht="19.149999999999999" customHeight="1" x14ac:dyDescent="0.25">
      <c r="A65" s="13">
        <v>60</v>
      </c>
      <c r="B65" s="14"/>
      <c r="C65" s="125" t="s">
        <v>838</v>
      </c>
      <c r="D65" s="14">
        <v>46221</v>
      </c>
      <c r="E65" s="124"/>
      <c r="F65" s="124"/>
      <c r="G65" s="124">
        <v>50</v>
      </c>
      <c r="H65" s="124"/>
      <c r="I65" s="124"/>
      <c r="J65" s="124">
        <v>100000</v>
      </c>
      <c r="K65" s="18" t="s">
        <v>201</v>
      </c>
    </row>
    <row r="66" spans="1:11" ht="19.149999999999999" customHeight="1" x14ac:dyDescent="0.25">
      <c r="A66" s="13">
        <v>61</v>
      </c>
      <c r="B66" s="14"/>
      <c r="C66" s="125" t="s">
        <v>839</v>
      </c>
      <c r="D66" s="14">
        <v>46242</v>
      </c>
      <c r="E66" s="124">
        <v>1</v>
      </c>
      <c r="F66" s="124"/>
      <c r="G66" s="124"/>
      <c r="H66" s="124"/>
      <c r="I66" s="124"/>
      <c r="J66" s="124">
        <v>250000</v>
      </c>
      <c r="K66" s="18" t="s">
        <v>49</v>
      </c>
    </row>
    <row r="67" spans="1:11" ht="19.149999999999999" customHeight="1" x14ac:dyDescent="0.25">
      <c r="A67" s="13">
        <v>62</v>
      </c>
      <c r="B67" s="14"/>
      <c r="C67" s="125" t="s">
        <v>878</v>
      </c>
      <c r="D67" s="14">
        <v>46250</v>
      </c>
      <c r="E67" s="124">
        <v>1</v>
      </c>
      <c r="F67" s="124"/>
      <c r="G67" s="124"/>
      <c r="H67" s="124"/>
      <c r="I67" s="124"/>
      <c r="J67" s="124">
        <v>250000</v>
      </c>
      <c r="K67" s="18" t="s">
        <v>617</v>
      </c>
    </row>
    <row r="68" spans="1:11" ht="19.149999999999999" customHeight="1" x14ac:dyDescent="0.25">
      <c r="A68" s="13">
        <v>63</v>
      </c>
      <c r="B68" s="14">
        <v>46216</v>
      </c>
      <c r="C68" s="125" t="s">
        <v>757</v>
      </c>
      <c r="D68" s="14">
        <v>46249</v>
      </c>
      <c r="E68" s="124">
        <v>2</v>
      </c>
      <c r="F68" s="124"/>
      <c r="G68" s="124"/>
      <c r="H68" s="124">
        <v>1</v>
      </c>
      <c r="I68" s="124"/>
      <c r="J68" s="124">
        <v>600000</v>
      </c>
      <c r="K68" s="18" t="s">
        <v>48</v>
      </c>
    </row>
    <row r="69" spans="1:11" ht="19.149999999999999" customHeight="1" x14ac:dyDescent="0.25">
      <c r="A69" s="13">
        <v>64</v>
      </c>
      <c r="B69" s="14"/>
      <c r="C69" s="125" t="s">
        <v>840</v>
      </c>
      <c r="D69" s="14">
        <v>46228</v>
      </c>
      <c r="E69" s="124">
        <v>1</v>
      </c>
      <c r="F69" s="124"/>
      <c r="G69" s="124"/>
      <c r="H69" s="124"/>
      <c r="I69" s="124"/>
      <c r="J69" s="124">
        <v>250000</v>
      </c>
      <c r="K69" s="18" t="s">
        <v>44</v>
      </c>
    </row>
    <row r="70" spans="1:11" ht="19.149999999999999" customHeight="1" x14ac:dyDescent="0.25">
      <c r="A70" s="13">
        <v>65</v>
      </c>
      <c r="B70" s="14"/>
      <c r="C70" s="125" t="s">
        <v>880</v>
      </c>
      <c r="D70" s="14">
        <v>46218</v>
      </c>
      <c r="E70" s="124"/>
      <c r="F70" s="124"/>
      <c r="G70" s="124"/>
      <c r="H70" s="124"/>
      <c r="I70" s="124" t="s">
        <v>881</v>
      </c>
      <c r="J70" s="124">
        <v>2500000</v>
      </c>
      <c r="K70" s="18"/>
    </row>
    <row r="71" spans="1:11" ht="19.149999999999999" customHeight="1" x14ac:dyDescent="0.25">
      <c r="A71" s="13">
        <v>66</v>
      </c>
      <c r="B71" s="14">
        <v>46217</v>
      </c>
      <c r="C71" s="125" t="s">
        <v>841</v>
      </c>
      <c r="D71" s="14" t="s">
        <v>842</v>
      </c>
      <c r="E71" s="124">
        <v>1</v>
      </c>
      <c r="F71" s="124"/>
      <c r="G71" s="124"/>
      <c r="H71" s="124"/>
      <c r="I71" s="124"/>
      <c r="J71" s="124">
        <v>250000</v>
      </c>
      <c r="K71" s="18" t="s">
        <v>47</v>
      </c>
    </row>
    <row r="72" spans="1:11" ht="19.149999999999999" customHeight="1" x14ac:dyDescent="0.25">
      <c r="A72" s="13">
        <v>67</v>
      </c>
      <c r="B72" s="14"/>
      <c r="C72" s="125" t="s">
        <v>843</v>
      </c>
      <c r="D72" s="14">
        <v>46198</v>
      </c>
      <c r="E72" s="124"/>
      <c r="F72" s="124"/>
      <c r="G72" s="124">
        <v>100</v>
      </c>
      <c r="H72" s="124"/>
      <c r="I72" s="124"/>
      <c r="J72" s="124">
        <v>200000</v>
      </c>
      <c r="K72" s="18" t="s">
        <v>689</v>
      </c>
    </row>
    <row r="73" spans="1:11" ht="19.149999999999999" customHeight="1" x14ac:dyDescent="0.25">
      <c r="A73" s="13">
        <v>68</v>
      </c>
      <c r="B73" s="131"/>
      <c r="C73" s="136" t="s">
        <v>844</v>
      </c>
      <c r="D73" s="131">
        <v>46221</v>
      </c>
      <c r="E73" s="137">
        <v>1</v>
      </c>
      <c r="F73" s="137"/>
      <c r="G73" s="137"/>
      <c r="H73" s="137"/>
      <c r="I73" s="137"/>
      <c r="J73" s="137">
        <v>250000</v>
      </c>
      <c r="K73" s="25" t="s">
        <v>49</v>
      </c>
    </row>
    <row r="74" spans="1:11" ht="19.149999999999999" customHeight="1" x14ac:dyDescent="0.25">
      <c r="A74" s="13">
        <v>69</v>
      </c>
      <c r="B74" s="138">
        <v>46218</v>
      </c>
      <c r="C74" s="139" t="s">
        <v>845</v>
      </c>
      <c r="D74" s="138">
        <v>46224</v>
      </c>
      <c r="E74" s="6">
        <v>2</v>
      </c>
      <c r="F74" s="6"/>
      <c r="G74" s="6"/>
      <c r="H74" s="6"/>
      <c r="I74" s="6"/>
      <c r="J74" s="6">
        <v>500000</v>
      </c>
      <c r="K74" s="140" t="s">
        <v>48</v>
      </c>
    </row>
    <row r="75" spans="1:11" ht="19.149999999999999" customHeight="1" x14ac:dyDescent="0.25">
      <c r="A75" s="13">
        <v>70</v>
      </c>
      <c r="B75" s="138"/>
      <c r="C75" s="139" t="s">
        <v>846</v>
      </c>
      <c r="D75" s="138">
        <v>46222</v>
      </c>
      <c r="E75" s="6"/>
      <c r="F75" s="6"/>
      <c r="G75" s="6">
        <v>50</v>
      </c>
      <c r="H75" s="6"/>
      <c r="I75" s="6"/>
      <c r="J75" s="6">
        <v>100000</v>
      </c>
      <c r="K75" s="140" t="s">
        <v>226</v>
      </c>
    </row>
    <row r="76" spans="1:11" ht="19.149999999999999" customHeight="1" x14ac:dyDescent="0.25">
      <c r="A76" s="13">
        <v>71</v>
      </c>
      <c r="B76" s="138"/>
      <c r="C76" s="139" t="s">
        <v>847</v>
      </c>
      <c r="D76" s="138">
        <v>46264</v>
      </c>
      <c r="E76" s="6">
        <v>1</v>
      </c>
      <c r="F76" s="6"/>
      <c r="G76" s="6"/>
      <c r="H76" s="6"/>
      <c r="I76" s="6"/>
      <c r="J76" s="6">
        <v>250000</v>
      </c>
      <c r="K76" s="140" t="s">
        <v>43</v>
      </c>
    </row>
    <row r="77" spans="1:11" ht="19.149999999999999" customHeight="1" x14ac:dyDescent="0.25">
      <c r="A77" s="13">
        <v>72</v>
      </c>
      <c r="B77" s="138"/>
      <c r="C77" s="139" t="s">
        <v>848</v>
      </c>
      <c r="D77" s="138">
        <v>46263</v>
      </c>
      <c r="E77" s="6">
        <v>2</v>
      </c>
      <c r="F77" s="6"/>
      <c r="G77" s="6"/>
      <c r="H77" s="6"/>
      <c r="I77" s="6"/>
      <c r="J77" s="6">
        <v>500000</v>
      </c>
      <c r="K77" s="140" t="s">
        <v>48</v>
      </c>
    </row>
    <row r="78" spans="1:11" ht="19.149999999999999" customHeight="1" x14ac:dyDescent="0.25">
      <c r="A78" s="13">
        <v>73</v>
      </c>
      <c r="B78" s="138"/>
      <c r="C78" s="139" t="s">
        <v>849</v>
      </c>
      <c r="D78" s="138">
        <v>46256</v>
      </c>
      <c r="E78" s="6">
        <v>2</v>
      </c>
      <c r="F78" s="6"/>
      <c r="G78" s="6"/>
      <c r="H78" s="6"/>
      <c r="I78" s="6"/>
      <c r="J78" s="6">
        <v>500000</v>
      </c>
      <c r="K78" s="140" t="s">
        <v>220</v>
      </c>
    </row>
    <row r="79" spans="1:11" ht="19.149999999999999" customHeight="1" x14ac:dyDescent="0.25">
      <c r="A79" s="13">
        <v>74</v>
      </c>
      <c r="B79" s="138"/>
      <c r="C79" s="139" t="s">
        <v>850</v>
      </c>
      <c r="D79" s="138">
        <v>46253</v>
      </c>
      <c r="E79" s="6"/>
      <c r="F79" s="6"/>
      <c r="G79" s="6">
        <v>50</v>
      </c>
      <c r="H79" s="6"/>
      <c r="I79" s="6"/>
      <c r="J79" s="6">
        <v>100000</v>
      </c>
      <c r="K79" s="140" t="s">
        <v>851</v>
      </c>
    </row>
    <row r="80" spans="1:11" ht="19.149999999999999" customHeight="1" x14ac:dyDescent="0.25">
      <c r="A80" s="13">
        <v>75</v>
      </c>
      <c r="B80" s="138">
        <v>46219</v>
      </c>
      <c r="C80" s="139" t="s">
        <v>852</v>
      </c>
      <c r="D80" s="138">
        <v>46235</v>
      </c>
      <c r="E80" s="6">
        <v>1</v>
      </c>
      <c r="F80" s="6"/>
      <c r="G80" s="6"/>
      <c r="H80" s="6"/>
      <c r="I80" s="6"/>
      <c r="J80" s="6">
        <v>250000</v>
      </c>
      <c r="K80" s="140" t="s">
        <v>43</v>
      </c>
    </row>
    <row r="81" spans="1:11" ht="19.149999999999999" customHeight="1" x14ac:dyDescent="0.25">
      <c r="A81" s="13">
        <v>76</v>
      </c>
      <c r="B81" s="138">
        <v>46221</v>
      </c>
      <c r="C81" s="139" t="s">
        <v>853</v>
      </c>
      <c r="D81" s="138">
        <v>46249</v>
      </c>
      <c r="E81" s="6"/>
      <c r="F81" s="6"/>
      <c r="G81" s="6">
        <v>100</v>
      </c>
      <c r="H81" s="6"/>
      <c r="I81" s="6"/>
      <c r="J81" s="6">
        <v>200000</v>
      </c>
      <c r="K81" s="140" t="s">
        <v>203</v>
      </c>
    </row>
    <row r="82" spans="1:11" ht="19.149999999999999" customHeight="1" x14ac:dyDescent="0.25">
      <c r="A82" s="13">
        <v>77</v>
      </c>
      <c r="B82" s="138">
        <v>46222</v>
      </c>
      <c r="C82" s="139" t="s">
        <v>854</v>
      </c>
      <c r="D82" s="138">
        <v>46228</v>
      </c>
      <c r="E82" s="6">
        <v>2</v>
      </c>
      <c r="F82" s="6"/>
      <c r="G82" s="6"/>
      <c r="H82" s="6"/>
      <c r="I82" s="6"/>
      <c r="J82" s="6">
        <v>500000</v>
      </c>
      <c r="K82" s="140" t="s">
        <v>48</v>
      </c>
    </row>
    <row r="83" spans="1:11" ht="19.149999999999999" customHeight="1" x14ac:dyDescent="0.25">
      <c r="A83" s="13">
        <v>78</v>
      </c>
      <c r="B83" s="138">
        <v>46223</v>
      </c>
      <c r="C83" s="139" t="s">
        <v>855</v>
      </c>
      <c r="D83" s="138">
        <v>46263</v>
      </c>
      <c r="E83" s="6"/>
      <c r="F83" s="6"/>
      <c r="G83" s="6">
        <v>300</v>
      </c>
      <c r="H83" s="6"/>
      <c r="I83" s="6"/>
      <c r="J83" s="6">
        <v>600000</v>
      </c>
      <c r="K83" s="140" t="s">
        <v>201</v>
      </c>
    </row>
    <row r="84" spans="1:11" ht="19.149999999999999" customHeight="1" x14ac:dyDescent="0.25">
      <c r="A84" s="13">
        <v>79</v>
      </c>
      <c r="B84" s="138"/>
      <c r="C84" s="139" t="s">
        <v>856</v>
      </c>
      <c r="D84" s="138">
        <v>46249</v>
      </c>
      <c r="E84" s="6"/>
      <c r="F84" s="6"/>
      <c r="G84" s="6">
        <v>100</v>
      </c>
      <c r="H84" s="6"/>
      <c r="I84" s="6"/>
      <c r="J84" s="6">
        <v>200000</v>
      </c>
      <c r="K84" s="140" t="s">
        <v>461</v>
      </c>
    </row>
    <row r="85" spans="1:11" ht="19.149999999999999" customHeight="1" x14ac:dyDescent="0.25">
      <c r="A85" s="13">
        <v>80</v>
      </c>
      <c r="B85" s="138"/>
      <c r="C85" s="139" t="s">
        <v>857</v>
      </c>
      <c r="D85" s="138">
        <v>46228</v>
      </c>
      <c r="E85" s="6">
        <v>1</v>
      </c>
      <c r="F85" s="6"/>
      <c r="G85" s="6"/>
      <c r="H85" s="6"/>
      <c r="I85" s="6"/>
      <c r="J85" s="6">
        <v>250000</v>
      </c>
      <c r="K85" s="140" t="s">
        <v>49</v>
      </c>
    </row>
    <row r="86" spans="1:11" ht="19.149999999999999" customHeight="1" x14ac:dyDescent="0.25">
      <c r="A86" s="13">
        <v>81</v>
      </c>
      <c r="B86" s="138"/>
      <c r="C86" s="139" t="s">
        <v>858</v>
      </c>
      <c r="D86" s="138">
        <v>46236</v>
      </c>
      <c r="E86" s="6"/>
      <c r="F86" s="6"/>
      <c r="G86" s="6">
        <v>100</v>
      </c>
      <c r="H86" s="6"/>
      <c r="I86" s="6"/>
      <c r="J86" s="6">
        <v>200000</v>
      </c>
      <c r="K86" s="140" t="s">
        <v>220</v>
      </c>
    </row>
    <row r="87" spans="1:11" ht="19.149999999999999" customHeight="1" x14ac:dyDescent="0.25">
      <c r="A87" s="13">
        <v>82</v>
      </c>
      <c r="B87" s="138"/>
      <c r="C87" s="139" t="s">
        <v>859</v>
      </c>
      <c r="D87" s="138">
        <v>46249</v>
      </c>
      <c r="E87" s="6"/>
      <c r="F87" s="6"/>
      <c r="G87" s="6">
        <v>400</v>
      </c>
      <c r="H87" s="6"/>
      <c r="I87" s="6"/>
      <c r="J87" s="6">
        <v>800000</v>
      </c>
      <c r="K87" s="140" t="s">
        <v>771</v>
      </c>
    </row>
    <row r="88" spans="1:11" ht="19.149999999999999" customHeight="1" x14ac:dyDescent="0.25">
      <c r="A88" s="13">
        <v>83</v>
      </c>
      <c r="B88" s="138"/>
      <c r="C88" s="139"/>
      <c r="D88" s="138"/>
      <c r="E88" s="6">
        <v>1</v>
      </c>
      <c r="F88" s="6"/>
      <c r="G88" s="6"/>
      <c r="H88" s="6"/>
      <c r="I88" s="6"/>
      <c r="J88" s="6">
        <v>250000</v>
      </c>
      <c r="K88" s="140"/>
    </row>
    <row r="89" spans="1:11" ht="19.149999999999999" customHeight="1" x14ac:dyDescent="0.25">
      <c r="A89" s="13">
        <v>84</v>
      </c>
      <c r="B89" s="138">
        <v>46224</v>
      </c>
      <c r="C89" s="139" t="s">
        <v>860</v>
      </c>
      <c r="D89" s="138">
        <v>46242</v>
      </c>
      <c r="E89" s="6">
        <v>1</v>
      </c>
      <c r="F89" s="6"/>
      <c r="G89" s="6"/>
      <c r="H89" s="6"/>
      <c r="I89" s="6"/>
      <c r="J89" s="6">
        <v>250000</v>
      </c>
      <c r="K89" s="140" t="s">
        <v>43</v>
      </c>
    </row>
    <row r="90" spans="1:11" ht="19.149999999999999" customHeight="1" x14ac:dyDescent="0.25">
      <c r="A90" s="13">
        <v>85</v>
      </c>
      <c r="B90" s="138"/>
      <c r="C90" s="139" t="s">
        <v>861</v>
      </c>
      <c r="D90" s="138">
        <v>46271</v>
      </c>
      <c r="E90" s="6">
        <v>1</v>
      </c>
      <c r="F90" s="6"/>
      <c r="G90" s="6"/>
      <c r="H90" s="6"/>
      <c r="I90" s="6"/>
      <c r="J90" s="6">
        <v>250000</v>
      </c>
      <c r="K90" s="140" t="s">
        <v>47</v>
      </c>
    </row>
    <row r="91" spans="1:11" ht="19.149999999999999" customHeight="1" x14ac:dyDescent="0.25">
      <c r="A91" s="13">
        <v>86</v>
      </c>
      <c r="B91" s="138"/>
      <c r="C91" s="139" t="s">
        <v>862</v>
      </c>
      <c r="D91" s="138">
        <v>46242</v>
      </c>
      <c r="E91" s="6">
        <v>1</v>
      </c>
      <c r="F91" s="6"/>
      <c r="G91" s="6"/>
      <c r="H91" s="6"/>
      <c r="I91" s="6"/>
      <c r="J91" s="6">
        <v>250000</v>
      </c>
      <c r="K91" s="140" t="s">
        <v>44</v>
      </c>
    </row>
    <row r="92" spans="1:11" ht="19.149999999999999" customHeight="1" x14ac:dyDescent="0.25">
      <c r="A92" s="13">
        <v>87</v>
      </c>
      <c r="B92" s="138"/>
      <c r="C92" s="139" t="s">
        <v>863</v>
      </c>
      <c r="D92" s="138">
        <v>46229</v>
      </c>
      <c r="E92" s="6"/>
      <c r="F92" s="6"/>
      <c r="G92" s="6">
        <v>50</v>
      </c>
      <c r="H92" s="6"/>
      <c r="I92" s="6"/>
      <c r="J92" s="6">
        <v>100000</v>
      </c>
      <c r="K92" s="140" t="s">
        <v>201</v>
      </c>
    </row>
    <row r="93" spans="1:11" ht="19.149999999999999" customHeight="1" x14ac:dyDescent="0.25">
      <c r="A93" s="13">
        <v>88</v>
      </c>
      <c r="B93" s="138"/>
      <c r="C93" s="139" t="s">
        <v>864</v>
      </c>
      <c r="D93" s="138">
        <v>46227</v>
      </c>
      <c r="E93" s="6"/>
      <c r="F93" s="6"/>
      <c r="G93" s="6">
        <v>50</v>
      </c>
      <c r="H93" s="6"/>
      <c r="I93" s="6"/>
      <c r="J93" s="6">
        <v>100000</v>
      </c>
      <c r="K93" s="140" t="s">
        <v>793</v>
      </c>
    </row>
    <row r="94" spans="1:11" ht="19.149999999999999" customHeight="1" x14ac:dyDescent="0.25">
      <c r="A94" s="13">
        <v>89</v>
      </c>
      <c r="B94" s="138"/>
      <c r="C94" s="139" t="s">
        <v>865</v>
      </c>
      <c r="D94" s="138">
        <v>46225</v>
      </c>
      <c r="E94" s="6">
        <v>1</v>
      </c>
      <c r="F94" s="6"/>
      <c r="G94" s="6"/>
      <c r="H94" s="6"/>
      <c r="I94" s="6"/>
      <c r="J94" s="6">
        <v>250000</v>
      </c>
      <c r="K94" s="140" t="s">
        <v>47</v>
      </c>
    </row>
    <row r="95" spans="1:11" ht="19.149999999999999" customHeight="1" x14ac:dyDescent="0.25">
      <c r="A95" s="13">
        <v>90</v>
      </c>
      <c r="B95" s="138">
        <v>46225</v>
      </c>
      <c r="C95" s="139" t="s">
        <v>814</v>
      </c>
      <c r="D95" s="138">
        <v>46225</v>
      </c>
      <c r="E95" s="6"/>
      <c r="F95" s="6"/>
      <c r="G95" s="6"/>
      <c r="H95" s="6">
        <v>1</v>
      </c>
      <c r="I95" s="6"/>
      <c r="J95" s="6">
        <v>100000</v>
      </c>
      <c r="K95" s="140" t="s">
        <v>44</v>
      </c>
    </row>
    <row r="96" spans="1:11" ht="19.149999999999999" customHeight="1" x14ac:dyDescent="0.25">
      <c r="A96" s="13">
        <v>91</v>
      </c>
      <c r="B96" s="138"/>
      <c r="C96" s="139" t="s">
        <v>866</v>
      </c>
      <c r="D96" s="138">
        <v>46228</v>
      </c>
      <c r="E96" s="6"/>
      <c r="F96" s="6"/>
      <c r="G96" s="6">
        <v>50</v>
      </c>
      <c r="H96" s="6"/>
      <c r="I96" s="6"/>
      <c r="J96" s="6">
        <v>100000</v>
      </c>
      <c r="K96" s="140" t="s">
        <v>851</v>
      </c>
    </row>
    <row r="97" spans="1:11" ht="19.149999999999999" customHeight="1" x14ac:dyDescent="0.25">
      <c r="A97" s="13">
        <v>92</v>
      </c>
      <c r="B97" s="138"/>
      <c r="C97" s="139" t="s">
        <v>867</v>
      </c>
      <c r="D97" s="138">
        <v>46236</v>
      </c>
      <c r="E97" s="6"/>
      <c r="F97" s="6"/>
      <c r="G97" s="6">
        <v>50</v>
      </c>
      <c r="H97" s="6"/>
      <c r="I97" s="6"/>
      <c r="J97" s="6">
        <v>100000</v>
      </c>
      <c r="K97" s="140" t="s">
        <v>791</v>
      </c>
    </row>
    <row r="98" spans="1:11" ht="19.149999999999999" customHeight="1" x14ac:dyDescent="0.25">
      <c r="A98" s="13">
        <v>93</v>
      </c>
      <c r="B98" s="138"/>
      <c r="C98" s="139"/>
      <c r="D98" s="138"/>
      <c r="E98" s="6"/>
      <c r="F98" s="6"/>
      <c r="G98" s="6">
        <v>100</v>
      </c>
      <c r="H98" s="6"/>
      <c r="I98" s="6"/>
      <c r="J98" s="6">
        <v>200000</v>
      </c>
      <c r="K98" s="140"/>
    </row>
    <row r="99" spans="1:11" ht="19.149999999999999" customHeight="1" x14ac:dyDescent="0.25">
      <c r="A99" s="13">
        <v>94</v>
      </c>
      <c r="B99" s="138">
        <v>46226</v>
      </c>
      <c r="C99" s="139" t="s">
        <v>868</v>
      </c>
      <c r="D99" s="138">
        <v>46270</v>
      </c>
      <c r="E99" s="6">
        <v>1</v>
      </c>
      <c r="F99" s="6"/>
      <c r="G99" s="6"/>
      <c r="H99" s="6"/>
      <c r="I99" s="6"/>
      <c r="J99" s="6">
        <v>250000</v>
      </c>
      <c r="K99" s="140" t="s">
        <v>47</v>
      </c>
    </row>
    <row r="100" spans="1:11" ht="19.149999999999999" customHeight="1" x14ac:dyDescent="0.25">
      <c r="A100" s="13">
        <v>95</v>
      </c>
      <c r="B100" s="138"/>
      <c r="C100" s="139" t="s">
        <v>869</v>
      </c>
      <c r="D100" s="138">
        <v>46263</v>
      </c>
      <c r="E100" s="6"/>
      <c r="F100" s="6"/>
      <c r="G100" s="6">
        <v>50</v>
      </c>
      <c r="H100" s="6"/>
      <c r="I100" s="6"/>
      <c r="J100" s="6">
        <v>100000</v>
      </c>
      <c r="K100" s="140" t="s">
        <v>220</v>
      </c>
    </row>
    <row r="101" spans="1:11" ht="19.149999999999999" customHeight="1" x14ac:dyDescent="0.25">
      <c r="A101" s="13">
        <v>96</v>
      </c>
      <c r="B101" s="138"/>
      <c r="C101" s="139" t="s">
        <v>870</v>
      </c>
      <c r="D101" s="138">
        <v>46250</v>
      </c>
      <c r="E101" s="6"/>
      <c r="F101" s="6"/>
      <c r="G101" s="6">
        <v>50</v>
      </c>
      <c r="H101" s="6"/>
      <c r="I101" s="6"/>
      <c r="J101" s="6">
        <v>100000</v>
      </c>
      <c r="K101" s="140" t="s">
        <v>871</v>
      </c>
    </row>
    <row r="102" spans="1:11" ht="19.149999999999999" customHeight="1" x14ac:dyDescent="0.25">
      <c r="A102" s="13">
        <v>97</v>
      </c>
      <c r="B102" s="138">
        <v>46227</v>
      </c>
      <c r="C102" s="139" t="s">
        <v>90</v>
      </c>
      <c r="D102" s="138">
        <v>46228</v>
      </c>
      <c r="E102" s="6"/>
      <c r="F102" s="6"/>
      <c r="G102" s="6">
        <v>75</v>
      </c>
      <c r="H102" s="6"/>
      <c r="I102" s="6"/>
      <c r="J102" s="6">
        <v>150000</v>
      </c>
      <c r="K102" s="140" t="s">
        <v>872</v>
      </c>
    </row>
    <row r="103" spans="1:11" ht="19.149999999999999" customHeight="1" x14ac:dyDescent="0.25">
      <c r="A103" s="13">
        <v>98</v>
      </c>
      <c r="B103" s="138"/>
      <c r="C103" s="139" t="s">
        <v>873</v>
      </c>
      <c r="D103" s="138">
        <v>46236</v>
      </c>
      <c r="E103" s="6">
        <v>1</v>
      </c>
      <c r="F103" s="6"/>
      <c r="G103" s="6"/>
      <c r="H103" s="6"/>
      <c r="I103" s="6"/>
      <c r="J103" s="6">
        <v>250000</v>
      </c>
      <c r="K103" s="140" t="s">
        <v>47</v>
      </c>
    </row>
    <row r="104" spans="1:11" ht="19.149999999999999" customHeight="1" x14ac:dyDescent="0.25">
      <c r="A104" s="13">
        <v>99</v>
      </c>
      <c r="B104" s="138">
        <v>46228</v>
      </c>
      <c r="C104" s="139" t="s">
        <v>874</v>
      </c>
      <c r="D104" s="138">
        <v>46236</v>
      </c>
      <c r="E104" s="6"/>
      <c r="F104" s="6"/>
      <c r="G104" s="6">
        <v>100</v>
      </c>
      <c r="H104" s="6"/>
      <c r="I104" s="6"/>
      <c r="J104" s="6">
        <v>200000</v>
      </c>
      <c r="K104" s="140" t="s">
        <v>871</v>
      </c>
    </row>
    <row r="105" spans="1:11" ht="19.149999999999999" customHeight="1" x14ac:dyDescent="0.25">
      <c r="A105" s="13">
        <v>100</v>
      </c>
      <c r="B105" s="138"/>
      <c r="C105" s="139" t="s">
        <v>840</v>
      </c>
      <c r="D105" s="138">
        <v>46228</v>
      </c>
      <c r="E105" s="6"/>
      <c r="F105" s="6"/>
      <c r="G105" s="6"/>
      <c r="H105" s="6">
        <v>1</v>
      </c>
      <c r="I105" s="6"/>
      <c r="J105" s="6">
        <v>100000</v>
      </c>
      <c r="K105" s="18" t="s">
        <v>836</v>
      </c>
    </row>
    <row r="106" spans="1:11" ht="19.149999999999999" customHeight="1" x14ac:dyDescent="0.25">
      <c r="A106" s="13">
        <v>101</v>
      </c>
      <c r="B106" s="138">
        <v>46229</v>
      </c>
      <c r="C106" s="139" t="s">
        <v>867</v>
      </c>
      <c r="D106" s="138">
        <v>46285</v>
      </c>
      <c r="E106" s="6">
        <v>1</v>
      </c>
      <c r="F106" s="6"/>
      <c r="G106" s="6"/>
      <c r="H106" s="6"/>
      <c r="I106" s="6"/>
      <c r="J106" s="6">
        <v>250000</v>
      </c>
      <c r="K106" s="140" t="s">
        <v>43</v>
      </c>
    </row>
    <row r="107" spans="1:11" ht="19.149999999999999" customHeight="1" x14ac:dyDescent="0.25">
      <c r="A107" s="13">
        <v>102</v>
      </c>
      <c r="B107" s="138"/>
      <c r="C107" s="139" t="s">
        <v>875</v>
      </c>
      <c r="D107" s="138">
        <v>46271</v>
      </c>
      <c r="E107" s="6">
        <v>1</v>
      </c>
      <c r="F107" s="6"/>
      <c r="G107" s="6"/>
      <c r="H107" s="6"/>
      <c r="I107" s="6"/>
      <c r="J107" s="6">
        <v>250000</v>
      </c>
      <c r="K107" s="140" t="s">
        <v>43</v>
      </c>
    </row>
    <row r="108" spans="1:11" ht="19.149999999999999" customHeight="1" x14ac:dyDescent="0.25">
      <c r="A108" s="13">
        <v>103</v>
      </c>
      <c r="B108" s="138"/>
      <c r="C108" s="139" t="s">
        <v>876</v>
      </c>
      <c r="D108" s="138">
        <v>46243</v>
      </c>
      <c r="E108" s="6"/>
      <c r="F108" s="6"/>
      <c r="G108" s="6">
        <v>50</v>
      </c>
      <c r="H108" s="6"/>
      <c r="I108" s="6"/>
      <c r="J108" s="6">
        <v>100000</v>
      </c>
      <c r="K108" s="140" t="s">
        <v>851</v>
      </c>
    </row>
    <row r="109" spans="1:11" ht="19.149999999999999" customHeight="1" x14ac:dyDescent="0.25">
      <c r="A109" s="13">
        <v>104</v>
      </c>
      <c r="B109" s="138"/>
      <c r="C109" s="139" t="s">
        <v>652</v>
      </c>
      <c r="D109" s="138">
        <v>46229</v>
      </c>
      <c r="E109" s="6"/>
      <c r="F109" s="6"/>
      <c r="G109" s="6"/>
      <c r="H109" s="6">
        <v>1</v>
      </c>
      <c r="I109" s="6"/>
      <c r="J109" s="6">
        <v>100000</v>
      </c>
      <c r="K109" s="140" t="s">
        <v>836</v>
      </c>
    </row>
    <row r="110" spans="1:11" ht="19.149999999999999" customHeight="1" x14ac:dyDescent="0.25">
      <c r="A110" s="13">
        <v>105</v>
      </c>
      <c r="B110" s="138">
        <v>46230</v>
      </c>
      <c r="C110" s="139" t="s">
        <v>877</v>
      </c>
      <c r="D110" s="138">
        <v>46264</v>
      </c>
      <c r="E110" s="6">
        <v>1</v>
      </c>
      <c r="F110" s="6"/>
      <c r="G110" s="6"/>
      <c r="H110" s="6"/>
      <c r="I110" s="6"/>
      <c r="J110" s="6">
        <v>250000</v>
      </c>
      <c r="K110" s="140" t="s">
        <v>41</v>
      </c>
    </row>
    <row r="111" spans="1:11" ht="19.149999999999999" customHeight="1" x14ac:dyDescent="0.25">
      <c r="A111" s="13">
        <v>106</v>
      </c>
      <c r="B111" s="138"/>
      <c r="C111" s="139"/>
      <c r="D111" s="138"/>
      <c r="E111" s="6"/>
      <c r="F111" s="6"/>
      <c r="G111" s="6">
        <v>100</v>
      </c>
      <c r="H111" s="6"/>
      <c r="I111" s="6"/>
      <c r="J111" s="6">
        <v>200000</v>
      </c>
      <c r="K111" s="140"/>
    </row>
    <row r="112" spans="1:11" ht="19.149999999999999" customHeight="1" x14ac:dyDescent="0.25">
      <c r="A112" s="13">
        <v>107</v>
      </c>
      <c r="B112" s="138">
        <v>46231</v>
      </c>
      <c r="C112" s="139" t="s">
        <v>883</v>
      </c>
      <c r="D112" s="138">
        <v>46243</v>
      </c>
      <c r="E112" s="6"/>
      <c r="F112" s="6"/>
      <c r="G112" s="6">
        <v>50</v>
      </c>
      <c r="H112" s="6"/>
      <c r="I112" s="6"/>
      <c r="J112" s="6">
        <v>100000</v>
      </c>
      <c r="K112" s="140" t="s">
        <v>201</v>
      </c>
    </row>
    <row r="113" spans="1:11" ht="19.149999999999999" customHeight="1" x14ac:dyDescent="0.25">
      <c r="A113" s="13">
        <v>108</v>
      </c>
      <c r="B113" s="138"/>
      <c r="C113" s="139" t="s">
        <v>884</v>
      </c>
      <c r="D113" s="138">
        <v>46233</v>
      </c>
      <c r="E113" s="6">
        <v>1</v>
      </c>
      <c r="F113" s="6"/>
      <c r="G113" s="6"/>
      <c r="H113" s="6"/>
      <c r="I113" s="6"/>
      <c r="J113" s="6">
        <v>250000</v>
      </c>
      <c r="K113" s="140" t="s">
        <v>49</v>
      </c>
    </row>
    <row r="114" spans="1:11" ht="19.149999999999999" customHeight="1" x14ac:dyDescent="0.25">
      <c r="A114" s="13">
        <v>109</v>
      </c>
      <c r="B114" s="138"/>
      <c r="C114" s="139" t="s">
        <v>885</v>
      </c>
      <c r="D114" s="138">
        <v>46236</v>
      </c>
      <c r="E114" s="6"/>
      <c r="F114" s="6"/>
      <c r="G114" s="6">
        <v>50</v>
      </c>
      <c r="H114" s="6"/>
      <c r="I114" s="6"/>
      <c r="J114" s="6">
        <v>100000</v>
      </c>
      <c r="K114" s="140" t="s">
        <v>713</v>
      </c>
    </row>
    <row r="115" spans="1:11" ht="19.149999999999999" customHeight="1" x14ac:dyDescent="0.25">
      <c r="A115" s="13">
        <v>110</v>
      </c>
      <c r="B115" s="138"/>
      <c r="C115" s="139" t="s">
        <v>886</v>
      </c>
      <c r="D115" s="138">
        <v>46236</v>
      </c>
      <c r="E115" s="6"/>
      <c r="F115" s="6"/>
      <c r="G115" s="6">
        <v>100</v>
      </c>
      <c r="H115" s="6"/>
      <c r="I115" s="6"/>
      <c r="J115" s="6">
        <v>200000</v>
      </c>
      <c r="K115" s="140" t="s">
        <v>461</v>
      </c>
    </row>
    <row r="116" spans="1:11" ht="19.149999999999999" customHeight="1" x14ac:dyDescent="0.25">
      <c r="A116" s="13">
        <v>111</v>
      </c>
      <c r="B116" s="138">
        <v>46232</v>
      </c>
      <c r="C116" s="139" t="s">
        <v>887</v>
      </c>
      <c r="D116" s="138">
        <v>46235</v>
      </c>
      <c r="E116" s="6"/>
      <c r="F116" s="6"/>
      <c r="G116" s="6">
        <v>100</v>
      </c>
      <c r="H116" s="6"/>
      <c r="I116" s="6"/>
      <c r="J116" s="6">
        <v>200000</v>
      </c>
      <c r="K116" s="140" t="s">
        <v>461</v>
      </c>
    </row>
    <row r="117" spans="1:11" ht="19.149999999999999" customHeight="1" x14ac:dyDescent="0.25">
      <c r="A117" s="13">
        <v>112</v>
      </c>
      <c r="B117" s="138"/>
      <c r="C117" s="139" t="s">
        <v>888</v>
      </c>
      <c r="D117" s="138">
        <v>46263</v>
      </c>
      <c r="E117" s="6">
        <v>1</v>
      </c>
      <c r="F117" s="6"/>
      <c r="G117" s="6"/>
      <c r="H117" s="6">
        <v>1</v>
      </c>
      <c r="I117" s="6"/>
      <c r="J117" s="6">
        <v>350000</v>
      </c>
      <c r="K117" s="140"/>
    </row>
    <row r="118" spans="1:11" ht="19.149999999999999" customHeight="1" x14ac:dyDescent="0.25">
      <c r="A118" s="13">
        <v>113</v>
      </c>
      <c r="B118" s="138"/>
      <c r="C118" s="139" t="s">
        <v>889</v>
      </c>
      <c r="D118" s="138">
        <v>46243</v>
      </c>
      <c r="E118" s="6"/>
      <c r="F118" s="6"/>
      <c r="G118" s="6">
        <v>100</v>
      </c>
      <c r="H118" s="6"/>
      <c r="I118" s="6"/>
      <c r="J118" s="6">
        <v>200000</v>
      </c>
      <c r="K118" s="140"/>
    </row>
    <row r="119" spans="1:11" ht="19.149999999999999" customHeight="1" x14ac:dyDescent="0.25">
      <c r="A119" s="13">
        <v>114</v>
      </c>
      <c r="B119" s="138"/>
      <c r="C119" s="139" t="s">
        <v>890</v>
      </c>
      <c r="D119" s="138">
        <v>46243</v>
      </c>
      <c r="E119" s="6"/>
      <c r="F119" s="6"/>
      <c r="G119" s="6">
        <v>100</v>
      </c>
      <c r="H119" s="6"/>
      <c r="I119" s="6"/>
      <c r="J119" s="6">
        <v>200000</v>
      </c>
      <c r="K119" s="140" t="s">
        <v>689</v>
      </c>
    </row>
    <row r="120" spans="1:11" ht="19.149999999999999" customHeight="1" x14ac:dyDescent="0.25">
      <c r="A120" s="13">
        <v>115</v>
      </c>
      <c r="B120" s="138"/>
      <c r="C120" s="139" t="s">
        <v>891</v>
      </c>
      <c r="D120" s="138">
        <v>46256</v>
      </c>
      <c r="E120" s="6">
        <v>1</v>
      </c>
      <c r="F120" s="6"/>
      <c r="G120" s="6"/>
      <c r="H120" s="6"/>
      <c r="I120" s="6"/>
      <c r="J120" s="6">
        <v>250000</v>
      </c>
      <c r="K120" s="140" t="s">
        <v>49</v>
      </c>
    </row>
    <row r="121" spans="1:11" ht="19.149999999999999" customHeight="1" x14ac:dyDescent="0.25">
      <c r="A121" s="13">
        <v>116</v>
      </c>
      <c r="B121" s="138"/>
      <c r="C121" s="139"/>
      <c r="D121" s="138"/>
      <c r="E121" s="6"/>
      <c r="F121" s="6"/>
      <c r="G121" s="6">
        <v>100</v>
      </c>
      <c r="H121" s="6"/>
      <c r="I121" s="6"/>
      <c r="J121" s="6">
        <v>200000</v>
      </c>
      <c r="K121" s="140"/>
    </row>
    <row r="122" spans="1:11" ht="19.149999999999999" customHeight="1" x14ac:dyDescent="0.25">
      <c r="A122" s="13">
        <v>117</v>
      </c>
      <c r="B122" s="138"/>
      <c r="C122" s="139" t="s">
        <v>892</v>
      </c>
      <c r="D122" s="138">
        <v>46234</v>
      </c>
      <c r="E122" s="6"/>
      <c r="F122" s="6"/>
      <c r="G122" s="6"/>
      <c r="H122" s="6"/>
      <c r="I122" s="6" t="s">
        <v>57</v>
      </c>
      <c r="J122" s="6">
        <v>750000</v>
      </c>
      <c r="K122" s="140"/>
    </row>
    <row r="123" spans="1:11" ht="19.149999999999999" customHeight="1" x14ac:dyDescent="0.25">
      <c r="A123" s="13">
        <v>118</v>
      </c>
      <c r="B123" s="138">
        <v>46233</v>
      </c>
      <c r="C123" s="139" t="s">
        <v>893</v>
      </c>
      <c r="D123" s="138">
        <v>46236</v>
      </c>
      <c r="E123" s="6"/>
      <c r="F123" s="6"/>
      <c r="G123" s="6">
        <v>50</v>
      </c>
      <c r="H123" s="6"/>
      <c r="I123" s="6"/>
      <c r="J123" s="6">
        <v>100000</v>
      </c>
      <c r="K123" s="140" t="s">
        <v>201</v>
      </c>
    </row>
    <row r="124" spans="1:11" ht="19.149999999999999" customHeight="1" x14ac:dyDescent="0.25">
      <c r="A124" s="13">
        <v>119</v>
      </c>
      <c r="B124" s="138"/>
      <c r="C124" s="139" t="s">
        <v>894</v>
      </c>
      <c r="D124" s="138">
        <v>46278</v>
      </c>
      <c r="E124" s="6">
        <v>1</v>
      </c>
      <c r="F124" s="6"/>
      <c r="G124" s="6"/>
      <c r="H124" s="6"/>
      <c r="I124" s="6"/>
      <c r="J124" s="6">
        <v>250000</v>
      </c>
      <c r="K124" s="140" t="s">
        <v>41</v>
      </c>
    </row>
    <row r="125" spans="1:11" ht="19.149999999999999" customHeight="1" x14ac:dyDescent="0.25">
      <c r="A125" s="13">
        <v>120</v>
      </c>
      <c r="B125" s="138"/>
      <c r="C125" s="139" t="s">
        <v>895</v>
      </c>
      <c r="D125" s="138">
        <v>46241</v>
      </c>
      <c r="E125" s="6">
        <v>1</v>
      </c>
      <c r="F125" s="6"/>
      <c r="G125" s="6"/>
      <c r="H125" s="6"/>
      <c r="I125" s="6"/>
      <c r="J125" s="6">
        <v>250000</v>
      </c>
      <c r="K125" s="140" t="s">
        <v>41</v>
      </c>
    </row>
    <row r="126" spans="1:11" ht="19.149999999999999" customHeight="1" x14ac:dyDescent="0.25">
      <c r="A126" s="13">
        <v>121</v>
      </c>
      <c r="B126" s="138">
        <v>46234</v>
      </c>
      <c r="C126" s="139" t="s">
        <v>896</v>
      </c>
      <c r="D126" s="138">
        <v>46304</v>
      </c>
      <c r="E126" s="6">
        <v>1</v>
      </c>
      <c r="F126" s="6"/>
      <c r="G126" s="6"/>
      <c r="H126" s="6"/>
      <c r="I126" s="6"/>
      <c r="J126" s="6">
        <v>250000</v>
      </c>
      <c r="K126" s="140" t="s">
        <v>197</v>
      </c>
    </row>
    <row r="127" spans="1:11" ht="19.149999999999999" customHeight="1" x14ac:dyDescent="0.25">
      <c r="A127" s="13">
        <v>122</v>
      </c>
      <c r="B127" s="138"/>
      <c r="C127" s="139" t="s">
        <v>897</v>
      </c>
      <c r="D127" s="138">
        <v>46256</v>
      </c>
      <c r="E127" s="6">
        <v>1</v>
      </c>
      <c r="F127" s="6"/>
      <c r="G127" s="6"/>
      <c r="H127" s="6"/>
      <c r="I127" s="6"/>
      <c r="J127" s="6">
        <v>250000</v>
      </c>
      <c r="K127" s="140"/>
    </row>
    <row r="128" spans="1:11" ht="19.149999999999999" customHeight="1" x14ac:dyDescent="0.25">
      <c r="A128" s="13">
        <v>123</v>
      </c>
      <c r="B128" s="138"/>
      <c r="C128" s="139" t="s">
        <v>898</v>
      </c>
      <c r="D128" s="138">
        <v>46251</v>
      </c>
      <c r="E128" s="6">
        <v>1</v>
      </c>
      <c r="F128" s="6"/>
      <c r="G128" s="6"/>
      <c r="H128" s="6"/>
      <c r="I128" s="6"/>
      <c r="J128" s="6">
        <v>250000</v>
      </c>
      <c r="K128" s="140" t="s">
        <v>214</v>
      </c>
    </row>
    <row r="129" spans="1:11" ht="19.149999999999999" customHeight="1" x14ac:dyDescent="0.25">
      <c r="A129" s="13">
        <v>124</v>
      </c>
      <c r="B129" s="138"/>
      <c r="C129" s="139" t="s">
        <v>900</v>
      </c>
      <c r="D129" s="138">
        <v>46236</v>
      </c>
      <c r="E129" s="6"/>
      <c r="F129" s="6"/>
      <c r="G129" s="6">
        <v>50</v>
      </c>
      <c r="H129" s="6"/>
      <c r="I129" s="6"/>
      <c r="J129" s="6">
        <v>100000</v>
      </c>
      <c r="K129" s="140" t="s">
        <v>901</v>
      </c>
    </row>
    <row r="130" spans="1:11" ht="19.149999999999999" customHeight="1" x14ac:dyDescent="0.25">
      <c r="A130" s="13">
        <v>125</v>
      </c>
      <c r="B130" s="138"/>
      <c r="C130" s="139" t="s">
        <v>903</v>
      </c>
      <c r="D130" s="138">
        <v>46249</v>
      </c>
      <c r="E130" s="6"/>
      <c r="F130" s="6"/>
      <c r="G130" s="6">
        <v>150</v>
      </c>
      <c r="H130" s="6"/>
      <c r="I130" s="6"/>
      <c r="J130" s="6">
        <v>300000</v>
      </c>
      <c r="K130" s="140" t="s">
        <v>904</v>
      </c>
    </row>
    <row r="131" spans="1:11" ht="19.149999999999999" customHeight="1" x14ac:dyDescent="0.25">
      <c r="A131" s="13">
        <v>126</v>
      </c>
      <c r="B131" s="138"/>
      <c r="C131" s="139"/>
      <c r="D131" s="138"/>
      <c r="E131" s="6"/>
      <c r="F131" s="6"/>
      <c r="G131" s="6">
        <v>50</v>
      </c>
      <c r="H131" s="6"/>
      <c r="I131" s="6"/>
      <c r="J131" s="6">
        <v>100000</v>
      </c>
      <c r="K131" s="140"/>
    </row>
    <row r="132" spans="1:11" ht="19.149999999999999" customHeight="1" x14ac:dyDescent="0.25">
      <c r="A132" s="13">
        <v>127</v>
      </c>
      <c r="B132" s="138"/>
      <c r="C132" s="139" t="s">
        <v>899</v>
      </c>
      <c r="D132" s="138">
        <v>46250</v>
      </c>
      <c r="E132" s="6"/>
      <c r="F132" s="6"/>
      <c r="G132" s="6">
        <v>100</v>
      </c>
      <c r="H132" s="6"/>
      <c r="I132" s="6"/>
      <c r="J132" s="6">
        <v>200000</v>
      </c>
      <c r="K132" s="140" t="s">
        <v>461</v>
      </c>
    </row>
    <row r="133" spans="1:11" ht="19.149999999999999" customHeight="1" x14ac:dyDescent="0.25">
      <c r="A133" s="13">
        <v>128</v>
      </c>
      <c r="B133" s="138"/>
      <c r="C133" s="139" t="s">
        <v>902</v>
      </c>
      <c r="D133" s="138">
        <v>46249</v>
      </c>
      <c r="E133" s="6">
        <v>1</v>
      </c>
      <c r="F133" s="6"/>
      <c r="G133" s="6"/>
      <c r="H133" s="6"/>
      <c r="I133" s="6"/>
      <c r="J133" s="6">
        <v>250000</v>
      </c>
      <c r="K133" s="140" t="s">
        <v>214</v>
      </c>
    </row>
    <row r="134" spans="1:11" ht="20.25" customHeight="1" x14ac:dyDescent="0.25">
      <c r="A134" s="4"/>
      <c r="B134" s="30"/>
      <c r="C134" s="151" t="s">
        <v>12</v>
      </c>
      <c r="D134" s="151"/>
      <c r="E134" s="43">
        <f>SUM(E6:E133)</f>
        <v>65</v>
      </c>
      <c r="F134" s="43">
        <f t="shared" ref="F134:J134" si="0">SUM(F6:F133)</f>
        <v>0</v>
      </c>
      <c r="G134" s="43">
        <f t="shared" si="0"/>
        <v>5245</v>
      </c>
      <c r="H134" s="43">
        <f t="shared" si="0"/>
        <v>11</v>
      </c>
      <c r="I134" s="43">
        <f t="shared" si="0"/>
        <v>0</v>
      </c>
      <c r="J134" s="43">
        <f t="shared" si="0"/>
        <v>31340000</v>
      </c>
      <c r="K134" s="30"/>
    </row>
    <row r="135" spans="1:11" ht="15.75" x14ac:dyDescent="0.25">
      <c r="A135" s="52"/>
      <c r="B135" s="24"/>
      <c r="C135" s="24"/>
      <c r="D135" s="24"/>
      <c r="E135" s="24"/>
      <c r="F135" s="24"/>
      <c r="G135" s="24"/>
      <c r="H135" s="24"/>
      <c r="I135" s="24"/>
      <c r="J135" s="24"/>
      <c r="K135" s="24"/>
    </row>
    <row r="136" spans="1:11" ht="15.75" customHeight="1" x14ac:dyDescent="0.25">
      <c r="H136" s="58"/>
      <c r="I136" s="149" t="s">
        <v>905</v>
      </c>
      <c r="J136" s="149"/>
      <c r="K136" s="149"/>
    </row>
    <row r="137" spans="1:11" ht="15.75" customHeight="1" x14ac:dyDescent="0.25">
      <c r="H137" s="58"/>
      <c r="I137" s="57"/>
      <c r="J137" s="57"/>
      <c r="K137" s="57"/>
    </row>
    <row r="138" spans="1:11" ht="15.75" customHeight="1" x14ac:dyDescent="0.25">
      <c r="A138" s="148" t="s">
        <v>75</v>
      </c>
      <c r="B138" s="148"/>
      <c r="C138" s="148"/>
      <c r="D138" s="148"/>
      <c r="H138" s="58"/>
      <c r="I138" s="149"/>
      <c r="J138" s="149"/>
      <c r="K138" s="149"/>
    </row>
    <row r="139" spans="1:11" ht="15.75" customHeight="1" x14ac:dyDescent="0.25">
      <c r="A139" s="149" t="s">
        <v>76</v>
      </c>
      <c r="B139" s="149"/>
      <c r="C139" s="149"/>
      <c r="D139" s="149"/>
      <c r="H139" s="58"/>
      <c r="I139" s="149" t="s">
        <v>69</v>
      </c>
      <c r="J139" s="149"/>
      <c r="K139" s="149"/>
    </row>
    <row r="140" spans="1:11" ht="15.75" customHeight="1" x14ac:dyDescent="0.25">
      <c r="A140" s="149" t="s">
        <v>77</v>
      </c>
      <c r="B140" s="149"/>
      <c r="C140" s="149"/>
      <c r="D140" s="149"/>
      <c r="H140" s="55"/>
      <c r="I140" s="55"/>
      <c r="J140" s="56"/>
      <c r="K140" s="56"/>
    </row>
    <row r="141" spans="1:11" ht="15.75" customHeight="1" x14ac:dyDescent="0.25">
      <c r="A141" s="149" t="s">
        <v>65</v>
      </c>
      <c r="B141" s="149"/>
      <c r="C141" s="149"/>
      <c r="D141" s="149"/>
      <c r="H141" s="55"/>
      <c r="I141" s="58"/>
      <c r="J141" s="58"/>
      <c r="K141" s="58"/>
    </row>
    <row r="142" spans="1:11" ht="15.75" x14ac:dyDescent="0.25">
      <c r="A142" s="148" t="s">
        <v>66</v>
      </c>
      <c r="B142" s="148"/>
      <c r="C142" s="148"/>
      <c r="D142" s="148"/>
      <c r="H142" s="55"/>
      <c r="I142" s="149"/>
      <c r="J142" s="149"/>
      <c r="K142" s="149"/>
    </row>
    <row r="143" spans="1:11" ht="15.75" x14ac:dyDescent="0.25">
      <c r="A143" s="55"/>
      <c r="B143" s="56"/>
      <c r="C143" s="56"/>
      <c r="H143" s="58"/>
      <c r="I143" s="149"/>
      <c r="J143" s="149"/>
      <c r="K143" s="149"/>
    </row>
    <row r="144" spans="1:11" ht="15.75" x14ac:dyDescent="0.25">
      <c r="A144" s="58"/>
      <c r="B144" s="58"/>
      <c r="C144" s="58"/>
      <c r="E144" s="148"/>
      <c r="F144" s="148"/>
      <c r="G144" s="148"/>
      <c r="H144" s="148"/>
      <c r="I144" s="58"/>
      <c r="J144" s="58"/>
      <c r="K144" s="58"/>
    </row>
    <row r="145" spans="1:11" ht="15.75" customHeight="1" x14ac:dyDescent="0.25">
      <c r="A145" s="149" t="s">
        <v>67</v>
      </c>
      <c r="B145" s="149"/>
      <c r="C145" s="149"/>
      <c r="D145" s="149"/>
      <c r="E145" s="149"/>
      <c r="F145" s="149"/>
      <c r="G145" s="149"/>
      <c r="H145" s="149"/>
      <c r="I145" s="149" t="s">
        <v>70</v>
      </c>
      <c r="J145" s="149"/>
      <c r="K145" s="149"/>
    </row>
    <row r="146" spans="1:11" ht="15.75" customHeight="1" x14ac:dyDescent="0.25">
      <c r="A146" s="149" t="s">
        <v>68</v>
      </c>
      <c r="B146" s="149"/>
      <c r="C146" s="149"/>
      <c r="D146" s="149"/>
      <c r="E146" s="149"/>
      <c r="F146" s="149"/>
      <c r="G146" s="149"/>
      <c r="H146" s="149"/>
      <c r="I146" s="149" t="s">
        <v>71</v>
      </c>
      <c r="J146" s="149"/>
      <c r="K146" s="149"/>
    </row>
  </sheetData>
  <mergeCells count="21">
    <mergeCell ref="A145:D145"/>
    <mergeCell ref="I145:K145"/>
    <mergeCell ref="A146:D146"/>
    <mergeCell ref="I146:K146"/>
    <mergeCell ref="A138:D138"/>
    <mergeCell ref="I138:K138"/>
    <mergeCell ref="A139:D139"/>
    <mergeCell ref="I139:K139"/>
    <mergeCell ref="A141:D141"/>
    <mergeCell ref="E145:H145"/>
    <mergeCell ref="E146:H146"/>
    <mergeCell ref="A140:D140"/>
    <mergeCell ref="I143:K143"/>
    <mergeCell ref="A142:D142"/>
    <mergeCell ref="I142:K142"/>
    <mergeCell ref="E144:H144"/>
    <mergeCell ref="A1:K1"/>
    <mergeCell ref="A2:K2"/>
    <mergeCell ref="A3:K3"/>
    <mergeCell ref="C134:D134"/>
    <mergeCell ref="I136:K136"/>
  </mergeCells>
  <pageMargins left="0.35433070866141736" right="0.23622047244094491" top="0.55118110236220474" bottom="0.55118110236220474" header="0.31496062992125984" footer="0.31496062992125984"/>
  <pageSetup paperSize="122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E29FFD-B2F8-4303-8BED-8C724F38686F}">
          <x14:formula1>
            <xm:f>Sheet1!$B$3:$B$13</xm:f>
          </x14:formula1>
          <xm:sqref>K141:K146 K138:K139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A41A-A51C-4FEF-A381-C10475AC71FC}">
  <dimension ref="A1:K153"/>
  <sheetViews>
    <sheetView topLeftCell="A123" workbookViewId="0">
      <selection activeCell="C137" sqref="C137"/>
    </sheetView>
  </sheetViews>
  <sheetFormatPr defaultRowHeight="15" x14ac:dyDescent="0.25"/>
  <cols>
    <col min="1" max="1" width="5.42578125" customWidth="1"/>
    <col min="2" max="2" width="15.7109375" customWidth="1"/>
    <col min="3" max="3" width="39" bestFit="1" customWidth="1"/>
    <col min="4" max="4" width="14.7109375" customWidth="1"/>
    <col min="5" max="5" width="11.5703125" customWidth="1"/>
    <col min="6" max="6" width="12.42578125" customWidth="1"/>
    <col min="7" max="7" width="10" customWidth="1"/>
    <col min="8" max="8" width="9.28515625" customWidth="1"/>
    <col min="9" max="9" width="16.85546875" customWidth="1"/>
    <col min="10" max="10" width="19.140625" customWidth="1"/>
    <col min="11" max="11" width="22.140625" customWidth="1"/>
  </cols>
  <sheetData>
    <row r="1" spans="1:11" ht="21.75" customHeight="1" x14ac:dyDescent="0.25">
      <c r="A1" s="150" t="s">
        <v>906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5.75" x14ac:dyDescent="0.25">
      <c r="A2" s="150" t="s">
        <v>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5.75" x14ac:dyDescent="0.25">
      <c r="A3" s="150" t="s">
        <v>62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30.75" customHeight="1" x14ac:dyDescent="0.25">
      <c r="A5" s="4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6" t="s">
        <v>7</v>
      </c>
      <c r="H5" s="4" t="s">
        <v>8</v>
      </c>
      <c r="I5" s="4" t="s">
        <v>9</v>
      </c>
      <c r="J5" s="4" t="s">
        <v>10</v>
      </c>
      <c r="K5" s="4" t="s">
        <v>11</v>
      </c>
    </row>
    <row r="6" spans="1:11" ht="19.149999999999999" customHeight="1" x14ac:dyDescent="0.25">
      <c r="A6" s="7">
        <v>1</v>
      </c>
      <c r="B6" s="8">
        <v>46235</v>
      </c>
      <c r="C6" s="9" t="s">
        <v>907</v>
      </c>
      <c r="D6" s="8">
        <v>46243</v>
      </c>
      <c r="E6" s="10"/>
      <c r="F6" s="10"/>
      <c r="G6" s="11">
        <v>50</v>
      </c>
      <c r="H6" s="11"/>
      <c r="I6" s="11"/>
      <c r="J6" s="11">
        <v>100000</v>
      </c>
      <c r="K6" s="12" t="s">
        <v>713</v>
      </c>
    </row>
    <row r="7" spans="1:11" ht="19.149999999999999" customHeight="1" x14ac:dyDescent="0.25">
      <c r="A7" s="13">
        <v>2</v>
      </c>
      <c r="B7" s="14"/>
      <c r="C7" s="15" t="s">
        <v>908</v>
      </c>
      <c r="D7" s="14">
        <v>46278</v>
      </c>
      <c r="E7" s="16">
        <v>2</v>
      </c>
      <c r="F7" s="16"/>
      <c r="G7" s="17"/>
      <c r="H7" s="17"/>
      <c r="I7" s="17"/>
      <c r="J7" s="17">
        <v>500000</v>
      </c>
      <c r="K7" s="18" t="s">
        <v>48</v>
      </c>
    </row>
    <row r="8" spans="1:11" ht="19.149999999999999" customHeight="1" x14ac:dyDescent="0.25">
      <c r="A8" s="13">
        <v>3</v>
      </c>
      <c r="B8" s="14"/>
      <c r="C8" s="18" t="s">
        <v>909</v>
      </c>
      <c r="D8" s="14">
        <v>46243</v>
      </c>
      <c r="E8" s="16"/>
      <c r="F8" s="16"/>
      <c r="G8" s="19">
        <v>150</v>
      </c>
      <c r="H8" s="17"/>
      <c r="I8" s="17"/>
      <c r="J8" s="17">
        <v>300000</v>
      </c>
      <c r="K8" s="18" t="s">
        <v>910</v>
      </c>
    </row>
    <row r="9" spans="1:11" ht="19.149999999999999" customHeight="1" x14ac:dyDescent="0.25">
      <c r="A9" s="13">
        <v>4</v>
      </c>
      <c r="B9" s="14"/>
      <c r="C9" s="15" t="s">
        <v>911</v>
      </c>
      <c r="D9" s="14">
        <v>46250</v>
      </c>
      <c r="E9" s="16">
        <v>2</v>
      </c>
      <c r="F9" s="16"/>
      <c r="G9" s="17"/>
      <c r="H9" s="17"/>
      <c r="I9" s="17"/>
      <c r="J9" s="17">
        <v>500000</v>
      </c>
      <c r="K9" s="18" t="s">
        <v>48</v>
      </c>
    </row>
    <row r="10" spans="1:11" ht="19.149999999999999" customHeight="1" x14ac:dyDescent="0.25">
      <c r="A10" s="13">
        <v>5</v>
      </c>
      <c r="B10" s="14"/>
      <c r="C10" s="15" t="s">
        <v>912</v>
      </c>
      <c r="D10" s="14">
        <v>46242</v>
      </c>
      <c r="E10" s="16">
        <v>1</v>
      </c>
      <c r="F10" s="16"/>
      <c r="G10" s="17"/>
      <c r="H10" s="17"/>
      <c r="I10" s="17"/>
      <c r="J10" s="17">
        <v>250000</v>
      </c>
      <c r="K10" s="18" t="s">
        <v>47</v>
      </c>
    </row>
    <row r="11" spans="1:11" ht="19.149999999999999" customHeight="1" x14ac:dyDescent="0.25">
      <c r="A11" s="13">
        <v>6</v>
      </c>
      <c r="B11" s="14"/>
      <c r="C11" s="15" t="s">
        <v>913</v>
      </c>
      <c r="D11" s="14">
        <v>46239</v>
      </c>
      <c r="E11" s="16">
        <v>1</v>
      </c>
      <c r="F11" s="16"/>
      <c r="G11" s="17"/>
      <c r="H11" s="17"/>
      <c r="I11" s="17"/>
      <c r="J11" s="17">
        <v>250000</v>
      </c>
      <c r="K11" s="18" t="s">
        <v>49</v>
      </c>
    </row>
    <row r="12" spans="1:11" ht="19.149999999999999" customHeight="1" x14ac:dyDescent="0.25">
      <c r="A12" s="13">
        <v>7</v>
      </c>
      <c r="B12" s="14"/>
      <c r="C12" s="15"/>
      <c r="D12" s="14"/>
      <c r="E12" s="16"/>
      <c r="F12" s="16"/>
      <c r="G12" s="17">
        <v>100</v>
      </c>
      <c r="H12" s="17"/>
      <c r="I12" s="17"/>
      <c r="J12" s="17">
        <v>200000</v>
      </c>
      <c r="K12" s="18"/>
    </row>
    <row r="13" spans="1:11" ht="19.149999999999999" customHeight="1" x14ac:dyDescent="0.25">
      <c r="A13" s="13">
        <v>8</v>
      </c>
      <c r="B13" s="14">
        <v>46236</v>
      </c>
      <c r="C13" s="15" t="s">
        <v>914</v>
      </c>
      <c r="D13" s="14">
        <v>46243</v>
      </c>
      <c r="E13" s="16"/>
      <c r="F13" s="16"/>
      <c r="G13" s="17">
        <v>50</v>
      </c>
      <c r="H13" s="17"/>
      <c r="I13" s="17"/>
      <c r="J13" s="17">
        <v>100000</v>
      </c>
      <c r="K13" s="18" t="s">
        <v>915</v>
      </c>
    </row>
    <row r="14" spans="1:11" ht="19.149999999999999" customHeight="1" x14ac:dyDescent="0.25">
      <c r="A14" s="13">
        <v>9</v>
      </c>
      <c r="B14" s="14"/>
      <c r="C14" s="15" t="s">
        <v>916</v>
      </c>
      <c r="D14" s="14">
        <v>46271</v>
      </c>
      <c r="E14" s="16"/>
      <c r="F14" s="16"/>
      <c r="G14" s="17">
        <v>150</v>
      </c>
      <c r="H14" s="17"/>
      <c r="I14" s="17"/>
      <c r="J14" s="17">
        <v>300000</v>
      </c>
      <c r="K14" s="18" t="s">
        <v>917</v>
      </c>
    </row>
    <row r="15" spans="1:11" ht="19.149999999999999" customHeight="1" x14ac:dyDescent="0.25">
      <c r="A15" s="13">
        <v>10</v>
      </c>
      <c r="B15" s="14"/>
      <c r="C15" s="15" t="s">
        <v>918</v>
      </c>
      <c r="D15" s="14">
        <v>46243</v>
      </c>
      <c r="E15" s="16">
        <v>1</v>
      </c>
      <c r="F15" s="16"/>
      <c r="G15" s="17"/>
      <c r="H15" s="17"/>
      <c r="I15" s="17"/>
      <c r="J15" s="17">
        <v>250000</v>
      </c>
      <c r="K15" s="18" t="s">
        <v>41</v>
      </c>
    </row>
    <row r="16" spans="1:11" ht="19.149999999999999" customHeight="1" x14ac:dyDescent="0.25">
      <c r="A16" s="13">
        <v>11</v>
      </c>
      <c r="B16" s="14"/>
      <c r="C16" s="15" t="s">
        <v>919</v>
      </c>
      <c r="D16" s="14">
        <v>46242</v>
      </c>
      <c r="E16" s="16"/>
      <c r="F16" s="16"/>
      <c r="G16" s="17">
        <v>50</v>
      </c>
      <c r="H16" s="17"/>
      <c r="I16" s="17"/>
      <c r="J16" s="17">
        <v>100000</v>
      </c>
      <c r="K16" s="18" t="s">
        <v>461</v>
      </c>
    </row>
    <row r="17" spans="1:11" ht="19.149999999999999" customHeight="1" x14ac:dyDescent="0.25">
      <c r="A17" s="13">
        <v>12</v>
      </c>
      <c r="B17" s="14"/>
      <c r="C17" s="15"/>
      <c r="D17" s="14"/>
      <c r="E17" s="16"/>
      <c r="F17" s="16"/>
      <c r="G17" s="17">
        <v>50</v>
      </c>
      <c r="H17" s="17"/>
      <c r="I17" s="17"/>
      <c r="J17" s="17">
        <v>100000</v>
      </c>
      <c r="K17" s="18"/>
    </row>
    <row r="18" spans="1:11" ht="19.149999999999999" customHeight="1" x14ac:dyDescent="0.25">
      <c r="A18" s="13">
        <v>13</v>
      </c>
      <c r="B18" s="14">
        <v>46237</v>
      </c>
      <c r="C18" s="15" t="s">
        <v>896</v>
      </c>
      <c r="D18" s="14">
        <v>46266</v>
      </c>
      <c r="E18" s="16">
        <v>1</v>
      </c>
      <c r="F18" s="16"/>
      <c r="G18" s="17"/>
      <c r="H18" s="17"/>
      <c r="I18" s="17"/>
      <c r="J18" s="17">
        <v>250000</v>
      </c>
      <c r="K18" s="18" t="s">
        <v>41</v>
      </c>
    </row>
    <row r="19" spans="1:11" ht="19.149999999999999" customHeight="1" x14ac:dyDescent="0.25">
      <c r="A19" s="13">
        <v>14</v>
      </c>
      <c r="B19" s="14"/>
      <c r="C19" s="15" t="s">
        <v>920</v>
      </c>
      <c r="D19" s="14">
        <v>46278</v>
      </c>
      <c r="E19" s="16">
        <v>1</v>
      </c>
      <c r="F19" s="16"/>
      <c r="G19" s="17"/>
      <c r="H19" s="17"/>
      <c r="I19" s="17"/>
      <c r="J19" s="17">
        <v>250000</v>
      </c>
      <c r="K19" s="18" t="s">
        <v>49</v>
      </c>
    </row>
    <row r="20" spans="1:11" ht="19.149999999999999" customHeight="1" x14ac:dyDescent="0.25">
      <c r="A20" s="13">
        <v>15</v>
      </c>
      <c r="B20" s="14"/>
      <c r="C20" s="15" t="s">
        <v>529</v>
      </c>
      <c r="D20" s="14">
        <v>46268</v>
      </c>
      <c r="E20" s="16">
        <v>1</v>
      </c>
      <c r="F20" s="16"/>
      <c r="G20" s="17"/>
      <c r="H20" s="17"/>
      <c r="I20" s="17"/>
      <c r="J20" s="17">
        <v>250000</v>
      </c>
      <c r="K20" s="18" t="s">
        <v>43</v>
      </c>
    </row>
    <row r="21" spans="1:11" ht="19.149999999999999" customHeight="1" x14ac:dyDescent="0.25">
      <c r="A21" s="13">
        <v>16</v>
      </c>
      <c r="B21" s="20">
        <v>46238</v>
      </c>
      <c r="C21" s="15" t="s">
        <v>921</v>
      </c>
      <c r="D21" s="20">
        <v>46243</v>
      </c>
      <c r="E21" s="16"/>
      <c r="F21" s="18"/>
      <c r="G21" s="18">
        <v>200</v>
      </c>
      <c r="H21" s="18"/>
      <c r="I21" s="18"/>
      <c r="J21" s="17">
        <v>400000</v>
      </c>
      <c r="K21" s="18" t="s">
        <v>901</v>
      </c>
    </row>
    <row r="22" spans="1:11" ht="19.149999999999999" customHeight="1" x14ac:dyDescent="0.25">
      <c r="A22" s="13">
        <v>17</v>
      </c>
      <c r="B22" s="14"/>
      <c r="C22" s="15" t="s">
        <v>922</v>
      </c>
      <c r="D22" s="14">
        <v>46245</v>
      </c>
      <c r="E22" s="16">
        <v>1</v>
      </c>
      <c r="F22" s="16"/>
      <c r="G22" s="17"/>
      <c r="H22" s="17">
        <v>1</v>
      </c>
      <c r="I22" s="17"/>
      <c r="J22" s="17">
        <v>350000</v>
      </c>
      <c r="K22" s="18" t="s">
        <v>41</v>
      </c>
    </row>
    <row r="23" spans="1:11" x14ac:dyDescent="0.25">
      <c r="A23" s="13">
        <v>18</v>
      </c>
      <c r="B23" s="20"/>
      <c r="C23" s="15" t="s">
        <v>923</v>
      </c>
      <c r="D23" s="20">
        <v>46247</v>
      </c>
      <c r="E23" s="16">
        <v>1</v>
      </c>
      <c r="F23" s="18"/>
      <c r="G23" s="18"/>
      <c r="H23" s="18"/>
      <c r="I23" s="18"/>
      <c r="J23" s="17">
        <v>250000</v>
      </c>
      <c r="K23" s="18" t="s">
        <v>44</v>
      </c>
    </row>
    <row r="24" spans="1:11" ht="19.149999999999999" customHeight="1" x14ac:dyDescent="0.25">
      <c r="A24" s="13">
        <v>19</v>
      </c>
      <c r="B24" s="14"/>
      <c r="C24" s="21" t="s">
        <v>924</v>
      </c>
      <c r="D24" s="14">
        <v>46246</v>
      </c>
      <c r="E24" s="16">
        <v>1</v>
      </c>
      <c r="F24" s="16"/>
      <c r="G24" s="17"/>
      <c r="H24" s="17"/>
      <c r="I24" s="17"/>
      <c r="J24" s="17">
        <v>250000</v>
      </c>
      <c r="K24" s="18" t="s">
        <v>43</v>
      </c>
    </row>
    <row r="25" spans="1:11" ht="19.149999999999999" customHeight="1" x14ac:dyDescent="0.25">
      <c r="A25" s="13">
        <v>20</v>
      </c>
      <c r="B25" s="14">
        <v>46239</v>
      </c>
      <c r="C25" s="21" t="s">
        <v>925</v>
      </c>
      <c r="D25" s="14">
        <v>46242</v>
      </c>
      <c r="E25" s="16"/>
      <c r="F25" s="16"/>
      <c r="G25" s="17">
        <v>50</v>
      </c>
      <c r="H25" s="17"/>
      <c r="I25" s="17"/>
      <c r="J25" s="17">
        <v>100000</v>
      </c>
      <c r="K25" s="18" t="s">
        <v>201</v>
      </c>
    </row>
    <row r="26" spans="1:11" ht="19.149999999999999" customHeight="1" x14ac:dyDescent="0.25">
      <c r="A26" s="13">
        <v>21</v>
      </c>
      <c r="B26" s="14"/>
      <c r="C26" s="21" t="s">
        <v>926</v>
      </c>
      <c r="D26" s="14">
        <v>46263</v>
      </c>
      <c r="E26" s="16">
        <v>1</v>
      </c>
      <c r="F26" s="16"/>
      <c r="G26" s="17"/>
      <c r="H26" s="17"/>
      <c r="I26" s="18"/>
      <c r="J26" s="17">
        <v>250000</v>
      </c>
      <c r="K26" s="18" t="s">
        <v>43</v>
      </c>
    </row>
    <row r="27" spans="1:11" ht="19.149999999999999" customHeight="1" x14ac:dyDescent="0.25">
      <c r="A27" s="13">
        <v>22</v>
      </c>
      <c r="B27" s="14">
        <v>46240</v>
      </c>
      <c r="C27" s="15" t="s">
        <v>927</v>
      </c>
      <c r="D27" s="14">
        <v>46257</v>
      </c>
      <c r="E27" s="16"/>
      <c r="F27" s="16"/>
      <c r="G27" s="17">
        <v>100</v>
      </c>
      <c r="H27" s="17"/>
      <c r="I27" s="17"/>
      <c r="J27" s="17">
        <v>200000</v>
      </c>
      <c r="K27" s="18" t="s">
        <v>201</v>
      </c>
    </row>
    <row r="28" spans="1:11" ht="19.149999999999999" customHeight="1" x14ac:dyDescent="0.25">
      <c r="A28" s="13">
        <v>23</v>
      </c>
      <c r="B28" s="14"/>
      <c r="C28" s="15" t="s">
        <v>930</v>
      </c>
      <c r="D28" s="14">
        <v>46257</v>
      </c>
      <c r="E28" s="16"/>
      <c r="F28" s="16"/>
      <c r="G28" s="17">
        <v>100</v>
      </c>
      <c r="H28" s="17"/>
      <c r="I28" s="17"/>
      <c r="J28" s="17">
        <v>200000</v>
      </c>
      <c r="K28" s="18" t="s">
        <v>226</v>
      </c>
    </row>
    <row r="29" spans="1:11" ht="19.149999999999999" customHeight="1" x14ac:dyDescent="0.25">
      <c r="A29" s="13">
        <v>24</v>
      </c>
      <c r="B29" s="14"/>
      <c r="C29" s="15" t="s">
        <v>935</v>
      </c>
      <c r="D29" s="14">
        <v>46264</v>
      </c>
      <c r="E29" s="16">
        <v>1</v>
      </c>
      <c r="F29" s="16"/>
      <c r="G29" s="17"/>
      <c r="H29" s="17">
        <v>1</v>
      </c>
      <c r="I29" s="17"/>
      <c r="J29" s="17">
        <v>350000</v>
      </c>
      <c r="K29" s="18" t="s">
        <v>49</v>
      </c>
    </row>
    <row r="30" spans="1:11" ht="19.149999999999999" customHeight="1" x14ac:dyDescent="0.25">
      <c r="A30" s="13">
        <v>25</v>
      </c>
      <c r="B30" s="14"/>
      <c r="C30" s="15" t="s">
        <v>932</v>
      </c>
      <c r="D30" s="14">
        <v>46242</v>
      </c>
      <c r="E30" s="16"/>
      <c r="F30" s="16"/>
      <c r="G30" s="17">
        <v>50</v>
      </c>
      <c r="H30" s="17"/>
      <c r="I30" s="17"/>
      <c r="J30" s="17">
        <v>100000</v>
      </c>
      <c r="K30" s="18" t="s">
        <v>933</v>
      </c>
    </row>
    <row r="31" spans="1:11" ht="19.149999999999999" customHeight="1" x14ac:dyDescent="0.25">
      <c r="A31" s="13">
        <v>26</v>
      </c>
      <c r="B31" s="14"/>
      <c r="C31" s="15" t="s">
        <v>891</v>
      </c>
      <c r="D31" s="20">
        <v>46243</v>
      </c>
      <c r="E31" s="16"/>
      <c r="F31" s="16"/>
      <c r="G31" s="17">
        <v>100</v>
      </c>
      <c r="H31" s="17"/>
      <c r="I31" s="17"/>
      <c r="J31" s="17">
        <v>200000</v>
      </c>
      <c r="K31" s="18" t="s">
        <v>748</v>
      </c>
    </row>
    <row r="32" spans="1:11" ht="19.149999999999999" customHeight="1" x14ac:dyDescent="0.25">
      <c r="A32" s="13">
        <v>27</v>
      </c>
      <c r="B32" s="14"/>
      <c r="C32" s="125" t="s">
        <v>928</v>
      </c>
      <c r="D32" s="14">
        <v>46241</v>
      </c>
      <c r="E32" s="124">
        <v>2</v>
      </c>
      <c r="F32" s="124"/>
      <c r="G32" s="124"/>
      <c r="H32" s="124"/>
      <c r="I32" s="124"/>
      <c r="J32" s="124">
        <v>500000</v>
      </c>
      <c r="K32" s="18" t="s">
        <v>48</v>
      </c>
    </row>
    <row r="33" spans="1:11" ht="18.75" customHeight="1" x14ac:dyDescent="0.25">
      <c r="A33" s="13">
        <v>28</v>
      </c>
      <c r="B33" s="14"/>
      <c r="C33" s="125" t="s">
        <v>929</v>
      </c>
      <c r="D33" s="14">
        <v>46264</v>
      </c>
      <c r="E33" s="124"/>
      <c r="F33" s="124"/>
      <c r="G33" s="124">
        <v>70</v>
      </c>
      <c r="H33" s="124"/>
      <c r="I33" s="124"/>
      <c r="J33" s="124">
        <v>140000</v>
      </c>
      <c r="K33" s="18" t="s">
        <v>915</v>
      </c>
    </row>
    <row r="34" spans="1:11" ht="18.75" customHeight="1" x14ac:dyDescent="0.25">
      <c r="A34" s="13">
        <v>29</v>
      </c>
      <c r="B34" s="14"/>
      <c r="C34" s="125" t="s">
        <v>931</v>
      </c>
      <c r="D34" s="14">
        <v>46259</v>
      </c>
      <c r="E34" s="124">
        <v>1</v>
      </c>
      <c r="F34" s="124"/>
      <c r="G34" s="124"/>
      <c r="H34" s="124"/>
      <c r="I34" s="124"/>
      <c r="J34" s="124">
        <v>250000</v>
      </c>
      <c r="K34" s="18" t="s">
        <v>41</v>
      </c>
    </row>
    <row r="35" spans="1:11" ht="18.75" customHeight="1" x14ac:dyDescent="0.25">
      <c r="A35" s="13">
        <v>30</v>
      </c>
      <c r="B35" s="14"/>
      <c r="C35" s="125" t="s">
        <v>934</v>
      </c>
      <c r="D35" s="14">
        <v>46257</v>
      </c>
      <c r="E35" s="124"/>
      <c r="F35" s="124"/>
      <c r="G35" s="124">
        <v>100</v>
      </c>
      <c r="H35" s="124"/>
      <c r="I35" s="124"/>
      <c r="J35" s="124">
        <v>200000</v>
      </c>
      <c r="K35" s="18" t="s">
        <v>901</v>
      </c>
    </row>
    <row r="36" spans="1:11" ht="18.75" customHeight="1" x14ac:dyDescent="0.25">
      <c r="A36" s="13">
        <v>31</v>
      </c>
      <c r="B36" s="14">
        <v>46241</v>
      </c>
      <c r="C36" s="125" t="s">
        <v>936</v>
      </c>
      <c r="D36" s="14">
        <v>46256</v>
      </c>
      <c r="E36" s="124"/>
      <c r="F36" s="124"/>
      <c r="G36" s="124">
        <v>100</v>
      </c>
      <c r="H36" s="124"/>
      <c r="I36" s="124"/>
      <c r="J36" s="124">
        <v>200000</v>
      </c>
      <c r="K36" s="18" t="s">
        <v>793</v>
      </c>
    </row>
    <row r="37" spans="1:11" ht="18.75" customHeight="1" x14ac:dyDescent="0.25">
      <c r="A37" s="13">
        <v>32</v>
      </c>
      <c r="B37" s="14"/>
      <c r="C37" s="125" t="s">
        <v>937</v>
      </c>
      <c r="D37" s="14">
        <v>46285</v>
      </c>
      <c r="E37" s="124">
        <v>2</v>
      </c>
      <c r="F37" s="124"/>
      <c r="G37" s="124"/>
      <c r="H37" s="124"/>
      <c r="I37" s="124"/>
      <c r="J37" s="124">
        <v>500000</v>
      </c>
      <c r="K37" s="18" t="s">
        <v>48</v>
      </c>
    </row>
    <row r="38" spans="1:11" ht="18.75" customHeight="1" x14ac:dyDescent="0.25">
      <c r="A38" s="13">
        <v>33</v>
      </c>
      <c r="B38" s="14"/>
      <c r="C38" s="125" t="s">
        <v>938</v>
      </c>
      <c r="D38" s="14">
        <v>46246</v>
      </c>
      <c r="E38" s="124">
        <v>1</v>
      </c>
      <c r="F38" s="124"/>
      <c r="G38" s="124"/>
      <c r="H38" s="124"/>
      <c r="I38" s="124"/>
      <c r="J38" s="124">
        <v>250000</v>
      </c>
      <c r="K38" s="18" t="s">
        <v>44</v>
      </c>
    </row>
    <row r="39" spans="1:11" ht="18.75" customHeight="1" x14ac:dyDescent="0.25">
      <c r="A39" s="13">
        <v>34</v>
      </c>
      <c r="B39" s="14">
        <v>46242</v>
      </c>
      <c r="C39" s="125" t="s">
        <v>939</v>
      </c>
      <c r="D39" s="14">
        <v>46264</v>
      </c>
      <c r="E39" s="124"/>
      <c r="F39" s="124"/>
      <c r="G39" s="124">
        <v>100</v>
      </c>
      <c r="H39" s="124"/>
      <c r="I39" s="124"/>
      <c r="J39" s="124">
        <v>200000</v>
      </c>
      <c r="K39" s="18" t="s">
        <v>461</v>
      </c>
    </row>
    <row r="40" spans="1:11" ht="18.75" customHeight="1" x14ac:dyDescent="0.25">
      <c r="A40" s="13">
        <v>35</v>
      </c>
      <c r="B40" s="14"/>
      <c r="C40" s="125" t="s">
        <v>940</v>
      </c>
      <c r="D40" s="14">
        <v>46285</v>
      </c>
      <c r="E40" s="124">
        <v>1</v>
      </c>
      <c r="F40" s="124"/>
      <c r="G40" s="124"/>
      <c r="H40" s="124"/>
      <c r="I40" s="124"/>
      <c r="J40" s="124">
        <v>250000</v>
      </c>
      <c r="K40" s="18" t="s">
        <v>49</v>
      </c>
    </row>
    <row r="41" spans="1:11" ht="18.75" customHeight="1" x14ac:dyDescent="0.25">
      <c r="A41" s="13">
        <v>36</v>
      </c>
      <c r="B41" s="14"/>
      <c r="C41" s="125" t="s">
        <v>941</v>
      </c>
      <c r="D41" s="14">
        <v>46246</v>
      </c>
      <c r="E41" s="124">
        <v>1</v>
      </c>
      <c r="F41" s="124"/>
      <c r="G41" s="124"/>
      <c r="H41" s="124"/>
      <c r="I41" s="124"/>
      <c r="J41" s="124">
        <v>250000</v>
      </c>
      <c r="K41" s="18" t="s">
        <v>43</v>
      </c>
    </row>
    <row r="42" spans="1:11" ht="18.75" customHeight="1" x14ac:dyDescent="0.25">
      <c r="A42" s="13">
        <v>37</v>
      </c>
      <c r="B42" s="14"/>
      <c r="C42" s="125" t="s">
        <v>942</v>
      </c>
      <c r="D42" s="14">
        <v>46245</v>
      </c>
      <c r="E42" s="124">
        <v>1</v>
      </c>
      <c r="F42" s="124"/>
      <c r="G42" s="124"/>
      <c r="H42" s="124"/>
      <c r="I42" s="124"/>
      <c r="J42" s="124">
        <v>250000</v>
      </c>
      <c r="K42" s="18" t="s">
        <v>44</v>
      </c>
    </row>
    <row r="43" spans="1:11" ht="18.75" customHeight="1" x14ac:dyDescent="0.25">
      <c r="A43" s="13">
        <v>38</v>
      </c>
      <c r="B43" s="14">
        <v>46243</v>
      </c>
      <c r="C43" s="125" t="s">
        <v>944</v>
      </c>
      <c r="D43" s="14">
        <v>46256</v>
      </c>
      <c r="E43" s="124">
        <v>2</v>
      </c>
      <c r="F43" s="124"/>
      <c r="G43" s="124"/>
      <c r="H43" s="124"/>
      <c r="I43" s="124"/>
      <c r="J43" s="124">
        <v>500000</v>
      </c>
      <c r="K43" s="18" t="s">
        <v>48</v>
      </c>
    </row>
    <row r="44" spans="1:11" ht="18.75" customHeight="1" x14ac:dyDescent="0.25">
      <c r="A44" s="13">
        <v>39</v>
      </c>
      <c r="B44" s="14"/>
      <c r="C44" s="125" t="s">
        <v>943</v>
      </c>
      <c r="D44" s="14">
        <v>46250</v>
      </c>
      <c r="E44" s="124"/>
      <c r="F44" s="124"/>
      <c r="G44" s="124">
        <v>150</v>
      </c>
      <c r="H44" s="124"/>
      <c r="I44" s="124"/>
      <c r="J44" s="124">
        <v>300000</v>
      </c>
      <c r="K44" s="18" t="s">
        <v>451</v>
      </c>
    </row>
    <row r="45" spans="1:11" ht="18.75" customHeight="1" x14ac:dyDescent="0.25">
      <c r="A45" s="13">
        <v>40</v>
      </c>
      <c r="B45" s="14">
        <v>46244</v>
      </c>
      <c r="C45" s="125" t="s">
        <v>945</v>
      </c>
      <c r="D45" s="14">
        <v>46285</v>
      </c>
      <c r="E45" s="124">
        <v>1</v>
      </c>
      <c r="F45" s="124"/>
      <c r="G45" s="124"/>
      <c r="H45" s="124"/>
      <c r="I45" s="124"/>
      <c r="J45" s="124">
        <v>250000</v>
      </c>
      <c r="K45" s="18" t="s">
        <v>41</v>
      </c>
    </row>
    <row r="46" spans="1:11" ht="18.75" customHeight="1" x14ac:dyDescent="0.25">
      <c r="A46" s="13">
        <v>41</v>
      </c>
      <c r="B46" s="14"/>
      <c r="C46" s="125" t="s">
        <v>946</v>
      </c>
      <c r="D46" s="14">
        <v>46270</v>
      </c>
      <c r="E46" s="124">
        <v>2</v>
      </c>
      <c r="F46" s="124"/>
      <c r="G46" s="124"/>
      <c r="H46" s="124"/>
      <c r="I46" s="124"/>
      <c r="J46" s="124">
        <v>500000</v>
      </c>
      <c r="K46" s="18" t="s">
        <v>48</v>
      </c>
    </row>
    <row r="47" spans="1:11" ht="18.75" customHeight="1" x14ac:dyDescent="0.25">
      <c r="A47" s="13">
        <v>42</v>
      </c>
      <c r="B47" s="14"/>
      <c r="C47" s="125" t="s">
        <v>947</v>
      </c>
      <c r="D47" s="14">
        <v>46256</v>
      </c>
      <c r="E47" s="124"/>
      <c r="F47" s="124"/>
      <c r="G47" s="124">
        <v>50</v>
      </c>
      <c r="H47" s="124"/>
      <c r="I47" s="124"/>
      <c r="J47" s="124">
        <v>100000</v>
      </c>
      <c r="K47" s="18" t="s">
        <v>201</v>
      </c>
    </row>
    <row r="48" spans="1:11" ht="18.75" customHeight="1" x14ac:dyDescent="0.25">
      <c r="A48" s="13">
        <v>43</v>
      </c>
      <c r="B48" s="14"/>
      <c r="C48" s="125" t="s">
        <v>948</v>
      </c>
      <c r="D48" s="14">
        <v>46251</v>
      </c>
      <c r="E48" s="124">
        <v>1</v>
      </c>
      <c r="F48" s="124"/>
      <c r="G48" s="124"/>
      <c r="H48" s="124"/>
      <c r="I48" s="124"/>
      <c r="J48" s="124">
        <v>250000</v>
      </c>
      <c r="K48" s="18" t="s">
        <v>41</v>
      </c>
    </row>
    <row r="49" spans="1:11" ht="18.75" customHeight="1" x14ac:dyDescent="0.25">
      <c r="A49" s="13">
        <v>44</v>
      </c>
      <c r="B49" s="14"/>
      <c r="C49" s="125" t="s">
        <v>949</v>
      </c>
      <c r="D49" s="14">
        <v>46259</v>
      </c>
      <c r="E49" s="124"/>
      <c r="F49" s="124"/>
      <c r="G49" s="124">
        <v>100</v>
      </c>
      <c r="H49" s="124">
        <v>1</v>
      </c>
      <c r="I49" s="124"/>
      <c r="J49" s="124">
        <v>300000</v>
      </c>
      <c r="K49" s="18"/>
    </row>
    <row r="50" spans="1:11" ht="18.75" customHeight="1" x14ac:dyDescent="0.25">
      <c r="A50" s="13">
        <v>45</v>
      </c>
      <c r="B50" s="14"/>
      <c r="C50" s="125" t="s">
        <v>950</v>
      </c>
      <c r="D50" s="14">
        <v>46270</v>
      </c>
      <c r="E50" s="124">
        <v>1</v>
      </c>
      <c r="F50" s="124"/>
      <c r="G50" s="124"/>
      <c r="H50" s="124"/>
      <c r="I50" s="124"/>
      <c r="J50" s="124">
        <v>250000</v>
      </c>
      <c r="K50" s="18" t="s">
        <v>41</v>
      </c>
    </row>
    <row r="51" spans="1:11" ht="18.75" customHeight="1" x14ac:dyDescent="0.25">
      <c r="A51" s="13">
        <v>46</v>
      </c>
      <c r="B51" s="14">
        <v>46245</v>
      </c>
      <c r="C51" s="125" t="s">
        <v>951</v>
      </c>
      <c r="D51" s="14">
        <v>46251</v>
      </c>
      <c r="E51" s="124">
        <v>1</v>
      </c>
      <c r="F51" s="124"/>
      <c r="G51" s="124"/>
      <c r="H51" s="124"/>
      <c r="I51" s="124"/>
      <c r="J51" s="124">
        <v>250000</v>
      </c>
      <c r="K51" s="18" t="s">
        <v>47</v>
      </c>
    </row>
    <row r="52" spans="1:11" ht="18.75" customHeight="1" x14ac:dyDescent="0.25">
      <c r="A52" s="13">
        <v>47</v>
      </c>
      <c r="B52" s="14"/>
      <c r="C52" s="125" t="s">
        <v>952</v>
      </c>
      <c r="D52" s="14">
        <v>46249</v>
      </c>
      <c r="E52" s="124"/>
      <c r="F52" s="124"/>
      <c r="G52" s="124">
        <v>100</v>
      </c>
      <c r="H52" s="124"/>
      <c r="I52" s="124"/>
      <c r="J52" s="124">
        <v>200000</v>
      </c>
      <c r="K52" s="18" t="s">
        <v>451</v>
      </c>
    </row>
    <row r="53" spans="1:11" ht="18.75" customHeight="1" x14ac:dyDescent="0.25">
      <c r="A53" s="13">
        <v>48</v>
      </c>
      <c r="B53" s="14"/>
      <c r="C53" s="125" t="s">
        <v>953</v>
      </c>
      <c r="D53" s="14">
        <v>46368</v>
      </c>
      <c r="E53" s="124"/>
      <c r="F53" s="124"/>
      <c r="G53" s="124">
        <v>150</v>
      </c>
      <c r="H53" s="124"/>
      <c r="I53" s="124"/>
      <c r="J53" s="124">
        <v>300000</v>
      </c>
      <c r="K53" s="18" t="s">
        <v>461</v>
      </c>
    </row>
    <row r="54" spans="1:11" ht="18.75" customHeight="1" x14ac:dyDescent="0.25">
      <c r="A54" s="13">
        <v>49</v>
      </c>
      <c r="B54" s="14"/>
      <c r="C54" s="125" t="s">
        <v>954</v>
      </c>
      <c r="D54" s="14">
        <v>46251</v>
      </c>
      <c r="E54" s="124"/>
      <c r="F54" s="124"/>
      <c r="G54" s="124">
        <v>300</v>
      </c>
      <c r="H54" s="124"/>
      <c r="I54" s="124"/>
      <c r="J54" s="124">
        <v>600000</v>
      </c>
      <c r="K54" s="18" t="s">
        <v>791</v>
      </c>
    </row>
    <row r="55" spans="1:11" ht="18.75" customHeight="1" x14ac:dyDescent="0.25">
      <c r="A55" s="13">
        <v>50</v>
      </c>
      <c r="B55" s="14"/>
      <c r="C55" s="125" t="s">
        <v>955</v>
      </c>
      <c r="D55" s="14">
        <v>46250</v>
      </c>
      <c r="E55" s="124"/>
      <c r="F55" s="124"/>
      <c r="G55" s="124">
        <v>100</v>
      </c>
      <c r="H55" s="124"/>
      <c r="I55" s="124"/>
      <c r="J55" s="124">
        <v>200000</v>
      </c>
      <c r="K55" s="18" t="s">
        <v>901</v>
      </c>
    </row>
    <row r="56" spans="1:11" ht="18.75" customHeight="1" x14ac:dyDescent="0.25">
      <c r="A56" s="13">
        <v>51</v>
      </c>
      <c r="B56" s="14">
        <v>46246</v>
      </c>
      <c r="C56" s="125" t="s">
        <v>956</v>
      </c>
      <c r="D56" s="14">
        <v>46270</v>
      </c>
      <c r="E56" s="124">
        <v>1</v>
      </c>
      <c r="F56" s="124"/>
      <c r="G56" s="124"/>
      <c r="H56" s="124"/>
      <c r="I56" s="124"/>
      <c r="J56" s="124">
        <v>250000</v>
      </c>
      <c r="K56" s="18" t="s">
        <v>49</v>
      </c>
    </row>
    <row r="57" spans="1:11" ht="18.75" customHeight="1" x14ac:dyDescent="0.25">
      <c r="A57" s="13">
        <v>52</v>
      </c>
      <c r="B57" s="14"/>
      <c r="C57" s="125" t="s">
        <v>957</v>
      </c>
      <c r="D57" s="14">
        <v>46271</v>
      </c>
      <c r="E57" s="124"/>
      <c r="F57" s="124"/>
      <c r="G57" s="124">
        <v>50</v>
      </c>
      <c r="H57" s="124"/>
      <c r="I57" s="124"/>
      <c r="J57" s="124">
        <v>100000</v>
      </c>
      <c r="K57" s="18" t="s">
        <v>201</v>
      </c>
    </row>
    <row r="58" spans="1:11" ht="18.75" customHeight="1" x14ac:dyDescent="0.25">
      <c r="A58" s="13">
        <v>53</v>
      </c>
      <c r="B58" s="14"/>
      <c r="C58" s="125" t="s">
        <v>90</v>
      </c>
      <c r="D58" s="14">
        <v>46259</v>
      </c>
      <c r="E58" s="124">
        <v>1</v>
      </c>
      <c r="F58" s="124"/>
      <c r="G58" s="124"/>
      <c r="H58" s="124"/>
      <c r="I58" s="124"/>
      <c r="J58" s="124">
        <v>250000</v>
      </c>
      <c r="K58" s="18" t="s">
        <v>43</v>
      </c>
    </row>
    <row r="59" spans="1:11" ht="18.75" customHeight="1" x14ac:dyDescent="0.25">
      <c r="A59" s="13">
        <v>54</v>
      </c>
      <c r="B59" s="14"/>
      <c r="C59" s="125" t="s">
        <v>958</v>
      </c>
      <c r="D59" s="14">
        <v>46250</v>
      </c>
      <c r="E59" s="124"/>
      <c r="F59" s="124"/>
      <c r="G59" s="124">
        <v>200</v>
      </c>
      <c r="H59" s="124"/>
      <c r="I59" s="124"/>
      <c r="J59" s="124">
        <v>400000</v>
      </c>
      <c r="K59" s="18" t="s">
        <v>791</v>
      </c>
    </row>
    <row r="60" spans="1:11" ht="18.75" customHeight="1" x14ac:dyDescent="0.25">
      <c r="A60" s="13">
        <v>55</v>
      </c>
      <c r="B60" s="14">
        <v>46247</v>
      </c>
      <c r="C60" s="125" t="s">
        <v>962</v>
      </c>
      <c r="D60" s="14">
        <v>46253</v>
      </c>
      <c r="E60" s="124"/>
      <c r="F60" s="124"/>
      <c r="G60" s="124">
        <v>100</v>
      </c>
      <c r="H60" s="124"/>
      <c r="I60" s="124"/>
      <c r="J60" s="124">
        <v>200000</v>
      </c>
      <c r="K60" s="18" t="s">
        <v>791</v>
      </c>
    </row>
    <row r="61" spans="1:11" ht="18.75" customHeight="1" x14ac:dyDescent="0.25">
      <c r="A61" s="13">
        <v>56</v>
      </c>
      <c r="B61" s="14"/>
      <c r="C61" s="125" t="s">
        <v>960</v>
      </c>
      <c r="D61" s="14">
        <v>46249</v>
      </c>
      <c r="E61" s="124"/>
      <c r="F61" s="124"/>
      <c r="G61" s="124">
        <v>50</v>
      </c>
      <c r="H61" s="124"/>
      <c r="I61" s="124"/>
      <c r="J61" s="124">
        <v>100000</v>
      </c>
      <c r="K61" s="18" t="s">
        <v>933</v>
      </c>
    </row>
    <row r="62" spans="1:11" ht="18.75" customHeight="1" x14ac:dyDescent="0.25">
      <c r="A62" s="13">
        <v>57</v>
      </c>
      <c r="B62" s="14"/>
      <c r="C62" s="125"/>
      <c r="D62" s="14">
        <v>46253</v>
      </c>
      <c r="E62" s="124"/>
      <c r="F62" s="124"/>
      <c r="G62" s="124"/>
      <c r="H62" s="124">
        <v>1</v>
      </c>
      <c r="I62" s="124"/>
      <c r="J62" s="124">
        <v>100000</v>
      </c>
      <c r="K62" s="18" t="s">
        <v>836</v>
      </c>
    </row>
    <row r="63" spans="1:11" ht="18.75" customHeight="1" x14ac:dyDescent="0.25">
      <c r="A63" s="13">
        <v>58</v>
      </c>
      <c r="B63" s="14"/>
      <c r="C63" s="125" t="s">
        <v>959</v>
      </c>
      <c r="D63" s="14">
        <v>46253</v>
      </c>
      <c r="E63" s="124">
        <v>1</v>
      </c>
      <c r="F63" s="124"/>
      <c r="G63" s="124"/>
      <c r="H63" s="124"/>
      <c r="I63" s="124"/>
      <c r="J63" s="124">
        <v>250000</v>
      </c>
      <c r="K63" s="18" t="s">
        <v>47</v>
      </c>
    </row>
    <row r="64" spans="1:11" ht="18.75" customHeight="1" x14ac:dyDescent="0.25">
      <c r="A64" s="13">
        <v>59</v>
      </c>
      <c r="B64" s="14"/>
      <c r="C64" s="125" t="s">
        <v>961</v>
      </c>
      <c r="D64" s="14">
        <v>46284</v>
      </c>
      <c r="E64" s="124">
        <v>2</v>
      </c>
      <c r="F64" s="124"/>
      <c r="G64" s="124"/>
      <c r="H64" s="124"/>
      <c r="I64" s="124"/>
      <c r="J64" s="124">
        <v>500000</v>
      </c>
      <c r="K64" s="18" t="s">
        <v>48</v>
      </c>
    </row>
    <row r="65" spans="1:11" ht="18.75" customHeight="1" x14ac:dyDescent="0.25">
      <c r="A65" s="13">
        <v>60</v>
      </c>
      <c r="B65" s="14"/>
      <c r="C65" s="125" t="s">
        <v>963</v>
      </c>
      <c r="D65" s="14">
        <v>46250</v>
      </c>
      <c r="E65" s="124"/>
      <c r="F65" s="124">
        <v>1</v>
      </c>
      <c r="G65" s="124"/>
      <c r="H65" s="124"/>
      <c r="I65" s="124" t="s">
        <v>98</v>
      </c>
      <c r="J65" s="124">
        <v>1750000</v>
      </c>
      <c r="K65" s="18" t="s">
        <v>964</v>
      </c>
    </row>
    <row r="66" spans="1:11" ht="18.75" customHeight="1" x14ac:dyDescent="0.25">
      <c r="A66" s="13">
        <v>61</v>
      </c>
      <c r="B66" s="14">
        <v>46248</v>
      </c>
      <c r="C66" s="125" t="s">
        <v>965</v>
      </c>
      <c r="D66" s="14">
        <v>46253</v>
      </c>
      <c r="E66" s="124"/>
      <c r="F66" s="124"/>
      <c r="G66" s="124">
        <v>150</v>
      </c>
      <c r="H66" s="124"/>
      <c r="I66" s="124"/>
      <c r="J66" s="124">
        <v>300000</v>
      </c>
      <c r="K66" s="18" t="s">
        <v>748</v>
      </c>
    </row>
    <row r="67" spans="1:11" ht="18.75" customHeight="1" x14ac:dyDescent="0.25">
      <c r="A67" s="13">
        <v>62</v>
      </c>
      <c r="B67" s="14"/>
      <c r="C67" s="125" t="s">
        <v>968</v>
      </c>
      <c r="D67" s="14">
        <v>46278</v>
      </c>
      <c r="E67" s="124"/>
      <c r="F67" s="124"/>
      <c r="G67" s="124">
        <v>100</v>
      </c>
      <c r="H67" s="124"/>
      <c r="I67" s="124"/>
      <c r="J67" s="124">
        <v>200000</v>
      </c>
      <c r="K67" s="18" t="s">
        <v>461</v>
      </c>
    </row>
    <row r="68" spans="1:11" ht="18.75" customHeight="1" x14ac:dyDescent="0.25">
      <c r="A68" s="13">
        <v>63</v>
      </c>
      <c r="B68" s="14"/>
      <c r="C68" s="125" t="s">
        <v>966</v>
      </c>
      <c r="D68" s="14">
        <v>46254</v>
      </c>
      <c r="E68" s="124">
        <v>1</v>
      </c>
      <c r="F68" s="124"/>
      <c r="G68" s="124"/>
      <c r="H68" s="124"/>
      <c r="I68" s="124"/>
      <c r="J68" s="124">
        <v>250000</v>
      </c>
      <c r="K68" s="18" t="s">
        <v>47</v>
      </c>
    </row>
    <row r="69" spans="1:11" ht="18.75" customHeight="1" x14ac:dyDescent="0.25">
      <c r="A69" s="13">
        <v>64</v>
      </c>
      <c r="B69" s="14"/>
      <c r="C69" s="125" t="s">
        <v>967</v>
      </c>
      <c r="D69" s="14">
        <v>46264</v>
      </c>
      <c r="E69" s="124"/>
      <c r="F69" s="124"/>
      <c r="G69" s="124">
        <v>50</v>
      </c>
      <c r="H69" s="124"/>
      <c r="I69" s="124"/>
      <c r="J69" s="124">
        <v>100000</v>
      </c>
      <c r="K69" s="18" t="s">
        <v>203</v>
      </c>
    </row>
    <row r="70" spans="1:11" ht="18.75" customHeight="1" x14ac:dyDescent="0.25">
      <c r="A70" s="13">
        <v>65</v>
      </c>
      <c r="B70" s="14"/>
      <c r="C70" s="125"/>
      <c r="D70" s="14"/>
      <c r="E70" s="124">
        <v>1</v>
      </c>
      <c r="F70" s="124"/>
      <c r="G70" s="124"/>
      <c r="H70" s="124"/>
      <c r="I70" s="124"/>
      <c r="J70" s="124">
        <v>250000</v>
      </c>
      <c r="K70" s="18"/>
    </row>
    <row r="71" spans="1:11" ht="18.75" customHeight="1" x14ac:dyDescent="0.25">
      <c r="A71" s="13">
        <v>66</v>
      </c>
      <c r="B71" s="14">
        <v>46249</v>
      </c>
      <c r="C71" s="125" t="s">
        <v>972</v>
      </c>
      <c r="D71" s="14">
        <v>46257</v>
      </c>
      <c r="E71" s="124"/>
      <c r="F71" s="124"/>
      <c r="G71" s="124">
        <v>50</v>
      </c>
      <c r="H71" s="124"/>
      <c r="I71" s="124"/>
      <c r="J71" s="124">
        <v>100000</v>
      </c>
      <c r="K71" s="18" t="s">
        <v>461</v>
      </c>
    </row>
    <row r="72" spans="1:11" ht="18.75" customHeight="1" x14ac:dyDescent="0.25">
      <c r="A72" s="13">
        <v>67</v>
      </c>
      <c r="B72" s="14"/>
      <c r="C72" s="125" t="s">
        <v>969</v>
      </c>
      <c r="D72" s="14">
        <v>46256</v>
      </c>
      <c r="E72" s="124"/>
      <c r="F72" s="124"/>
      <c r="G72" s="124">
        <v>100</v>
      </c>
      <c r="H72" s="124"/>
      <c r="I72" s="124"/>
      <c r="J72" s="124">
        <v>200000</v>
      </c>
      <c r="K72" s="18" t="s">
        <v>970</v>
      </c>
    </row>
    <row r="73" spans="1:11" ht="18.75" customHeight="1" x14ac:dyDescent="0.25">
      <c r="A73" s="13">
        <v>68</v>
      </c>
      <c r="B73" s="14"/>
      <c r="C73" s="125" t="s">
        <v>1005</v>
      </c>
      <c r="D73" s="14">
        <v>46249</v>
      </c>
      <c r="E73" s="124"/>
      <c r="F73" s="124"/>
      <c r="G73" s="124"/>
      <c r="H73" s="124">
        <v>1</v>
      </c>
      <c r="I73" s="124"/>
      <c r="J73" s="124">
        <v>100000</v>
      </c>
      <c r="K73" s="18"/>
    </row>
    <row r="74" spans="1:11" ht="18.75" customHeight="1" x14ac:dyDescent="0.25">
      <c r="A74" s="13">
        <v>69</v>
      </c>
      <c r="B74" s="14"/>
      <c r="C74" s="125" t="s">
        <v>971</v>
      </c>
      <c r="D74" s="14">
        <v>46263</v>
      </c>
      <c r="E74" s="124"/>
      <c r="F74" s="124"/>
      <c r="G74" s="124">
        <v>100</v>
      </c>
      <c r="H74" s="124"/>
      <c r="I74" s="124"/>
      <c r="J74" s="124">
        <v>200000</v>
      </c>
      <c r="K74" s="18" t="s">
        <v>461</v>
      </c>
    </row>
    <row r="75" spans="1:11" ht="18.75" customHeight="1" x14ac:dyDescent="0.25">
      <c r="A75" s="13">
        <v>70</v>
      </c>
      <c r="B75" s="14">
        <v>46250</v>
      </c>
      <c r="C75" s="125" t="s">
        <v>975</v>
      </c>
      <c r="D75" s="14">
        <v>46291</v>
      </c>
      <c r="E75" s="124"/>
      <c r="F75" s="124">
        <v>1</v>
      </c>
      <c r="G75" s="124"/>
      <c r="H75" s="124"/>
      <c r="I75" s="124" t="s">
        <v>98</v>
      </c>
      <c r="J75" s="124">
        <v>1750000</v>
      </c>
      <c r="K75" s="18" t="s">
        <v>964</v>
      </c>
    </row>
    <row r="76" spans="1:11" ht="19.149999999999999" customHeight="1" x14ac:dyDescent="0.25">
      <c r="A76" s="13">
        <v>71</v>
      </c>
      <c r="B76" s="14"/>
      <c r="C76" s="125" t="s">
        <v>973</v>
      </c>
      <c r="D76" s="14">
        <v>46256</v>
      </c>
      <c r="E76" s="124"/>
      <c r="F76" s="124"/>
      <c r="G76" s="124">
        <v>50</v>
      </c>
      <c r="H76" s="124"/>
      <c r="I76" s="124"/>
      <c r="J76" s="124">
        <v>100000</v>
      </c>
      <c r="K76" s="18" t="s">
        <v>901</v>
      </c>
    </row>
    <row r="77" spans="1:11" ht="19.149999999999999" customHeight="1" x14ac:dyDescent="0.25">
      <c r="A77" s="13">
        <v>72</v>
      </c>
      <c r="B77" s="14"/>
      <c r="C77" s="125" t="s">
        <v>974</v>
      </c>
      <c r="D77" s="14">
        <v>46257</v>
      </c>
      <c r="E77" s="124"/>
      <c r="F77" s="124"/>
      <c r="G77" s="124">
        <v>50</v>
      </c>
      <c r="H77" s="124"/>
      <c r="I77" s="124"/>
      <c r="J77" s="124">
        <v>100000</v>
      </c>
      <c r="K77" s="18" t="s">
        <v>203</v>
      </c>
    </row>
    <row r="78" spans="1:11" ht="19.149999999999999" customHeight="1" x14ac:dyDescent="0.25">
      <c r="A78" s="13">
        <v>73</v>
      </c>
      <c r="B78" s="14"/>
      <c r="C78" s="125" t="s">
        <v>911</v>
      </c>
      <c r="D78" s="14">
        <v>46250</v>
      </c>
      <c r="E78" s="124"/>
      <c r="F78" s="124"/>
      <c r="G78" s="124"/>
      <c r="H78" s="124">
        <v>1</v>
      </c>
      <c r="I78" s="124"/>
      <c r="J78" s="124">
        <v>100000</v>
      </c>
      <c r="K78" s="18" t="s">
        <v>836</v>
      </c>
    </row>
    <row r="79" spans="1:11" ht="19.149999999999999" customHeight="1" x14ac:dyDescent="0.25">
      <c r="A79" s="13">
        <v>74</v>
      </c>
      <c r="B79" s="14">
        <v>46252</v>
      </c>
      <c r="C79" s="125" t="s">
        <v>989</v>
      </c>
      <c r="D79" s="14">
        <v>46259</v>
      </c>
      <c r="E79" s="124">
        <v>1</v>
      </c>
      <c r="F79" s="124"/>
      <c r="G79" s="124"/>
      <c r="H79" s="124"/>
      <c r="I79" s="124"/>
      <c r="J79" s="124">
        <v>250000</v>
      </c>
      <c r="K79" s="18" t="s">
        <v>49</v>
      </c>
    </row>
    <row r="80" spans="1:11" ht="19.149999999999999" customHeight="1" x14ac:dyDescent="0.25">
      <c r="A80" s="13">
        <v>75</v>
      </c>
      <c r="B80" s="14">
        <v>46253</v>
      </c>
      <c r="C80" s="125" t="s">
        <v>991</v>
      </c>
      <c r="D80" s="14">
        <v>46254</v>
      </c>
      <c r="E80" s="124">
        <v>1</v>
      </c>
      <c r="F80" s="124"/>
      <c r="G80" s="124"/>
      <c r="H80" s="124"/>
      <c r="I80" s="124"/>
      <c r="J80" s="124">
        <v>250000</v>
      </c>
      <c r="K80" s="18" t="s">
        <v>205</v>
      </c>
    </row>
    <row r="81" spans="1:11" ht="19.149999999999999" customHeight="1" x14ac:dyDescent="0.25">
      <c r="A81" s="13">
        <v>76</v>
      </c>
      <c r="B81" s="14"/>
      <c r="C81" s="125" t="s">
        <v>992</v>
      </c>
      <c r="D81" s="14">
        <v>46255</v>
      </c>
      <c r="E81" s="124"/>
      <c r="F81" s="124"/>
      <c r="G81" s="124">
        <v>50</v>
      </c>
      <c r="H81" s="124"/>
      <c r="I81" s="124"/>
      <c r="J81" s="124">
        <v>100000</v>
      </c>
      <c r="K81" s="18" t="s">
        <v>746</v>
      </c>
    </row>
    <row r="82" spans="1:11" ht="19.149999999999999" customHeight="1" x14ac:dyDescent="0.25">
      <c r="A82" s="13">
        <v>77</v>
      </c>
      <c r="B82" s="14"/>
      <c r="C82" s="125" t="s">
        <v>993</v>
      </c>
      <c r="D82" s="14">
        <v>46320</v>
      </c>
      <c r="E82" s="124">
        <v>1</v>
      </c>
      <c r="F82" s="124"/>
      <c r="G82" s="124"/>
      <c r="H82" s="124"/>
      <c r="I82" s="124"/>
      <c r="J82" s="124">
        <v>250000</v>
      </c>
      <c r="K82" s="18" t="s">
        <v>214</v>
      </c>
    </row>
    <row r="83" spans="1:11" ht="19.149999999999999" customHeight="1" x14ac:dyDescent="0.25">
      <c r="A83" s="13">
        <v>78</v>
      </c>
      <c r="B83" s="14"/>
      <c r="C83" s="125"/>
      <c r="D83" s="14"/>
      <c r="E83" s="124"/>
      <c r="F83" s="124"/>
      <c r="G83" s="124">
        <v>100</v>
      </c>
      <c r="H83" s="124"/>
      <c r="I83" s="124"/>
      <c r="J83" s="124">
        <v>200000</v>
      </c>
      <c r="K83" s="18"/>
    </row>
    <row r="84" spans="1:11" ht="19.149999999999999" customHeight="1" x14ac:dyDescent="0.25">
      <c r="A84" s="13">
        <v>79</v>
      </c>
      <c r="B84" s="14"/>
      <c r="C84" s="125" t="s">
        <v>994</v>
      </c>
      <c r="D84" s="14">
        <v>46264</v>
      </c>
      <c r="E84" s="124"/>
      <c r="F84" s="124"/>
      <c r="G84" s="124">
        <v>400</v>
      </c>
      <c r="H84" s="124"/>
      <c r="I84" s="124"/>
      <c r="J84" s="124">
        <v>800000</v>
      </c>
      <c r="K84" s="18" t="s">
        <v>697</v>
      </c>
    </row>
    <row r="85" spans="1:11" ht="19.149999999999999" customHeight="1" x14ac:dyDescent="0.25">
      <c r="A85" s="13">
        <v>80</v>
      </c>
      <c r="B85" s="14"/>
      <c r="C85" s="125" t="s">
        <v>470</v>
      </c>
      <c r="D85" s="14">
        <v>46291</v>
      </c>
      <c r="E85" s="124">
        <v>1</v>
      </c>
      <c r="F85" s="124"/>
      <c r="G85" s="124"/>
      <c r="H85" s="124"/>
      <c r="I85" s="124"/>
      <c r="J85" s="124">
        <v>250000</v>
      </c>
      <c r="K85" s="18" t="s">
        <v>205</v>
      </c>
    </row>
    <row r="86" spans="1:11" ht="19.149999999999999" customHeight="1" x14ac:dyDescent="0.25">
      <c r="A86" s="13">
        <v>81</v>
      </c>
      <c r="B86" s="14"/>
      <c r="C86" s="125" t="s">
        <v>995</v>
      </c>
      <c r="D86" s="14">
        <v>46260</v>
      </c>
      <c r="E86" s="124"/>
      <c r="F86" s="124"/>
      <c r="G86" s="124">
        <v>200</v>
      </c>
      <c r="H86" s="124"/>
      <c r="I86" s="124"/>
      <c r="J86" s="124">
        <v>400000</v>
      </c>
      <c r="K86" s="18"/>
    </row>
    <row r="87" spans="1:11" ht="19.149999999999999" customHeight="1" x14ac:dyDescent="0.25">
      <c r="A87" s="13">
        <v>82</v>
      </c>
      <c r="B87" s="14">
        <v>46254</v>
      </c>
      <c r="C87" s="125" t="s">
        <v>983</v>
      </c>
      <c r="D87" s="14">
        <v>46260</v>
      </c>
      <c r="E87" s="124">
        <v>1</v>
      </c>
      <c r="F87" s="124"/>
      <c r="G87" s="124"/>
      <c r="H87" s="124"/>
      <c r="I87" s="124"/>
      <c r="J87" s="124">
        <v>250000</v>
      </c>
      <c r="K87" s="18" t="s">
        <v>47</v>
      </c>
    </row>
    <row r="88" spans="1:11" ht="19.149999999999999" customHeight="1" x14ac:dyDescent="0.25">
      <c r="A88" s="13">
        <v>83</v>
      </c>
      <c r="B88" s="14"/>
      <c r="C88" s="125" t="s">
        <v>984</v>
      </c>
      <c r="D88" s="14">
        <v>46271</v>
      </c>
      <c r="E88" s="124"/>
      <c r="F88" s="124"/>
      <c r="G88" s="124">
        <v>200</v>
      </c>
      <c r="H88" s="124"/>
      <c r="I88" s="124"/>
      <c r="J88" s="124">
        <v>400000</v>
      </c>
      <c r="K88" s="18" t="s">
        <v>985</v>
      </c>
    </row>
    <row r="89" spans="1:11" ht="19.149999999999999" customHeight="1" x14ac:dyDescent="0.25">
      <c r="A89" s="13">
        <v>84</v>
      </c>
      <c r="B89" s="14"/>
      <c r="C89" s="125" t="s">
        <v>822</v>
      </c>
      <c r="D89" s="14">
        <v>46263</v>
      </c>
      <c r="E89" s="124"/>
      <c r="F89" s="124"/>
      <c r="G89" s="124">
        <v>50</v>
      </c>
      <c r="H89" s="124"/>
      <c r="I89" s="124"/>
      <c r="J89" s="124">
        <v>100000</v>
      </c>
      <c r="K89" s="18" t="s">
        <v>617</v>
      </c>
    </row>
    <row r="90" spans="1:11" ht="19.149999999999999" customHeight="1" x14ac:dyDescent="0.25">
      <c r="A90" s="13">
        <v>85</v>
      </c>
      <c r="B90" s="14"/>
      <c r="C90" s="125" t="s">
        <v>987</v>
      </c>
      <c r="D90" s="14">
        <v>46264</v>
      </c>
      <c r="E90" s="124"/>
      <c r="F90" s="124"/>
      <c r="G90" s="124">
        <v>100</v>
      </c>
      <c r="H90" s="124"/>
      <c r="I90" s="124"/>
      <c r="J90" s="124">
        <v>200000</v>
      </c>
      <c r="K90" s="18" t="s">
        <v>748</v>
      </c>
    </row>
    <row r="91" spans="1:11" ht="19.149999999999999" customHeight="1" x14ac:dyDescent="0.25">
      <c r="A91" s="13">
        <v>86</v>
      </c>
      <c r="B91" s="14"/>
      <c r="C91" s="125" t="s">
        <v>986</v>
      </c>
      <c r="D91" s="14">
        <v>46257</v>
      </c>
      <c r="E91" s="124">
        <v>1</v>
      </c>
      <c r="F91" s="124"/>
      <c r="G91" s="124"/>
      <c r="H91" s="124"/>
      <c r="I91" s="124"/>
      <c r="J91" s="124">
        <v>250000</v>
      </c>
      <c r="K91" s="18" t="s">
        <v>214</v>
      </c>
    </row>
    <row r="92" spans="1:11" ht="19.149999999999999" customHeight="1" x14ac:dyDescent="0.25">
      <c r="A92" s="13">
        <v>87</v>
      </c>
      <c r="B92" s="14"/>
      <c r="C92" s="125" t="s">
        <v>988</v>
      </c>
      <c r="D92" s="14">
        <v>46325</v>
      </c>
      <c r="E92" s="124"/>
      <c r="F92" s="124">
        <v>1</v>
      </c>
      <c r="G92" s="124"/>
      <c r="H92" s="124"/>
      <c r="I92" s="124" t="s">
        <v>98</v>
      </c>
      <c r="J92" s="124">
        <v>1750000</v>
      </c>
      <c r="K92" s="18"/>
    </row>
    <row r="93" spans="1:11" ht="19.149999999999999" customHeight="1" x14ac:dyDescent="0.25">
      <c r="A93" s="13">
        <v>88</v>
      </c>
      <c r="B93" s="14"/>
      <c r="C93" s="125" t="s">
        <v>990</v>
      </c>
      <c r="D93" s="14">
        <v>46254</v>
      </c>
      <c r="E93" s="124"/>
      <c r="F93" s="124"/>
      <c r="G93" s="124"/>
      <c r="H93" s="124"/>
      <c r="I93" s="124" t="s">
        <v>57</v>
      </c>
      <c r="J93" s="124">
        <v>750000</v>
      </c>
      <c r="K93" s="18"/>
    </row>
    <row r="94" spans="1:11" ht="19.149999999999999" customHeight="1" x14ac:dyDescent="0.25">
      <c r="A94" s="13">
        <v>89</v>
      </c>
      <c r="B94" s="14">
        <v>46255</v>
      </c>
      <c r="C94" s="125" t="s">
        <v>976</v>
      </c>
      <c r="D94" s="14">
        <v>46256</v>
      </c>
      <c r="E94" s="124"/>
      <c r="F94" s="124"/>
      <c r="G94" s="124">
        <v>100</v>
      </c>
      <c r="H94" s="124"/>
      <c r="I94" s="124"/>
      <c r="J94" s="124">
        <v>200000</v>
      </c>
      <c r="K94" s="18" t="s">
        <v>461</v>
      </c>
    </row>
    <row r="95" spans="1:11" ht="19.149999999999999" customHeight="1" x14ac:dyDescent="0.25">
      <c r="A95" s="13">
        <v>90</v>
      </c>
      <c r="B95" s="14"/>
      <c r="C95" s="125" t="s">
        <v>977</v>
      </c>
      <c r="D95" s="14">
        <v>46256</v>
      </c>
      <c r="E95" s="124"/>
      <c r="F95" s="124"/>
      <c r="G95" s="124"/>
      <c r="H95" s="124">
        <v>1</v>
      </c>
      <c r="I95" s="124"/>
      <c r="J95" s="124">
        <v>100000</v>
      </c>
      <c r="K95" s="18"/>
    </row>
    <row r="96" spans="1:11" ht="19.149999999999999" customHeight="1" x14ac:dyDescent="0.25">
      <c r="A96" s="13">
        <v>91</v>
      </c>
      <c r="B96" s="14"/>
      <c r="C96" s="125" t="s">
        <v>978</v>
      </c>
      <c r="D96" s="14">
        <v>46264</v>
      </c>
      <c r="E96" s="124"/>
      <c r="F96" s="124"/>
      <c r="G96" s="124">
        <v>50</v>
      </c>
      <c r="H96" s="124"/>
      <c r="I96" s="124"/>
      <c r="J96" s="124">
        <v>100000</v>
      </c>
      <c r="K96" s="18" t="s">
        <v>901</v>
      </c>
    </row>
    <row r="97" spans="1:11" ht="19.149999999999999" customHeight="1" x14ac:dyDescent="0.25">
      <c r="A97" s="13">
        <v>92</v>
      </c>
      <c r="B97" s="14"/>
      <c r="C97" s="125" t="s">
        <v>979</v>
      </c>
      <c r="D97" s="14">
        <v>46259</v>
      </c>
      <c r="E97" s="124"/>
      <c r="F97" s="124"/>
      <c r="G97" s="124">
        <v>50</v>
      </c>
      <c r="H97" s="124"/>
      <c r="I97" s="124"/>
      <c r="J97" s="124">
        <v>100000</v>
      </c>
      <c r="K97" s="18" t="s">
        <v>451</v>
      </c>
    </row>
    <row r="98" spans="1:11" ht="19.149999999999999" customHeight="1" x14ac:dyDescent="0.25">
      <c r="A98" s="13">
        <v>93</v>
      </c>
      <c r="B98" s="14"/>
      <c r="C98" s="125" t="s">
        <v>966</v>
      </c>
      <c r="D98" s="14">
        <v>46260</v>
      </c>
      <c r="E98" s="124">
        <v>1</v>
      </c>
      <c r="F98" s="124"/>
      <c r="G98" s="124"/>
      <c r="H98" s="124"/>
      <c r="I98" s="124"/>
      <c r="J98" s="124">
        <v>250000</v>
      </c>
      <c r="K98" s="18" t="s">
        <v>43</v>
      </c>
    </row>
    <row r="99" spans="1:11" ht="19.149999999999999" customHeight="1" x14ac:dyDescent="0.25">
      <c r="A99" s="13">
        <v>94</v>
      </c>
      <c r="B99" s="14"/>
      <c r="C99" s="125" t="s">
        <v>980</v>
      </c>
      <c r="D99" s="14">
        <v>46255</v>
      </c>
      <c r="E99" s="124">
        <v>1</v>
      </c>
      <c r="F99" s="124"/>
      <c r="G99" s="124"/>
      <c r="H99" s="124"/>
      <c r="I99" s="124"/>
      <c r="J99" s="124">
        <v>250000</v>
      </c>
      <c r="K99" s="18" t="s">
        <v>47</v>
      </c>
    </row>
    <row r="100" spans="1:11" ht="19.149999999999999" customHeight="1" x14ac:dyDescent="0.25">
      <c r="A100" s="13">
        <v>95</v>
      </c>
      <c r="B100" s="14"/>
      <c r="C100" s="125"/>
      <c r="D100" s="14"/>
      <c r="E100" s="124">
        <v>1</v>
      </c>
      <c r="F100" s="124"/>
      <c r="G100" s="124"/>
      <c r="H100" s="124"/>
      <c r="I100" s="124"/>
      <c r="J100" s="124">
        <v>250000</v>
      </c>
      <c r="K100" s="18"/>
    </row>
    <row r="101" spans="1:11" ht="19.149999999999999" customHeight="1" x14ac:dyDescent="0.25">
      <c r="A101" s="13">
        <v>96</v>
      </c>
      <c r="B101" s="14">
        <v>46256</v>
      </c>
      <c r="C101" s="125" t="s">
        <v>981</v>
      </c>
      <c r="D101" s="14">
        <v>46257</v>
      </c>
      <c r="E101" s="124"/>
      <c r="F101" s="124"/>
      <c r="G101" s="124">
        <v>50</v>
      </c>
      <c r="H101" s="124"/>
      <c r="I101" s="124"/>
      <c r="J101" s="124">
        <v>100000</v>
      </c>
      <c r="K101" s="18" t="s">
        <v>748</v>
      </c>
    </row>
    <row r="102" spans="1:11" ht="19.149999999999999" customHeight="1" x14ac:dyDescent="0.25">
      <c r="A102" s="13">
        <v>97</v>
      </c>
      <c r="B102" s="14"/>
      <c r="C102" s="125" t="s">
        <v>944</v>
      </c>
      <c r="D102" s="14">
        <v>46256</v>
      </c>
      <c r="E102" s="124"/>
      <c r="F102" s="124"/>
      <c r="G102" s="124"/>
      <c r="H102" s="124">
        <v>1</v>
      </c>
      <c r="I102" s="124"/>
      <c r="J102" s="124">
        <v>100000</v>
      </c>
      <c r="K102" s="18"/>
    </row>
    <row r="103" spans="1:11" ht="19.149999999999999" customHeight="1" x14ac:dyDescent="0.25">
      <c r="A103" s="13">
        <v>98</v>
      </c>
      <c r="B103" s="14">
        <v>46257</v>
      </c>
      <c r="C103" s="125" t="s">
        <v>982</v>
      </c>
      <c r="D103" s="14">
        <v>46280</v>
      </c>
      <c r="E103" s="124">
        <v>2</v>
      </c>
      <c r="F103" s="124"/>
      <c r="G103" s="124"/>
      <c r="H103" s="124"/>
      <c r="I103" s="124"/>
      <c r="J103" s="124">
        <v>500000</v>
      </c>
      <c r="K103" s="18" t="s">
        <v>186</v>
      </c>
    </row>
    <row r="104" spans="1:11" ht="19.149999999999999" customHeight="1" x14ac:dyDescent="0.25">
      <c r="A104" s="13">
        <v>99</v>
      </c>
      <c r="B104" s="14">
        <v>46258</v>
      </c>
      <c r="C104" s="125" t="s">
        <v>1003</v>
      </c>
      <c r="D104" s="14">
        <v>46292</v>
      </c>
      <c r="E104" s="124"/>
      <c r="F104" s="124"/>
      <c r="G104" s="124">
        <v>100</v>
      </c>
      <c r="H104" s="124"/>
      <c r="I104" s="124"/>
      <c r="J104" s="124">
        <v>200000</v>
      </c>
      <c r="K104" s="18"/>
    </row>
    <row r="105" spans="1:11" ht="19.149999999999999" customHeight="1" x14ac:dyDescent="0.25">
      <c r="A105" s="13">
        <v>100</v>
      </c>
      <c r="B105" s="14"/>
      <c r="C105" s="125" t="s">
        <v>1004</v>
      </c>
      <c r="D105" s="14">
        <v>46284</v>
      </c>
      <c r="E105" s="124">
        <v>1</v>
      </c>
      <c r="F105" s="124"/>
      <c r="G105" s="124"/>
      <c r="H105" s="124"/>
      <c r="I105" s="124"/>
      <c r="J105" s="124">
        <v>250000</v>
      </c>
      <c r="K105" s="18" t="s">
        <v>214</v>
      </c>
    </row>
    <row r="106" spans="1:11" ht="19.149999999999999" customHeight="1" x14ac:dyDescent="0.25">
      <c r="A106" s="13">
        <v>101</v>
      </c>
      <c r="B106" s="14">
        <v>46259</v>
      </c>
      <c r="C106" s="125" t="s">
        <v>996</v>
      </c>
      <c r="D106" s="14">
        <v>46284</v>
      </c>
      <c r="E106" s="124">
        <v>1</v>
      </c>
      <c r="F106" s="124"/>
      <c r="G106" s="124"/>
      <c r="H106" s="124">
        <v>1</v>
      </c>
      <c r="I106" s="124"/>
      <c r="J106" s="124">
        <v>350000</v>
      </c>
      <c r="K106" s="18" t="s">
        <v>41</v>
      </c>
    </row>
    <row r="107" spans="1:11" ht="19.149999999999999" customHeight="1" x14ac:dyDescent="0.25">
      <c r="A107" s="13">
        <v>102</v>
      </c>
      <c r="B107" s="14"/>
      <c r="C107" s="125" t="s">
        <v>997</v>
      </c>
      <c r="D107" s="14">
        <v>46278</v>
      </c>
      <c r="E107" s="124"/>
      <c r="F107" s="124"/>
      <c r="G107" s="124">
        <v>50</v>
      </c>
      <c r="H107" s="124"/>
      <c r="I107" s="124"/>
      <c r="J107" s="124">
        <v>100000</v>
      </c>
      <c r="K107" s="18" t="s">
        <v>451</v>
      </c>
    </row>
    <row r="108" spans="1:11" ht="19.149999999999999" customHeight="1" x14ac:dyDescent="0.25">
      <c r="A108" s="13">
        <v>103</v>
      </c>
      <c r="B108" s="14"/>
      <c r="C108" s="125" t="s">
        <v>998</v>
      </c>
      <c r="D108" s="14">
        <v>46261</v>
      </c>
      <c r="E108" s="124">
        <v>1</v>
      </c>
      <c r="F108" s="124"/>
      <c r="G108" s="124"/>
      <c r="H108" s="124"/>
      <c r="I108" s="124"/>
      <c r="J108" s="124">
        <v>250000</v>
      </c>
      <c r="K108" s="18" t="s">
        <v>214</v>
      </c>
    </row>
    <row r="109" spans="1:11" ht="19.149999999999999" customHeight="1" x14ac:dyDescent="0.25">
      <c r="A109" s="13">
        <v>104</v>
      </c>
      <c r="B109" s="14"/>
      <c r="C109" s="125" t="s">
        <v>999</v>
      </c>
      <c r="D109" s="14">
        <v>46264</v>
      </c>
      <c r="E109" s="124"/>
      <c r="F109" s="124"/>
      <c r="G109" s="124">
        <v>100</v>
      </c>
      <c r="H109" s="124"/>
      <c r="I109" s="124"/>
      <c r="J109" s="124">
        <v>200000</v>
      </c>
      <c r="K109" s="18" t="s">
        <v>451</v>
      </c>
    </row>
    <row r="110" spans="1:11" ht="19.149999999999999" customHeight="1" x14ac:dyDescent="0.25">
      <c r="A110" s="13">
        <v>105</v>
      </c>
      <c r="B110" s="14"/>
      <c r="C110" s="125" t="s">
        <v>1000</v>
      </c>
      <c r="D110" s="14">
        <v>46284</v>
      </c>
      <c r="E110" s="124">
        <v>1</v>
      </c>
      <c r="F110" s="124"/>
      <c r="G110" s="124"/>
      <c r="H110" s="124"/>
      <c r="I110" s="124"/>
      <c r="J110" s="124">
        <v>250000</v>
      </c>
      <c r="K110" s="18" t="s">
        <v>49</v>
      </c>
    </row>
    <row r="111" spans="1:11" ht="19.149999999999999" customHeight="1" x14ac:dyDescent="0.25">
      <c r="A111" s="13">
        <v>106</v>
      </c>
      <c r="B111" s="14"/>
      <c r="C111" s="125" t="s">
        <v>1002</v>
      </c>
      <c r="D111" s="14">
        <v>46334</v>
      </c>
      <c r="E111" s="124"/>
      <c r="F111" s="124">
        <v>1</v>
      </c>
      <c r="G111" s="124"/>
      <c r="H111" s="124"/>
      <c r="I111" s="124" t="s">
        <v>98</v>
      </c>
      <c r="J111" s="124">
        <v>1750000</v>
      </c>
      <c r="K111" s="18"/>
    </row>
    <row r="112" spans="1:11" ht="19.149999999999999" customHeight="1" x14ac:dyDescent="0.25">
      <c r="A112" s="13">
        <v>107</v>
      </c>
      <c r="B112" s="14"/>
      <c r="C112" s="125" t="s">
        <v>1001</v>
      </c>
      <c r="D112" s="14">
        <v>46317</v>
      </c>
      <c r="E112" s="124">
        <v>1</v>
      </c>
      <c r="F112" s="124"/>
      <c r="G112" s="124"/>
      <c r="H112" s="124"/>
      <c r="I112" s="124"/>
      <c r="J112" s="124">
        <v>250000</v>
      </c>
      <c r="K112" s="18" t="s">
        <v>214</v>
      </c>
    </row>
    <row r="113" spans="1:11" ht="19.149999999999999" customHeight="1" x14ac:dyDescent="0.25">
      <c r="A113" s="13">
        <v>108</v>
      </c>
      <c r="B113" s="14">
        <v>46260</v>
      </c>
      <c r="C113" s="141" t="s">
        <v>1006</v>
      </c>
      <c r="D113" s="14">
        <v>46298</v>
      </c>
      <c r="E113" s="142">
        <v>2</v>
      </c>
      <c r="F113" s="142"/>
      <c r="G113" s="142"/>
      <c r="H113" s="142"/>
      <c r="I113" s="142"/>
      <c r="J113" s="142">
        <v>500000</v>
      </c>
      <c r="K113" s="109" t="s">
        <v>186</v>
      </c>
    </row>
    <row r="114" spans="1:11" ht="19.149999999999999" customHeight="1" x14ac:dyDescent="0.25">
      <c r="A114" s="13">
        <v>109</v>
      </c>
      <c r="B114" s="14"/>
      <c r="C114" s="125" t="s">
        <v>1007</v>
      </c>
      <c r="D114" s="14">
        <v>46299</v>
      </c>
      <c r="E114" s="124">
        <v>1</v>
      </c>
      <c r="F114" s="124"/>
      <c r="G114" s="124"/>
      <c r="H114" s="124"/>
      <c r="I114" s="124"/>
      <c r="J114" s="124">
        <v>250000</v>
      </c>
      <c r="K114" s="18" t="s">
        <v>41</v>
      </c>
    </row>
    <row r="115" spans="1:11" ht="19.149999999999999" customHeight="1" x14ac:dyDescent="0.25">
      <c r="A115" s="13">
        <v>110</v>
      </c>
      <c r="B115" s="14"/>
      <c r="C115" s="125" t="s">
        <v>1008</v>
      </c>
      <c r="D115" s="14">
        <v>46264</v>
      </c>
      <c r="E115" s="124">
        <v>2</v>
      </c>
      <c r="F115" s="124"/>
      <c r="G115" s="124"/>
      <c r="H115" s="124"/>
      <c r="I115" s="124"/>
      <c r="J115" s="124">
        <v>500000</v>
      </c>
      <c r="K115" s="18" t="s">
        <v>186</v>
      </c>
    </row>
    <row r="116" spans="1:11" ht="19.149999999999999" customHeight="1" x14ac:dyDescent="0.25">
      <c r="A116" s="13">
        <v>111</v>
      </c>
      <c r="B116" s="14"/>
      <c r="C116" s="125" t="s">
        <v>1009</v>
      </c>
      <c r="D116" s="14">
        <v>46271</v>
      </c>
      <c r="E116" s="124"/>
      <c r="F116" s="124"/>
      <c r="G116" s="124">
        <v>50</v>
      </c>
      <c r="H116" s="124"/>
      <c r="I116" s="124"/>
      <c r="J116" s="124">
        <v>100000</v>
      </c>
      <c r="K116" s="18" t="s">
        <v>746</v>
      </c>
    </row>
    <row r="117" spans="1:11" ht="19.149999999999999" customHeight="1" x14ac:dyDescent="0.25">
      <c r="A117" s="13">
        <v>112</v>
      </c>
      <c r="B117" s="14"/>
      <c r="C117" s="125" t="s">
        <v>1010</v>
      </c>
      <c r="D117" s="14">
        <v>46263</v>
      </c>
      <c r="E117" s="124"/>
      <c r="F117" s="124"/>
      <c r="G117" s="124">
        <v>200</v>
      </c>
      <c r="H117" s="124"/>
      <c r="I117" s="124"/>
      <c r="J117" s="124">
        <v>400000</v>
      </c>
      <c r="K117" s="18" t="s">
        <v>748</v>
      </c>
    </row>
    <row r="118" spans="1:11" ht="19.149999999999999" customHeight="1" x14ac:dyDescent="0.25">
      <c r="A118" s="13">
        <v>113</v>
      </c>
      <c r="B118" s="14"/>
      <c r="C118" s="125" t="s">
        <v>1011</v>
      </c>
      <c r="D118" s="14">
        <v>46278</v>
      </c>
      <c r="E118" s="124"/>
      <c r="F118" s="124"/>
      <c r="G118" s="124">
        <v>150</v>
      </c>
      <c r="H118" s="124"/>
      <c r="I118" s="124"/>
      <c r="J118" s="124">
        <v>300000</v>
      </c>
      <c r="K118" s="18" t="s">
        <v>746</v>
      </c>
    </row>
    <row r="119" spans="1:11" ht="19.149999999999999" customHeight="1" x14ac:dyDescent="0.25">
      <c r="A119" s="13">
        <v>114</v>
      </c>
      <c r="B119" s="14"/>
      <c r="C119" s="125" t="s">
        <v>1012</v>
      </c>
      <c r="D119" s="14">
        <v>46264</v>
      </c>
      <c r="E119" s="124"/>
      <c r="F119" s="124"/>
      <c r="G119" s="124">
        <v>400</v>
      </c>
      <c r="H119" s="124"/>
      <c r="I119" s="124"/>
      <c r="J119" s="124">
        <v>800000</v>
      </c>
      <c r="K119" s="18" t="s">
        <v>727</v>
      </c>
    </row>
    <row r="120" spans="1:11" ht="19.149999999999999" customHeight="1" x14ac:dyDescent="0.25">
      <c r="A120" s="13">
        <v>115</v>
      </c>
      <c r="B120" s="14">
        <v>46261</v>
      </c>
      <c r="C120" s="125" t="s">
        <v>1013</v>
      </c>
      <c r="D120" s="14">
        <v>46292</v>
      </c>
      <c r="E120" s="124">
        <v>1</v>
      </c>
      <c r="F120" s="124"/>
      <c r="G120" s="124"/>
      <c r="H120" s="124"/>
      <c r="I120" s="124"/>
      <c r="J120" s="124">
        <v>250000</v>
      </c>
      <c r="K120" s="18" t="s">
        <v>49</v>
      </c>
    </row>
    <row r="121" spans="1:11" ht="19.149999999999999" customHeight="1" x14ac:dyDescent="0.25">
      <c r="A121" s="13">
        <v>116</v>
      </c>
      <c r="B121" s="14"/>
      <c r="C121" s="125" t="s">
        <v>1014</v>
      </c>
      <c r="D121" s="14">
        <v>46303</v>
      </c>
      <c r="E121" s="124">
        <v>1</v>
      </c>
      <c r="F121" s="124"/>
      <c r="G121" s="124"/>
      <c r="H121" s="124"/>
      <c r="I121" s="124"/>
      <c r="J121" s="124">
        <v>250000</v>
      </c>
      <c r="K121" s="18" t="s">
        <v>197</v>
      </c>
    </row>
    <row r="122" spans="1:11" ht="19.149999999999999" customHeight="1" x14ac:dyDescent="0.25">
      <c r="A122" s="13">
        <v>117</v>
      </c>
      <c r="B122" s="14"/>
      <c r="C122" s="125" t="s">
        <v>1015</v>
      </c>
      <c r="D122" s="14">
        <v>46264</v>
      </c>
      <c r="E122" s="124"/>
      <c r="F122" s="124"/>
      <c r="G122" s="124">
        <v>50</v>
      </c>
      <c r="H122" s="124"/>
      <c r="I122" s="124"/>
      <c r="J122" s="124">
        <v>100000</v>
      </c>
      <c r="K122" s="18" t="s">
        <v>746</v>
      </c>
    </row>
    <row r="123" spans="1:11" ht="19.149999999999999" customHeight="1" x14ac:dyDescent="0.25">
      <c r="A123" s="13">
        <v>118</v>
      </c>
      <c r="B123" s="14"/>
      <c r="C123" s="125"/>
      <c r="D123" s="14"/>
      <c r="E123" s="124"/>
      <c r="F123" s="124"/>
      <c r="G123" s="124">
        <v>50</v>
      </c>
      <c r="H123" s="124"/>
      <c r="I123" s="124"/>
      <c r="J123" s="124">
        <v>100000</v>
      </c>
      <c r="K123" s="18"/>
    </row>
    <row r="124" spans="1:11" ht="19.149999999999999" customHeight="1" x14ac:dyDescent="0.25">
      <c r="A124" s="13">
        <v>119</v>
      </c>
      <c r="B124" s="14"/>
      <c r="C124" s="125"/>
      <c r="D124" s="14"/>
      <c r="E124" s="124"/>
      <c r="F124" s="124"/>
      <c r="G124" s="124">
        <v>50</v>
      </c>
      <c r="H124" s="124"/>
      <c r="I124" s="124"/>
      <c r="J124" s="124">
        <v>100000</v>
      </c>
      <c r="K124" s="18"/>
    </row>
    <row r="125" spans="1:11" ht="19.149999999999999" customHeight="1" x14ac:dyDescent="0.25">
      <c r="A125" s="13">
        <v>120</v>
      </c>
      <c r="B125" s="14"/>
      <c r="C125" s="125" t="s">
        <v>1016</v>
      </c>
      <c r="D125" s="14">
        <v>46267</v>
      </c>
      <c r="E125" s="124">
        <v>1</v>
      </c>
      <c r="F125" s="124"/>
      <c r="G125" s="124"/>
      <c r="H125" s="124"/>
      <c r="I125" s="124"/>
      <c r="J125" s="124">
        <v>250000</v>
      </c>
      <c r="K125" s="18" t="s">
        <v>214</v>
      </c>
    </row>
    <row r="126" spans="1:11" ht="19.149999999999999" customHeight="1" x14ac:dyDescent="0.25">
      <c r="A126" s="13">
        <v>121</v>
      </c>
      <c r="B126" s="14">
        <v>46262</v>
      </c>
      <c r="C126" s="125" t="s">
        <v>1017</v>
      </c>
      <c r="D126" s="14">
        <v>46264</v>
      </c>
      <c r="E126" s="124"/>
      <c r="F126" s="124"/>
      <c r="G126" s="124">
        <v>50</v>
      </c>
      <c r="H126" s="124"/>
      <c r="I126" s="124"/>
      <c r="J126" s="124">
        <v>100000</v>
      </c>
      <c r="K126" s="18" t="s">
        <v>806</v>
      </c>
    </row>
    <row r="127" spans="1:11" ht="19.149999999999999" customHeight="1" x14ac:dyDescent="0.25">
      <c r="A127" s="13">
        <v>122</v>
      </c>
      <c r="B127" s="14"/>
      <c r="C127" s="125" t="s">
        <v>1019</v>
      </c>
      <c r="D127" s="14">
        <v>46298</v>
      </c>
      <c r="E127" s="124">
        <v>1</v>
      </c>
      <c r="F127" s="124"/>
      <c r="G127" s="124"/>
      <c r="H127" s="124"/>
      <c r="I127" s="124"/>
      <c r="J127" s="124">
        <v>250000</v>
      </c>
      <c r="K127" s="18" t="s">
        <v>197</v>
      </c>
    </row>
    <row r="128" spans="1:11" ht="19.149999999999999" customHeight="1" x14ac:dyDescent="0.25">
      <c r="A128" s="13">
        <v>123</v>
      </c>
      <c r="B128" s="14"/>
      <c r="C128" s="125" t="s">
        <v>1018</v>
      </c>
      <c r="D128" s="14">
        <v>46278</v>
      </c>
      <c r="E128" s="124"/>
      <c r="F128" s="124"/>
      <c r="G128" s="124">
        <v>50</v>
      </c>
      <c r="H128" s="124"/>
      <c r="I128" s="124"/>
      <c r="J128" s="124">
        <v>100000</v>
      </c>
      <c r="K128" s="18" t="s">
        <v>220</v>
      </c>
    </row>
    <row r="129" spans="1:11" ht="19.149999999999999" customHeight="1" x14ac:dyDescent="0.25">
      <c r="A129" s="13">
        <v>124</v>
      </c>
      <c r="B129" s="14">
        <v>46263</v>
      </c>
      <c r="C129" s="125"/>
      <c r="D129" s="14"/>
      <c r="E129" s="124"/>
      <c r="F129" s="124"/>
      <c r="G129" s="124">
        <v>50</v>
      </c>
      <c r="H129" s="124"/>
      <c r="I129" s="124"/>
      <c r="J129" s="124">
        <v>100000</v>
      </c>
      <c r="K129" s="18"/>
    </row>
    <row r="130" spans="1:11" ht="19.149999999999999" customHeight="1" x14ac:dyDescent="0.25">
      <c r="A130" s="13">
        <v>125</v>
      </c>
      <c r="B130" s="14"/>
      <c r="C130" s="125" t="s">
        <v>1020</v>
      </c>
      <c r="D130" s="14">
        <v>46313</v>
      </c>
      <c r="E130" s="124">
        <v>1</v>
      </c>
      <c r="F130" s="124"/>
      <c r="G130" s="124"/>
      <c r="H130" s="124"/>
      <c r="I130" s="124"/>
      <c r="J130" s="124">
        <v>250000</v>
      </c>
      <c r="K130" s="18" t="s">
        <v>197</v>
      </c>
    </row>
    <row r="131" spans="1:11" ht="19.149999999999999" customHeight="1" x14ac:dyDescent="0.25">
      <c r="A131" s="13">
        <v>126</v>
      </c>
      <c r="B131" s="14"/>
      <c r="C131" s="125" t="s">
        <v>1021</v>
      </c>
      <c r="D131" s="14">
        <v>46264</v>
      </c>
      <c r="E131" s="124"/>
      <c r="F131" s="124"/>
      <c r="G131" s="124">
        <v>500</v>
      </c>
      <c r="H131" s="124"/>
      <c r="I131" s="124"/>
      <c r="J131" s="124">
        <v>1000000</v>
      </c>
      <c r="K131" s="18" t="s">
        <v>1022</v>
      </c>
    </row>
    <row r="132" spans="1:11" ht="19.149999999999999" customHeight="1" x14ac:dyDescent="0.25">
      <c r="A132" s="13">
        <v>127</v>
      </c>
      <c r="B132" s="14">
        <v>46264</v>
      </c>
      <c r="C132" s="125" t="s">
        <v>1024</v>
      </c>
      <c r="D132" s="14"/>
      <c r="E132" s="124"/>
      <c r="F132" s="124"/>
      <c r="G132" s="124"/>
      <c r="H132" s="124">
        <v>1</v>
      </c>
      <c r="I132" s="124"/>
      <c r="J132" s="124">
        <v>100000</v>
      </c>
      <c r="K132" s="18"/>
    </row>
    <row r="133" spans="1:11" ht="19.149999999999999" customHeight="1" x14ac:dyDescent="0.25">
      <c r="A133" s="13">
        <v>128</v>
      </c>
      <c r="B133" s="14"/>
      <c r="C133" s="125" t="s">
        <v>1023</v>
      </c>
      <c r="D133" s="14">
        <v>46278</v>
      </c>
      <c r="E133" s="124">
        <v>1</v>
      </c>
      <c r="F133" s="124"/>
      <c r="G133" s="124"/>
      <c r="H133" s="124"/>
      <c r="I133" s="124"/>
      <c r="J133" s="124">
        <v>250000</v>
      </c>
      <c r="K133" s="18" t="s">
        <v>197</v>
      </c>
    </row>
    <row r="134" spans="1:11" ht="19.149999999999999" customHeight="1" x14ac:dyDescent="0.25">
      <c r="A134" s="13">
        <v>129</v>
      </c>
      <c r="B134" s="14">
        <v>46265</v>
      </c>
      <c r="C134" s="125" t="s">
        <v>1031</v>
      </c>
      <c r="D134" s="14">
        <v>46278</v>
      </c>
      <c r="E134" s="124"/>
      <c r="F134" s="124"/>
      <c r="G134" s="124">
        <v>50</v>
      </c>
      <c r="H134" s="124"/>
      <c r="I134" s="124"/>
      <c r="J134" s="124">
        <v>100000</v>
      </c>
      <c r="K134" s="18" t="s">
        <v>716</v>
      </c>
    </row>
    <row r="135" spans="1:11" ht="19.149999999999999" customHeight="1" x14ac:dyDescent="0.25">
      <c r="A135" s="13">
        <v>130</v>
      </c>
      <c r="B135" s="14"/>
      <c r="C135" s="125" t="s">
        <v>1032</v>
      </c>
      <c r="D135" s="14">
        <v>46292</v>
      </c>
      <c r="E135" s="124"/>
      <c r="F135" s="124"/>
      <c r="G135" s="124">
        <v>200</v>
      </c>
      <c r="H135" s="124"/>
      <c r="I135" s="124"/>
      <c r="J135" s="124">
        <v>400000</v>
      </c>
      <c r="K135" s="18" t="s">
        <v>201</v>
      </c>
    </row>
    <row r="136" spans="1:11" ht="19.149999999999999" customHeight="1" x14ac:dyDescent="0.25">
      <c r="A136" s="13">
        <v>131</v>
      </c>
      <c r="B136" s="14"/>
      <c r="C136" s="125" t="s">
        <v>1028</v>
      </c>
      <c r="D136" s="14">
        <v>46266</v>
      </c>
      <c r="E136" s="124">
        <v>1</v>
      </c>
      <c r="F136" s="124"/>
      <c r="G136" s="124"/>
      <c r="H136" s="124"/>
      <c r="I136" s="124"/>
      <c r="J136" s="124">
        <v>250000</v>
      </c>
      <c r="K136" s="18" t="s">
        <v>205</v>
      </c>
    </row>
    <row r="137" spans="1:11" ht="19.149999999999999" customHeight="1" x14ac:dyDescent="0.25">
      <c r="A137" s="13">
        <v>132</v>
      </c>
      <c r="B137" s="28"/>
      <c r="C137" s="141" t="s">
        <v>1026</v>
      </c>
      <c r="D137" s="14">
        <v>46271</v>
      </c>
      <c r="E137" s="142"/>
      <c r="F137" s="142">
        <v>1</v>
      </c>
      <c r="G137" s="142">
        <v>1500</v>
      </c>
      <c r="H137" s="142"/>
      <c r="I137" s="142" t="s">
        <v>1025</v>
      </c>
      <c r="J137" s="142">
        <v>5250000</v>
      </c>
      <c r="K137" s="109"/>
    </row>
    <row r="138" spans="1:11" ht="19.149999999999999" customHeight="1" x14ac:dyDescent="0.25">
      <c r="A138" s="13">
        <v>133</v>
      </c>
      <c r="B138" s="14"/>
      <c r="C138" s="125" t="s">
        <v>1029</v>
      </c>
      <c r="D138" s="14">
        <v>46299</v>
      </c>
      <c r="E138" s="124">
        <v>2</v>
      </c>
      <c r="F138" s="124"/>
      <c r="G138" s="124"/>
      <c r="H138" s="124"/>
      <c r="I138" s="124"/>
      <c r="J138" s="124">
        <v>500000</v>
      </c>
      <c r="K138" s="18" t="s">
        <v>186</v>
      </c>
    </row>
    <row r="139" spans="1:11" ht="19.149999999999999" customHeight="1" x14ac:dyDescent="0.25">
      <c r="A139" s="13">
        <v>134</v>
      </c>
      <c r="B139" s="14"/>
      <c r="C139" s="125" t="s">
        <v>1033</v>
      </c>
      <c r="D139" s="14">
        <v>46296</v>
      </c>
      <c r="E139" s="124">
        <v>1</v>
      </c>
      <c r="F139" s="124"/>
      <c r="G139" s="124"/>
      <c r="H139" s="124"/>
      <c r="I139" s="124"/>
      <c r="J139" s="124">
        <v>250000</v>
      </c>
      <c r="K139" s="18" t="s">
        <v>41</v>
      </c>
    </row>
    <row r="140" spans="1:11" ht="19.149999999999999" customHeight="1" x14ac:dyDescent="0.25">
      <c r="A140" s="13">
        <v>135</v>
      </c>
      <c r="B140" s="14"/>
      <c r="C140" s="125" t="s">
        <v>1034</v>
      </c>
      <c r="D140" s="14">
        <v>46268</v>
      </c>
      <c r="E140" s="124">
        <v>1</v>
      </c>
      <c r="F140" s="124"/>
      <c r="G140" s="124"/>
      <c r="H140" s="124"/>
      <c r="I140" s="124"/>
      <c r="J140" s="124">
        <v>250000</v>
      </c>
      <c r="K140" s="18"/>
    </row>
    <row r="141" spans="1:11" ht="19.149999999999999" customHeight="1" x14ac:dyDescent="0.25">
      <c r="A141" s="13">
        <v>136</v>
      </c>
      <c r="B141" s="14"/>
      <c r="C141" s="125" t="s">
        <v>1030</v>
      </c>
      <c r="D141" s="14">
        <v>46271</v>
      </c>
      <c r="E141" s="124"/>
      <c r="F141" s="124"/>
      <c r="G141" s="124">
        <v>75</v>
      </c>
      <c r="H141" s="124"/>
      <c r="I141" s="124"/>
      <c r="J141" s="124">
        <v>150000</v>
      </c>
      <c r="K141" s="18" t="s">
        <v>697</v>
      </c>
    </row>
    <row r="142" spans="1:11" ht="20.25" customHeight="1" x14ac:dyDescent="0.25">
      <c r="A142" s="4"/>
      <c r="B142" s="30"/>
      <c r="C142" s="151" t="s">
        <v>12</v>
      </c>
      <c r="D142" s="151"/>
      <c r="E142" s="43">
        <f>SUM(E6:E141)</f>
        <v>71</v>
      </c>
      <c r="F142" s="43">
        <f t="shared" ref="F142:J142" si="0">SUM(F6:F141)</f>
        <v>5</v>
      </c>
      <c r="G142" s="43">
        <f t="shared" si="0"/>
        <v>8595</v>
      </c>
      <c r="H142" s="43">
        <f t="shared" si="0"/>
        <v>10</v>
      </c>
      <c r="I142" s="43">
        <f t="shared" si="0"/>
        <v>0</v>
      </c>
      <c r="J142" s="43">
        <f t="shared" si="0"/>
        <v>45940000</v>
      </c>
      <c r="K142" s="30"/>
    </row>
    <row r="143" spans="1:11" ht="15.75" x14ac:dyDescent="0.25">
      <c r="A143" s="52"/>
      <c r="B143" s="24"/>
      <c r="C143" s="24"/>
      <c r="D143" s="24"/>
      <c r="E143" s="24"/>
      <c r="F143" s="24"/>
      <c r="G143" s="24"/>
      <c r="H143" s="24"/>
      <c r="I143" s="24"/>
      <c r="J143" s="24"/>
      <c r="K143" s="24"/>
    </row>
    <row r="144" spans="1:11" ht="15.75" customHeight="1" x14ac:dyDescent="0.25">
      <c r="H144" s="58"/>
      <c r="I144" s="149" t="s">
        <v>1035</v>
      </c>
      <c r="J144" s="149"/>
      <c r="K144" s="149"/>
    </row>
    <row r="145" spans="1:11" ht="15.75" customHeight="1" x14ac:dyDescent="0.25">
      <c r="A145" s="148" t="s">
        <v>75</v>
      </c>
      <c r="B145" s="148"/>
      <c r="C145" s="148"/>
      <c r="D145" s="148"/>
      <c r="H145" s="58"/>
      <c r="I145" s="149"/>
      <c r="J145" s="149"/>
      <c r="K145" s="149"/>
    </row>
    <row r="146" spans="1:11" ht="15.75" customHeight="1" x14ac:dyDescent="0.25">
      <c r="A146" s="149" t="s">
        <v>76</v>
      </c>
      <c r="B146" s="149"/>
      <c r="C146" s="149"/>
      <c r="D146" s="149"/>
      <c r="H146" s="58"/>
      <c r="I146" s="149" t="s">
        <v>69</v>
      </c>
      <c r="J146" s="149"/>
      <c r="K146" s="149"/>
    </row>
    <row r="147" spans="1:11" ht="15.75" customHeight="1" x14ac:dyDescent="0.25">
      <c r="A147" s="149" t="s">
        <v>77</v>
      </c>
      <c r="B147" s="149"/>
      <c r="C147" s="149"/>
      <c r="D147" s="149"/>
      <c r="H147" s="55"/>
      <c r="I147" s="55"/>
      <c r="J147" s="56"/>
      <c r="K147" s="56"/>
    </row>
    <row r="148" spans="1:11" ht="15.75" customHeight="1" x14ac:dyDescent="0.25">
      <c r="A148" s="149" t="s">
        <v>65</v>
      </c>
      <c r="B148" s="149"/>
      <c r="C148" s="149"/>
      <c r="D148" s="149"/>
      <c r="H148" s="55"/>
      <c r="I148" s="58"/>
      <c r="J148" s="58"/>
      <c r="K148" s="58"/>
    </row>
    <row r="149" spans="1:11" ht="15.75" x14ac:dyDescent="0.25">
      <c r="A149" s="148" t="s">
        <v>66</v>
      </c>
      <c r="B149" s="148"/>
      <c r="C149" s="148"/>
      <c r="D149" s="148"/>
      <c r="H149" s="55"/>
      <c r="I149" s="149"/>
      <c r="J149" s="149"/>
      <c r="K149" s="149"/>
    </row>
    <row r="150" spans="1:11" ht="15.75" x14ac:dyDescent="0.25">
      <c r="A150" s="55"/>
      <c r="B150" s="56"/>
      <c r="C150" s="56"/>
      <c r="H150" s="58"/>
      <c r="I150" s="149"/>
      <c r="J150" s="149"/>
      <c r="K150" s="149"/>
    </row>
    <row r="151" spans="1:11" ht="15.75" x14ac:dyDescent="0.25">
      <c r="A151" s="58"/>
      <c r="B151" s="58"/>
      <c r="C151" s="58"/>
      <c r="E151" s="148"/>
      <c r="F151" s="148"/>
      <c r="G151" s="148"/>
      <c r="H151" s="148"/>
      <c r="I151" s="58"/>
      <c r="J151" s="58"/>
      <c r="K151" s="58"/>
    </row>
    <row r="152" spans="1:11" ht="15.75" customHeight="1" x14ac:dyDescent="0.25">
      <c r="A152" s="149" t="s">
        <v>67</v>
      </c>
      <c r="B152" s="149"/>
      <c r="C152" s="149"/>
      <c r="D152" s="149"/>
      <c r="E152" s="149"/>
      <c r="F152" s="149"/>
      <c r="G152" s="149"/>
      <c r="H152" s="149"/>
      <c r="I152" s="149" t="s">
        <v>70</v>
      </c>
      <c r="J152" s="149"/>
      <c r="K152" s="149"/>
    </row>
    <row r="153" spans="1:11" ht="15.75" customHeight="1" x14ac:dyDescent="0.25">
      <c r="A153" s="149" t="s">
        <v>68</v>
      </c>
      <c r="B153" s="149"/>
      <c r="C153" s="149"/>
      <c r="D153" s="149"/>
      <c r="E153" s="149"/>
      <c r="F153" s="149"/>
      <c r="G153" s="149"/>
      <c r="H153" s="149"/>
      <c r="I153" s="149" t="s">
        <v>71</v>
      </c>
      <c r="J153" s="149"/>
      <c r="K153" s="149"/>
    </row>
  </sheetData>
  <mergeCells count="21">
    <mergeCell ref="A153:D153"/>
    <mergeCell ref="E153:H153"/>
    <mergeCell ref="I153:K153"/>
    <mergeCell ref="A146:D146"/>
    <mergeCell ref="I146:K146"/>
    <mergeCell ref="A147:D147"/>
    <mergeCell ref="A148:D148"/>
    <mergeCell ref="A149:D149"/>
    <mergeCell ref="I149:K149"/>
    <mergeCell ref="I150:K150"/>
    <mergeCell ref="E151:H151"/>
    <mergeCell ref="A152:D152"/>
    <mergeCell ref="E152:H152"/>
    <mergeCell ref="I152:K152"/>
    <mergeCell ref="A145:D145"/>
    <mergeCell ref="I145:K145"/>
    <mergeCell ref="A1:K1"/>
    <mergeCell ref="A2:K2"/>
    <mergeCell ref="A3:K3"/>
    <mergeCell ref="C142:D142"/>
    <mergeCell ref="I144:K144"/>
  </mergeCells>
  <phoneticPr fontId="8" type="noConversion"/>
  <pageMargins left="0.35433070866141736" right="0.23622047244094491" top="0.55118110236220474" bottom="0.55118110236220474" header="0.31496062992125984" footer="0.31496062992125984"/>
  <pageSetup paperSize="122" scale="9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81CD0B-2926-4A5F-A4C4-A7B47461E638}">
          <x14:formula1>
            <xm:f>Sheet1!$B$3:$B$13</xm:f>
          </x14:formula1>
          <xm:sqref>K148:K153 K145:K146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C6F4-4136-4795-A98A-6B8457D1B38C}">
  <dimension ref="A1:K148"/>
  <sheetViews>
    <sheetView topLeftCell="A88" zoomScale="87" zoomScaleNormal="87" workbookViewId="0">
      <selection activeCell="G107" sqref="G107"/>
    </sheetView>
  </sheetViews>
  <sheetFormatPr defaultRowHeight="15" x14ac:dyDescent="0.25"/>
  <cols>
    <col min="1" max="1" width="5.42578125" customWidth="1"/>
    <col min="2" max="2" width="15.7109375" customWidth="1"/>
    <col min="3" max="3" width="39" bestFit="1" customWidth="1"/>
    <col min="4" max="4" width="14.7109375" customWidth="1"/>
    <col min="5" max="5" width="11.5703125" customWidth="1"/>
    <col min="6" max="6" width="12.42578125" customWidth="1"/>
    <col min="7" max="7" width="10" customWidth="1"/>
    <col min="8" max="8" width="9.28515625" customWidth="1"/>
    <col min="9" max="9" width="16.85546875" customWidth="1"/>
    <col min="10" max="10" width="19.140625" customWidth="1"/>
    <col min="11" max="11" width="26.42578125" customWidth="1"/>
  </cols>
  <sheetData>
    <row r="1" spans="1:11" ht="21.75" customHeight="1" x14ac:dyDescent="0.25">
      <c r="A1" s="150" t="s">
        <v>1027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5.75" x14ac:dyDescent="0.25">
      <c r="A2" s="150" t="s">
        <v>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5.75" x14ac:dyDescent="0.25">
      <c r="A3" s="150" t="s">
        <v>62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30.75" customHeight="1" x14ac:dyDescent="0.25">
      <c r="A5" s="4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6" t="s">
        <v>7</v>
      </c>
      <c r="H5" s="4" t="s">
        <v>8</v>
      </c>
      <c r="I5" s="4" t="s">
        <v>9</v>
      </c>
      <c r="J5" s="4" t="s">
        <v>10</v>
      </c>
      <c r="K5" s="4" t="s">
        <v>11</v>
      </c>
    </row>
    <row r="6" spans="1:11" ht="19.149999999999999" customHeight="1" x14ac:dyDescent="0.25">
      <c r="A6" s="7">
        <v>1</v>
      </c>
      <c r="B6" s="8">
        <v>46266</v>
      </c>
      <c r="C6" s="9" t="s">
        <v>1036</v>
      </c>
      <c r="D6" s="8">
        <v>46277</v>
      </c>
      <c r="E6" s="10"/>
      <c r="F6" s="10"/>
      <c r="G6" s="11">
        <v>100</v>
      </c>
      <c r="H6" s="11"/>
      <c r="I6" s="11"/>
      <c r="J6" s="11">
        <v>200000</v>
      </c>
      <c r="K6" s="12" t="s">
        <v>771</v>
      </c>
    </row>
    <row r="7" spans="1:11" ht="19.149999999999999" customHeight="1" x14ac:dyDescent="0.25">
      <c r="A7" s="13">
        <v>2</v>
      </c>
      <c r="B7" s="14"/>
      <c r="C7" s="15" t="s">
        <v>1037</v>
      </c>
      <c r="D7" s="14">
        <v>46271</v>
      </c>
      <c r="E7" s="16"/>
      <c r="F7" s="16"/>
      <c r="G7" s="17">
        <v>100</v>
      </c>
      <c r="H7" s="17"/>
      <c r="I7" s="17"/>
      <c r="J7" s="17">
        <v>200000</v>
      </c>
      <c r="K7" s="18" t="s">
        <v>901</v>
      </c>
    </row>
    <row r="8" spans="1:11" ht="19.149999999999999" customHeight="1" x14ac:dyDescent="0.25">
      <c r="A8" s="13">
        <v>3</v>
      </c>
      <c r="B8" s="14"/>
      <c r="C8" s="18" t="s">
        <v>1038</v>
      </c>
      <c r="D8" s="14">
        <v>46278</v>
      </c>
      <c r="E8" s="16"/>
      <c r="F8" s="16"/>
      <c r="G8" s="19">
        <v>150</v>
      </c>
      <c r="H8" s="17"/>
      <c r="I8" s="17"/>
      <c r="J8" s="17">
        <v>300000</v>
      </c>
      <c r="K8" s="18" t="s">
        <v>203</v>
      </c>
    </row>
    <row r="9" spans="1:11" ht="19.149999999999999" customHeight="1" x14ac:dyDescent="0.25">
      <c r="A9" s="13">
        <v>4</v>
      </c>
      <c r="B9" s="14"/>
      <c r="C9" s="15" t="s">
        <v>1039</v>
      </c>
      <c r="D9" s="14">
        <v>46347</v>
      </c>
      <c r="E9" s="16">
        <v>1</v>
      </c>
      <c r="F9" s="16"/>
      <c r="G9" s="17"/>
      <c r="H9" s="17"/>
      <c r="I9" s="17"/>
      <c r="J9" s="17">
        <v>250000</v>
      </c>
      <c r="K9" s="18" t="s">
        <v>49</v>
      </c>
    </row>
    <row r="10" spans="1:11" ht="19.149999999999999" customHeight="1" x14ac:dyDescent="0.25">
      <c r="A10" s="13">
        <v>5</v>
      </c>
      <c r="B10" s="14"/>
      <c r="C10" s="15" t="s">
        <v>1039</v>
      </c>
      <c r="D10" s="14">
        <v>46347</v>
      </c>
      <c r="E10" s="16"/>
      <c r="F10" s="16"/>
      <c r="G10" s="17">
        <v>100</v>
      </c>
      <c r="H10" s="17"/>
      <c r="I10" s="17"/>
      <c r="J10" s="17">
        <v>200000</v>
      </c>
      <c r="K10" s="18" t="s">
        <v>771</v>
      </c>
    </row>
    <row r="11" spans="1:11" ht="19.149999999999999" customHeight="1" x14ac:dyDescent="0.25">
      <c r="A11" s="13">
        <v>6</v>
      </c>
      <c r="B11" s="14">
        <v>46267</v>
      </c>
      <c r="C11" s="15" t="s">
        <v>1040</v>
      </c>
      <c r="D11" s="14">
        <v>46271</v>
      </c>
      <c r="E11" s="16"/>
      <c r="F11" s="16"/>
      <c r="G11" s="17">
        <v>50</v>
      </c>
      <c r="H11" s="17"/>
      <c r="I11" s="17"/>
      <c r="J11" s="17">
        <v>100000</v>
      </c>
      <c r="K11" s="18" t="s">
        <v>713</v>
      </c>
    </row>
    <row r="12" spans="1:11" ht="19.149999999999999" customHeight="1" x14ac:dyDescent="0.25">
      <c r="A12" s="13">
        <v>7</v>
      </c>
      <c r="B12" s="14"/>
      <c r="C12" s="15" t="s">
        <v>1041</v>
      </c>
      <c r="D12" s="14">
        <v>46291</v>
      </c>
      <c r="E12" s="16">
        <v>1</v>
      </c>
      <c r="F12" s="16"/>
      <c r="G12" s="17"/>
      <c r="H12" s="17"/>
      <c r="I12" s="17"/>
      <c r="J12" s="17">
        <v>250000</v>
      </c>
      <c r="K12" s="18" t="s">
        <v>49</v>
      </c>
    </row>
    <row r="13" spans="1:11" ht="19.149999999999999" customHeight="1" x14ac:dyDescent="0.25">
      <c r="A13" s="13">
        <v>8</v>
      </c>
      <c r="B13" s="14"/>
      <c r="C13" s="15" t="s">
        <v>1042</v>
      </c>
      <c r="D13" s="14">
        <v>46285</v>
      </c>
      <c r="E13" s="16"/>
      <c r="F13" s="16"/>
      <c r="G13" s="17">
        <v>50</v>
      </c>
      <c r="H13" s="17"/>
      <c r="I13" s="17"/>
      <c r="J13" s="17">
        <v>100000</v>
      </c>
      <c r="K13" s="18" t="s">
        <v>771</v>
      </c>
    </row>
    <row r="14" spans="1:11" ht="19.149999999999999" customHeight="1" x14ac:dyDescent="0.25">
      <c r="A14" s="13">
        <v>9</v>
      </c>
      <c r="B14" s="14"/>
      <c r="C14" s="15" t="s">
        <v>298</v>
      </c>
      <c r="D14" s="14">
        <v>46278</v>
      </c>
      <c r="E14" s="16"/>
      <c r="F14" s="16"/>
      <c r="G14" s="17"/>
      <c r="H14" s="17">
        <v>1</v>
      </c>
      <c r="I14" s="17"/>
      <c r="J14" s="17">
        <v>100000</v>
      </c>
      <c r="K14" s="18"/>
    </row>
    <row r="15" spans="1:11" ht="19.149999999999999" customHeight="1" x14ac:dyDescent="0.25">
      <c r="A15" s="13">
        <v>10</v>
      </c>
      <c r="B15" s="14">
        <v>46268</v>
      </c>
      <c r="C15" s="15" t="s">
        <v>1043</v>
      </c>
      <c r="D15" s="14">
        <v>46292</v>
      </c>
      <c r="E15" s="16">
        <v>1</v>
      </c>
      <c r="F15" s="16"/>
      <c r="G15" s="17"/>
      <c r="H15" s="17"/>
      <c r="I15" s="17"/>
      <c r="J15" s="17">
        <v>250000</v>
      </c>
      <c r="K15" s="18" t="s">
        <v>205</v>
      </c>
    </row>
    <row r="16" spans="1:11" ht="19.149999999999999" customHeight="1" x14ac:dyDescent="0.25">
      <c r="A16" s="13">
        <v>11</v>
      </c>
      <c r="B16" s="14"/>
      <c r="C16" s="15" t="s">
        <v>1044</v>
      </c>
      <c r="D16" s="14">
        <v>46271</v>
      </c>
      <c r="E16" s="16"/>
      <c r="F16" s="16"/>
      <c r="G16" s="17">
        <v>50</v>
      </c>
      <c r="H16" s="17"/>
      <c r="I16" s="17"/>
      <c r="J16" s="17">
        <v>100000</v>
      </c>
      <c r="K16" s="18" t="s">
        <v>226</v>
      </c>
    </row>
    <row r="17" spans="1:11" ht="19.149999999999999" customHeight="1" x14ac:dyDescent="0.25">
      <c r="A17" s="13">
        <v>12</v>
      </c>
      <c r="B17" s="14"/>
      <c r="C17" s="15" t="s">
        <v>1045</v>
      </c>
      <c r="D17" s="14">
        <v>46306</v>
      </c>
      <c r="E17" s="16">
        <v>1</v>
      </c>
      <c r="F17" s="16"/>
      <c r="G17" s="17"/>
      <c r="H17" s="17"/>
      <c r="I17" s="17"/>
      <c r="J17" s="17">
        <v>250000</v>
      </c>
      <c r="K17" s="18" t="s">
        <v>205</v>
      </c>
    </row>
    <row r="18" spans="1:11" ht="19.149999999999999" customHeight="1" x14ac:dyDescent="0.25">
      <c r="A18" s="13">
        <v>13</v>
      </c>
      <c r="B18" s="14"/>
      <c r="C18" s="15" t="s">
        <v>1046</v>
      </c>
      <c r="D18" s="14">
        <v>46270</v>
      </c>
      <c r="E18" s="16"/>
      <c r="F18" s="16"/>
      <c r="G18" s="17">
        <v>200</v>
      </c>
      <c r="H18" s="17"/>
      <c r="I18" s="17"/>
      <c r="J18" s="17">
        <v>400000</v>
      </c>
      <c r="K18" s="18" t="s">
        <v>1048</v>
      </c>
    </row>
    <row r="19" spans="1:11" ht="19.149999999999999" customHeight="1" x14ac:dyDescent="0.25">
      <c r="A19" s="13">
        <v>14</v>
      </c>
      <c r="B19" s="14"/>
      <c r="C19" s="15" t="s">
        <v>1047</v>
      </c>
      <c r="D19" s="14">
        <v>46270</v>
      </c>
      <c r="E19" s="16"/>
      <c r="F19" s="16"/>
      <c r="G19" s="17">
        <v>60</v>
      </c>
      <c r="H19" s="17"/>
      <c r="I19" s="17"/>
      <c r="J19" s="17">
        <v>120000</v>
      </c>
      <c r="K19" s="18" t="s">
        <v>1049</v>
      </c>
    </row>
    <row r="20" spans="1:11" ht="19.149999999999999" customHeight="1" x14ac:dyDescent="0.25">
      <c r="A20" s="13">
        <v>15</v>
      </c>
      <c r="B20" s="14"/>
      <c r="C20" s="15" t="s">
        <v>1050</v>
      </c>
      <c r="D20" s="14">
        <v>46298</v>
      </c>
      <c r="E20" s="16">
        <v>1</v>
      </c>
      <c r="F20" s="16"/>
      <c r="G20" s="17"/>
      <c r="H20" s="17"/>
      <c r="I20" s="17"/>
      <c r="J20" s="17">
        <v>250000</v>
      </c>
      <c r="K20" s="18" t="s">
        <v>214</v>
      </c>
    </row>
    <row r="21" spans="1:11" ht="19.149999999999999" customHeight="1" x14ac:dyDescent="0.25">
      <c r="A21" s="13">
        <v>16</v>
      </c>
      <c r="B21" s="20"/>
      <c r="C21" s="15" t="s">
        <v>1041</v>
      </c>
      <c r="D21" s="20">
        <v>46291</v>
      </c>
      <c r="E21" s="16"/>
      <c r="F21" s="18"/>
      <c r="G21" s="18">
        <v>50</v>
      </c>
      <c r="H21" s="18"/>
      <c r="I21" s="18"/>
      <c r="J21" s="17">
        <v>100000</v>
      </c>
      <c r="K21" s="18" t="s">
        <v>461</v>
      </c>
    </row>
    <row r="22" spans="1:11" ht="19.149999999999999" customHeight="1" x14ac:dyDescent="0.25">
      <c r="A22" s="13">
        <v>17</v>
      </c>
      <c r="B22" s="14">
        <v>46269</v>
      </c>
      <c r="C22" s="15" t="s">
        <v>1051</v>
      </c>
      <c r="D22" s="14">
        <v>46291</v>
      </c>
      <c r="E22" s="16">
        <v>1</v>
      </c>
      <c r="F22" s="16"/>
      <c r="G22" s="17">
        <v>125</v>
      </c>
      <c r="H22" s="17">
        <v>1</v>
      </c>
      <c r="I22" s="17"/>
      <c r="J22" s="17">
        <v>600000</v>
      </c>
      <c r="K22" s="18" t="s">
        <v>1052</v>
      </c>
    </row>
    <row r="23" spans="1:11" x14ac:dyDescent="0.25">
      <c r="A23" s="13">
        <v>18</v>
      </c>
      <c r="B23" s="20"/>
      <c r="C23" s="15" t="s">
        <v>1053</v>
      </c>
      <c r="D23" s="20">
        <v>46276</v>
      </c>
      <c r="E23" s="16">
        <v>1</v>
      </c>
      <c r="F23" s="18"/>
      <c r="G23" s="18"/>
      <c r="H23" s="18"/>
      <c r="I23" s="18"/>
      <c r="J23" s="17">
        <v>250000</v>
      </c>
      <c r="K23" s="18" t="s">
        <v>49</v>
      </c>
    </row>
    <row r="24" spans="1:11" ht="19.149999999999999" customHeight="1" x14ac:dyDescent="0.25">
      <c r="A24" s="13">
        <v>19</v>
      </c>
      <c r="B24" s="14"/>
      <c r="C24" s="21" t="s">
        <v>1054</v>
      </c>
      <c r="D24" s="14">
        <v>46306</v>
      </c>
      <c r="E24" s="16">
        <v>1</v>
      </c>
      <c r="F24" s="16"/>
      <c r="G24" s="17"/>
      <c r="H24" s="17"/>
      <c r="I24" s="17"/>
      <c r="J24" s="17">
        <v>250000</v>
      </c>
      <c r="K24" s="18" t="s">
        <v>197</v>
      </c>
    </row>
    <row r="25" spans="1:11" ht="19.149999999999999" customHeight="1" x14ac:dyDescent="0.25">
      <c r="A25" s="13">
        <v>20</v>
      </c>
      <c r="B25" s="14"/>
      <c r="C25" s="21" t="s">
        <v>1055</v>
      </c>
      <c r="D25" s="14">
        <v>46276</v>
      </c>
      <c r="E25" s="16"/>
      <c r="F25" s="16"/>
      <c r="G25" s="17">
        <v>100</v>
      </c>
      <c r="H25" s="17"/>
      <c r="I25" s="17"/>
      <c r="J25" s="17">
        <v>200000</v>
      </c>
      <c r="K25" s="18" t="s">
        <v>791</v>
      </c>
    </row>
    <row r="26" spans="1:11" ht="19.149999999999999" customHeight="1" x14ac:dyDescent="0.25">
      <c r="A26" s="13">
        <v>21</v>
      </c>
      <c r="B26" s="14"/>
      <c r="C26" s="21" t="s">
        <v>1056</v>
      </c>
      <c r="D26" s="14">
        <v>46277</v>
      </c>
      <c r="E26" s="16"/>
      <c r="F26" s="16"/>
      <c r="G26" s="17">
        <v>100</v>
      </c>
      <c r="H26" s="17"/>
      <c r="I26" s="18"/>
      <c r="J26" s="17">
        <v>200000</v>
      </c>
      <c r="K26" s="18" t="s">
        <v>201</v>
      </c>
    </row>
    <row r="27" spans="1:11" ht="19.149999999999999" customHeight="1" x14ac:dyDescent="0.25">
      <c r="A27" s="13">
        <v>22</v>
      </c>
      <c r="B27" s="14"/>
      <c r="C27" s="15" t="s">
        <v>1057</v>
      </c>
      <c r="D27" s="14">
        <v>46278</v>
      </c>
      <c r="E27" s="16"/>
      <c r="F27" s="16">
        <v>1</v>
      </c>
      <c r="G27" s="17"/>
      <c r="H27" s="17"/>
      <c r="I27" s="17" t="s">
        <v>98</v>
      </c>
      <c r="J27" s="17">
        <v>1750000</v>
      </c>
      <c r="K27" s="18" t="s">
        <v>964</v>
      </c>
    </row>
    <row r="28" spans="1:11" ht="19.149999999999999" customHeight="1" x14ac:dyDescent="0.25">
      <c r="A28" s="13">
        <v>23</v>
      </c>
      <c r="B28" s="14"/>
      <c r="C28" s="15" t="s">
        <v>1046</v>
      </c>
      <c r="D28" s="14">
        <v>46270</v>
      </c>
      <c r="E28" s="16"/>
      <c r="F28" s="16"/>
      <c r="G28" s="17">
        <v>100</v>
      </c>
      <c r="H28" s="17"/>
      <c r="I28" s="17"/>
      <c r="J28" s="17">
        <v>200000</v>
      </c>
      <c r="K28" s="18" t="s">
        <v>1048</v>
      </c>
    </row>
    <row r="29" spans="1:11" ht="19.149999999999999" customHeight="1" x14ac:dyDescent="0.25">
      <c r="A29" s="13">
        <v>24</v>
      </c>
      <c r="B29" s="14">
        <v>46270</v>
      </c>
      <c r="C29" s="15" t="s">
        <v>1058</v>
      </c>
      <c r="D29" s="14">
        <v>46299</v>
      </c>
      <c r="E29" s="16">
        <v>1</v>
      </c>
      <c r="F29" s="16"/>
      <c r="G29" s="17"/>
      <c r="H29" s="17"/>
      <c r="I29" s="17"/>
      <c r="J29" s="17">
        <v>250000</v>
      </c>
      <c r="K29" s="18" t="s">
        <v>49</v>
      </c>
    </row>
    <row r="30" spans="1:11" ht="19.149999999999999" customHeight="1" x14ac:dyDescent="0.25">
      <c r="A30" s="13">
        <v>25</v>
      </c>
      <c r="B30" s="14"/>
      <c r="C30" s="15" t="s">
        <v>891</v>
      </c>
      <c r="D30" s="14">
        <v>46277</v>
      </c>
      <c r="E30" s="16">
        <v>1</v>
      </c>
      <c r="F30" s="16"/>
      <c r="G30" s="17"/>
      <c r="H30" s="17"/>
      <c r="I30" s="17"/>
      <c r="J30" s="17">
        <v>250000</v>
      </c>
      <c r="K30" s="18" t="s">
        <v>1059</v>
      </c>
    </row>
    <row r="31" spans="1:11" ht="19.149999999999999" customHeight="1" x14ac:dyDescent="0.25">
      <c r="A31" s="13">
        <v>26</v>
      </c>
      <c r="B31" s="14"/>
      <c r="C31" s="15" t="s">
        <v>1060</v>
      </c>
      <c r="D31" s="20">
        <v>46278</v>
      </c>
      <c r="E31" s="16"/>
      <c r="F31" s="16"/>
      <c r="G31" s="17">
        <v>50</v>
      </c>
      <c r="H31" s="17"/>
      <c r="I31" s="17"/>
      <c r="J31" s="17">
        <v>100000</v>
      </c>
      <c r="K31" s="18" t="s">
        <v>1061</v>
      </c>
    </row>
    <row r="32" spans="1:11" ht="19.149999999999999" customHeight="1" x14ac:dyDescent="0.25">
      <c r="A32" s="13">
        <v>27</v>
      </c>
      <c r="B32" s="14"/>
      <c r="C32" s="125" t="s">
        <v>1062</v>
      </c>
      <c r="D32" s="14">
        <v>46277</v>
      </c>
      <c r="E32" s="124">
        <v>1</v>
      </c>
      <c r="F32" s="124"/>
      <c r="G32" s="124"/>
      <c r="H32" s="124"/>
      <c r="I32" s="124"/>
      <c r="J32" s="124">
        <v>250000</v>
      </c>
      <c r="K32" s="18" t="s">
        <v>197</v>
      </c>
    </row>
    <row r="33" spans="1:11" ht="18.75" customHeight="1" x14ac:dyDescent="0.25">
      <c r="A33" s="13">
        <v>28</v>
      </c>
      <c r="B33" s="14"/>
      <c r="C33" s="125" t="s">
        <v>1063</v>
      </c>
      <c r="D33" s="14">
        <v>46285</v>
      </c>
      <c r="E33" s="124"/>
      <c r="F33" s="124"/>
      <c r="G33" s="124">
        <v>50</v>
      </c>
      <c r="H33" s="124"/>
      <c r="I33" s="124"/>
      <c r="J33" s="124">
        <v>100000</v>
      </c>
      <c r="K33" s="18" t="s">
        <v>226</v>
      </c>
    </row>
    <row r="34" spans="1:11" ht="18.75" customHeight="1" x14ac:dyDescent="0.25">
      <c r="A34" s="13">
        <v>29</v>
      </c>
      <c r="B34" s="14"/>
      <c r="C34" s="125" t="s">
        <v>1046</v>
      </c>
      <c r="D34" s="14">
        <v>46270</v>
      </c>
      <c r="E34" s="124"/>
      <c r="F34" s="124"/>
      <c r="G34" s="124"/>
      <c r="H34" s="124">
        <v>1</v>
      </c>
      <c r="I34" s="124"/>
      <c r="J34" s="124">
        <v>100000</v>
      </c>
      <c r="K34" s="18" t="s">
        <v>1048</v>
      </c>
    </row>
    <row r="35" spans="1:11" ht="18.75" customHeight="1" x14ac:dyDescent="0.25">
      <c r="A35" s="13">
        <v>30</v>
      </c>
      <c r="B35" s="14">
        <v>46271</v>
      </c>
      <c r="C35" s="125" t="s">
        <v>1064</v>
      </c>
      <c r="D35" s="14">
        <v>46271</v>
      </c>
      <c r="E35" s="124">
        <v>1</v>
      </c>
      <c r="F35" s="124"/>
      <c r="G35" s="124"/>
      <c r="H35" s="124"/>
      <c r="I35" s="124"/>
      <c r="J35" s="124">
        <v>250000</v>
      </c>
      <c r="K35" s="18" t="s">
        <v>214</v>
      </c>
    </row>
    <row r="36" spans="1:11" ht="18.75" customHeight="1" x14ac:dyDescent="0.25">
      <c r="A36" s="13">
        <v>31</v>
      </c>
      <c r="B36" s="14"/>
      <c r="C36" s="125" t="s">
        <v>1065</v>
      </c>
      <c r="D36" s="14">
        <v>46309</v>
      </c>
      <c r="E36" s="124">
        <v>1</v>
      </c>
      <c r="F36" s="124"/>
      <c r="G36" s="124"/>
      <c r="H36" s="124"/>
      <c r="I36" s="124"/>
      <c r="J36" s="124">
        <v>250000</v>
      </c>
      <c r="K36" s="18" t="s">
        <v>214</v>
      </c>
    </row>
    <row r="37" spans="1:11" ht="18.75" customHeight="1" x14ac:dyDescent="0.25">
      <c r="A37" s="13">
        <v>32</v>
      </c>
      <c r="B37" s="14">
        <v>46272</v>
      </c>
      <c r="C37" s="125" t="s">
        <v>1066</v>
      </c>
      <c r="D37" s="14">
        <v>46298</v>
      </c>
      <c r="E37" s="124">
        <v>1</v>
      </c>
      <c r="F37" s="124"/>
      <c r="G37" s="124"/>
      <c r="H37" s="124"/>
      <c r="I37" s="124"/>
      <c r="J37" s="124">
        <v>250000</v>
      </c>
      <c r="K37" s="18" t="s">
        <v>1067</v>
      </c>
    </row>
    <row r="38" spans="1:11" ht="18.75" customHeight="1" x14ac:dyDescent="0.25">
      <c r="A38" s="13">
        <v>33</v>
      </c>
      <c r="B38" s="14"/>
      <c r="C38" s="125" t="s">
        <v>1068</v>
      </c>
      <c r="D38" s="14">
        <v>46295</v>
      </c>
      <c r="E38" s="124"/>
      <c r="F38" s="124">
        <v>1</v>
      </c>
      <c r="G38" s="124"/>
      <c r="H38" s="124"/>
      <c r="I38" s="124" t="s">
        <v>98</v>
      </c>
      <c r="J38" s="124">
        <v>1750000</v>
      </c>
      <c r="K38" s="18"/>
    </row>
    <row r="39" spans="1:11" ht="18.75" customHeight="1" x14ac:dyDescent="0.25">
      <c r="A39" s="13">
        <v>34</v>
      </c>
      <c r="B39" s="14">
        <v>46273</v>
      </c>
      <c r="C39" s="125" t="s">
        <v>1069</v>
      </c>
      <c r="D39" s="14">
        <v>46277</v>
      </c>
      <c r="E39" s="124"/>
      <c r="F39" s="124"/>
      <c r="G39" s="124">
        <v>300</v>
      </c>
      <c r="H39" s="124">
        <v>1</v>
      </c>
      <c r="I39" s="124"/>
      <c r="J39" s="124">
        <v>700000</v>
      </c>
      <c r="K39" s="18" t="s">
        <v>1070</v>
      </c>
    </row>
    <row r="40" spans="1:11" s="147" customFormat="1" ht="18.75" customHeight="1" x14ac:dyDescent="0.25">
      <c r="A40" s="13">
        <v>35</v>
      </c>
      <c r="B40" s="143"/>
      <c r="C40" s="144" t="s">
        <v>1071</v>
      </c>
      <c r="D40" s="143">
        <v>46306</v>
      </c>
      <c r="E40" s="145">
        <v>1</v>
      </c>
      <c r="F40" s="145"/>
      <c r="G40" s="145"/>
      <c r="H40" s="145">
        <v>1</v>
      </c>
      <c r="I40" s="145"/>
      <c r="J40" s="145">
        <v>350000</v>
      </c>
      <c r="K40" s="146" t="s">
        <v>1072</v>
      </c>
    </row>
    <row r="41" spans="1:11" ht="18.75" customHeight="1" x14ac:dyDescent="0.25">
      <c r="A41" s="13">
        <v>36</v>
      </c>
      <c r="B41" s="14"/>
      <c r="C41" s="125" t="s">
        <v>1073</v>
      </c>
      <c r="D41" s="14">
        <v>46278</v>
      </c>
      <c r="E41" s="124"/>
      <c r="F41" s="124"/>
      <c r="G41" s="124">
        <v>50</v>
      </c>
      <c r="H41" s="124"/>
      <c r="I41" s="124"/>
      <c r="J41" s="124">
        <v>100000</v>
      </c>
      <c r="K41" s="18" t="s">
        <v>451</v>
      </c>
    </row>
    <row r="42" spans="1:11" ht="18.75" customHeight="1" x14ac:dyDescent="0.25">
      <c r="A42" s="13">
        <v>37</v>
      </c>
      <c r="B42" s="14"/>
      <c r="C42" s="125" t="s">
        <v>1074</v>
      </c>
      <c r="D42" s="14">
        <v>46284</v>
      </c>
      <c r="E42" s="124"/>
      <c r="F42" s="124"/>
      <c r="G42" s="124">
        <v>100</v>
      </c>
      <c r="H42" s="124"/>
      <c r="I42" s="124"/>
      <c r="J42" s="124">
        <v>200000</v>
      </c>
      <c r="K42" s="18" t="s">
        <v>461</v>
      </c>
    </row>
    <row r="43" spans="1:11" ht="18.75" customHeight="1" x14ac:dyDescent="0.25">
      <c r="A43" s="13">
        <v>38</v>
      </c>
      <c r="B43" s="14">
        <v>46274</v>
      </c>
      <c r="C43" s="125" t="s">
        <v>1075</v>
      </c>
      <c r="D43" s="14">
        <v>46397</v>
      </c>
      <c r="E43" s="124">
        <v>1</v>
      </c>
      <c r="F43" s="124"/>
      <c r="G43" s="124"/>
      <c r="H43" s="124"/>
      <c r="I43" s="124"/>
      <c r="J43" s="124">
        <v>250000</v>
      </c>
      <c r="K43" s="18" t="s">
        <v>41</v>
      </c>
    </row>
    <row r="44" spans="1:11" ht="18.75" customHeight="1" x14ac:dyDescent="0.25">
      <c r="A44" s="13">
        <v>39</v>
      </c>
      <c r="B44" s="14"/>
      <c r="C44" s="125" t="s">
        <v>1078</v>
      </c>
      <c r="D44" s="14">
        <v>46277</v>
      </c>
      <c r="E44" s="124"/>
      <c r="F44" s="124"/>
      <c r="G44" s="124">
        <v>100</v>
      </c>
      <c r="H44" s="124"/>
      <c r="I44" s="124"/>
      <c r="J44" s="124">
        <v>200000</v>
      </c>
      <c r="K44" s="18" t="s">
        <v>746</v>
      </c>
    </row>
    <row r="45" spans="1:11" ht="18.75" customHeight="1" x14ac:dyDescent="0.25">
      <c r="A45" s="13">
        <v>40</v>
      </c>
      <c r="B45" s="14"/>
      <c r="C45" s="125" t="s">
        <v>1062</v>
      </c>
      <c r="D45" s="14">
        <v>46277</v>
      </c>
      <c r="E45" s="124"/>
      <c r="F45" s="124"/>
      <c r="G45" s="124"/>
      <c r="H45" s="124">
        <v>1</v>
      </c>
      <c r="I45" s="124"/>
      <c r="J45" s="124">
        <v>100000</v>
      </c>
      <c r="K45" s="18"/>
    </row>
    <row r="46" spans="1:11" ht="18.75" customHeight="1" x14ac:dyDescent="0.25">
      <c r="A46" s="13">
        <v>41</v>
      </c>
      <c r="B46" s="14"/>
      <c r="C46" s="125" t="s">
        <v>1079</v>
      </c>
      <c r="D46" s="14">
        <v>46291</v>
      </c>
      <c r="E46" s="124"/>
      <c r="F46" s="124"/>
      <c r="G46" s="124">
        <v>100</v>
      </c>
      <c r="H46" s="124"/>
      <c r="I46" s="124"/>
      <c r="J46" s="124">
        <v>200000</v>
      </c>
      <c r="K46" s="18" t="s">
        <v>746</v>
      </c>
    </row>
    <row r="47" spans="1:11" ht="18.75" customHeight="1" x14ac:dyDescent="0.25">
      <c r="A47" s="13">
        <v>42</v>
      </c>
      <c r="B47" s="14"/>
      <c r="C47" s="125" t="s">
        <v>1080</v>
      </c>
      <c r="D47" s="14">
        <v>46334</v>
      </c>
      <c r="E47" s="124">
        <v>1</v>
      </c>
      <c r="F47" s="124"/>
      <c r="G47" s="124"/>
      <c r="H47" s="124"/>
      <c r="I47" s="124"/>
      <c r="J47" s="124">
        <v>250000</v>
      </c>
      <c r="K47" s="18" t="s">
        <v>49</v>
      </c>
    </row>
    <row r="48" spans="1:11" ht="18.75" customHeight="1" x14ac:dyDescent="0.25">
      <c r="A48" s="13">
        <v>43</v>
      </c>
      <c r="B48" s="14">
        <v>46275</v>
      </c>
      <c r="C48" s="125" t="s">
        <v>1076</v>
      </c>
      <c r="D48" s="14">
        <v>46277</v>
      </c>
      <c r="E48" s="124"/>
      <c r="F48" s="124"/>
      <c r="G48" s="124">
        <v>50</v>
      </c>
      <c r="H48" s="124"/>
      <c r="I48" s="124"/>
      <c r="J48" s="124">
        <v>100000</v>
      </c>
      <c r="K48" s="18"/>
    </row>
    <row r="49" spans="1:11" ht="18.75" customHeight="1" x14ac:dyDescent="0.25">
      <c r="A49" s="13">
        <v>44</v>
      </c>
      <c r="B49" s="14"/>
      <c r="C49" s="125" t="s">
        <v>1077</v>
      </c>
      <c r="D49" s="14">
        <v>46319</v>
      </c>
      <c r="E49" s="124">
        <v>1</v>
      </c>
      <c r="F49" s="124"/>
      <c r="G49" s="124"/>
      <c r="H49" s="124"/>
      <c r="I49" s="124"/>
      <c r="J49" s="124">
        <v>250000</v>
      </c>
      <c r="K49" s="18" t="s">
        <v>205</v>
      </c>
    </row>
    <row r="50" spans="1:11" ht="18.75" customHeight="1" x14ac:dyDescent="0.25">
      <c r="A50" s="13">
        <v>45</v>
      </c>
      <c r="B50" s="14"/>
      <c r="C50" s="125" t="s">
        <v>937</v>
      </c>
      <c r="D50" s="14">
        <v>46285</v>
      </c>
      <c r="E50" s="124">
        <v>1</v>
      </c>
      <c r="F50" s="124"/>
      <c r="G50" s="124"/>
      <c r="H50" s="124"/>
      <c r="I50" s="124"/>
      <c r="J50" s="124">
        <v>250000</v>
      </c>
      <c r="K50" s="18" t="s">
        <v>197</v>
      </c>
    </row>
    <row r="51" spans="1:11" ht="18.75" customHeight="1" x14ac:dyDescent="0.25">
      <c r="A51" s="13">
        <v>46</v>
      </c>
      <c r="B51" s="14"/>
      <c r="C51" s="125"/>
      <c r="D51" s="14"/>
      <c r="E51" s="124">
        <v>1</v>
      </c>
      <c r="F51" s="124"/>
      <c r="G51" s="124"/>
      <c r="H51" s="124"/>
      <c r="I51" s="124"/>
      <c r="J51" s="124">
        <v>250000</v>
      </c>
      <c r="K51" s="18"/>
    </row>
    <row r="52" spans="1:11" ht="18.75" customHeight="1" x14ac:dyDescent="0.25">
      <c r="A52" s="13">
        <v>47</v>
      </c>
      <c r="B52" s="14">
        <v>46276</v>
      </c>
      <c r="C52" s="125" t="s">
        <v>1081</v>
      </c>
      <c r="D52" s="14">
        <v>46278</v>
      </c>
      <c r="E52" s="124"/>
      <c r="F52" s="124"/>
      <c r="G52" s="124">
        <v>50</v>
      </c>
      <c r="H52" s="124"/>
      <c r="I52" s="124"/>
      <c r="J52" s="124">
        <v>100000</v>
      </c>
      <c r="K52" s="18"/>
    </row>
    <row r="53" spans="1:11" ht="18.75" customHeight="1" x14ac:dyDescent="0.25">
      <c r="A53" s="13">
        <v>48</v>
      </c>
      <c r="B53" s="14"/>
      <c r="C53" s="125" t="s">
        <v>1082</v>
      </c>
      <c r="D53" s="14">
        <v>46285</v>
      </c>
      <c r="E53" s="124"/>
      <c r="F53" s="124"/>
      <c r="G53" s="124">
        <v>200</v>
      </c>
      <c r="H53" s="124"/>
      <c r="I53" s="124"/>
      <c r="J53" s="124">
        <v>400000</v>
      </c>
      <c r="K53" s="18" t="s">
        <v>201</v>
      </c>
    </row>
    <row r="54" spans="1:11" ht="18.75" customHeight="1" x14ac:dyDescent="0.25">
      <c r="A54" s="13">
        <v>49</v>
      </c>
      <c r="B54" s="14"/>
      <c r="C54" s="125" t="s">
        <v>1083</v>
      </c>
      <c r="D54" s="14">
        <v>46298</v>
      </c>
      <c r="E54" s="124">
        <v>1</v>
      </c>
      <c r="F54" s="124"/>
      <c r="G54" s="124"/>
      <c r="H54" s="124"/>
      <c r="I54" s="124"/>
      <c r="J54" s="124">
        <v>250000</v>
      </c>
      <c r="K54" s="18" t="s">
        <v>205</v>
      </c>
    </row>
    <row r="55" spans="1:11" ht="18.75" customHeight="1" x14ac:dyDescent="0.25">
      <c r="A55" s="13">
        <v>50</v>
      </c>
      <c r="B55" s="14"/>
      <c r="C55" s="125" t="s">
        <v>1084</v>
      </c>
      <c r="D55" s="14">
        <v>46285</v>
      </c>
      <c r="E55" s="124">
        <v>1</v>
      </c>
      <c r="F55" s="124"/>
      <c r="G55" s="124"/>
      <c r="H55" s="124"/>
      <c r="I55" s="124"/>
      <c r="J55" s="124">
        <v>250000</v>
      </c>
      <c r="K55" s="18" t="s">
        <v>214</v>
      </c>
    </row>
    <row r="56" spans="1:11" ht="18.75" customHeight="1" x14ac:dyDescent="0.25">
      <c r="A56" s="13">
        <v>51</v>
      </c>
      <c r="B56" s="14">
        <v>46277</v>
      </c>
      <c r="C56" s="125" t="s">
        <v>1085</v>
      </c>
      <c r="D56" s="14">
        <v>46285</v>
      </c>
      <c r="E56" s="124"/>
      <c r="F56" s="124"/>
      <c r="G56" s="124">
        <v>100</v>
      </c>
      <c r="H56" s="124"/>
      <c r="I56" s="124"/>
      <c r="J56" s="124">
        <v>200000</v>
      </c>
      <c r="K56" s="18" t="s">
        <v>451</v>
      </c>
    </row>
    <row r="57" spans="1:11" ht="18.75" customHeight="1" x14ac:dyDescent="0.25">
      <c r="A57" s="13">
        <v>52</v>
      </c>
      <c r="B57" s="14"/>
      <c r="C57" s="125" t="s">
        <v>1086</v>
      </c>
      <c r="D57" s="14">
        <v>46284</v>
      </c>
      <c r="E57" s="124"/>
      <c r="F57" s="124"/>
      <c r="G57" s="124">
        <v>50</v>
      </c>
      <c r="H57" s="124"/>
      <c r="I57" s="124"/>
      <c r="J57" s="124">
        <v>100000</v>
      </c>
      <c r="K57" s="18" t="s">
        <v>201</v>
      </c>
    </row>
    <row r="58" spans="1:11" ht="18.75" customHeight="1" x14ac:dyDescent="0.25">
      <c r="A58" s="13">
        <v>53</v>
      </c>
      <c r="B58" s="14"/>
      <c r="C58" s="125" t="s">
        <v>1087</v>
      </c>
      <c r="D58" s="14">
        <v>46284</v>
      </c>
      <c r="E58" s="124"/>
      <c r="F58" s="124"/>
      <c r="G58" s="124">
        <v>50</v>
      </c>
      <c r="H58" s="124"/>
      <c r="I58" s="124"/>
      <c r="J58" s="124">
        <v>100000</v>
      </c>
      <c r="K58" s="18" t="s">
        <v>480</v>
      </c>
    </row>
    <row r="59" spans="1:11" ht="18.75" customHeight="1" x14ac:dyDescent="0.25">
      <c r="A59" s="13">
        <v>54</v>
      </c>
      <c r="B59" s="14"/>
      <c r="C59" s="125" t="s">
        <v>1088</v>
      </c>
      <c r="D59" s="14">
        <v>46292</v>
      </c>
      <c r="E59" s="124">
        <v>1</v>
      </c>
      <c r="F59" s="124"/>
      <c r="G59" s="124"/>
      <c r="H59" s="124">
        <v>1</v>
      </c>
      <c r="I59" s="124"/>
      <c r="J59" s="124">
        <v>350000</v>
      </c>
      <c r="K59" s="18" t="s">
        <v>1089</v>
      </c>
    </row>
    <row r="60" spans="1:11" ht="18.75" customHeight="1" x14ac:dyDescent="0.25">
      <c r="A60" s="13">
        <v>55</v>
      </c>
      <c r="B60" s="14"/>
      <c r="C60" s="125" t="s">
        <v>1090</v>
      </c>
      <c r="D60" s="14">
        <v>46278</v>
      </c>
      <c r="E60" s="124"/>
      <c r="F60" s="124"/>
      <c r="G60" s="124">
        <v>50</v>
      </c>
      <c r="H60" s="124"/>
      <c r="I60" s="124"/>
      <c r="J60" s="124">
        <v>100000</v>
      </c>
      <c r="K60" s="18" t="s">
        <v>1048</v>
      </c>
    </row>
    <row r="61" spans="1:11" ht="18.75" customHeight="1" x14ac:dyDescent="0.25">
      <c r="A61" s="13">
        <v>56</v>
      </c>
      <c r="B61" s="14">
        <v>46278</v>
      </c>
      <c r="C61" s="125" t="s">
        <v>1091</v>
      </c>
      <c r="D61" s="14">
        <v>46278</v>
      </c>
      <c r="E61" s="124"/>
      <c r="F61" s="124"/>
      <c r="G61" s="124"/>
      <c r="H61" s="124">
        <v>1</v>
      </c>
      <c r="I61" s="124"/>
      <c r="J61" s="124">
        <v>100000</v>
      </c>
      <c r="K61" s="18"/>
    </row>
    <row r="62" spans="1:11" ht="18.75" customHeight="1" x14ac:dyDescent="0.25">
      <c r="A62" s="13">
        <v>57</v>
      </c>
      <c r="B62" s="14">
        <v>46279</v>
      </c>
      <c r="C62" s="125" t="s">
        <v>1092</v>
      </c>
      <c r="D62" s="14">
        <v>46306</v>
      </c>
      <c r="E62" s="124">
        <v>1</v>
      </c>
      <c r="F62" s="124"/>
      <c r="G62" s="124"/>
      <c r="H62" s="124"/>
      <c r="I62" s="124"/>
      <c r="J62" s="124">
        <v>250000</v>
      </c>
      <c r="K62" s="18" t="s">
        <v>49</v>
      </c>
    </row>
    <row r="63" spans="1:11" ht="18.75" customHeight="1" x14ac:dyDescent="0.25">
      <c r="A63" s="13">
        <v>58</v>
      </c>
      <c r="B63" s="14">
        <v>46280</v>
      </c>
      <c r="C63" s="125" t="s">
        <v>1093</v>
      </c>
      <c r="D63" s="14">
        <v>46306</v>
      </c>
      <c r="E63" s="124">
        <v>1</v>
      </c>
      <c r="F63" s="124"/>
      <c r="G63" s="124"/>
      <c r="H63" s="124"/>
      <c r="I63" s="124"/>
      <c r="J63" s="124">
        <v>250000</v>
      </c>
      <c r="K63" s="18" t="s">
        <v>41</v>
      </c>
    </row>
    <row r="64" spans="1:11" ht="18.75" customHeight="1" x14ac:dyDescent="0.25">
      <c r="A64" s="13">
        <v>59</v>
      </c>
      <c r="B64" s="14"/>
      <c r="C64" s="125" t="s">
        <v>1094</v>
      </c>
      <c r="D64" s="14">
        <v>46291</v>
      </c>
      <c r="E64" s="124"/>
      <c r="F64" s="124"/>
      <c r="G64" s="124">
        <v>100</v>
      </c>
      <c r="H64" s="124"/>
      <c r="I64" s="124"/>
      <c r="J64" s="124">
        <v>200000</v>
      </c>
      <c r="K64" s="18" t="s">
        <v>203</v>
      </c>
    </row>
    <row r="65" spans="1:11" ht="18.75" customHeight="1" x14ac:dyDescent="0.25">
      <c r="A65" s="13">
        <v>60</v>
      </c>
      <c r="B65" s="14"/>
      <c r="C65" s="125" t="s">
        <v>1095</v>
      </c>
      <c r="D65" s="14">
        <v>46284</v>
      </c>
      <c r="E65" s="124"/>
      <c r="F65" s="124"/>
      <c r="G65" s="124">
        <v>50</v>
      </c>
      <c r="H65" s="124"/>
      <c r="I65" s="124"/>
      <c r="J65" s="124">
        <v>100000</v>
      </c>
      <c r="K65" s="18" t="s">
        <v>1096</v>
      </c>
    </row>
    <row r="66" spans="1:11" ht="18.75" customHeight="1" x14ac:dyDescent="0.25">
      <c r="A66" s="13">
        <v>61</v>
      </c>
      <c r="B66" s="14"/>
      <c r="C66" s="125" t="s">
        <v>1097</v>
      </c>
      <c r="D66" s="14">
        <v>46282</v>
      </c>
      <c r="E66" s="124">
        <v>1</v>
      </c>
      <c r="F66" s="124"/>
      <c r="G66" s="124"/>
      <c r="H66" s="124"/>
      <c r="I66" s="124"/>
      <c r="J66" s="124">
        <v>250000</v>
      </c>
      <c r="K66" s="18" t="s">
        <v>214</v>
      </c>
    </row>
    <row r="67" spans="1:11" ht="18.75" customHeight="1" x14ac:dyDescent="0.25">
      <c r="A67" s="13">
        <v>62</v>
      </c>
      <c r="B67" s="14"/>
      <c r="C67" s="125" t="s">
        <v>1098</v>
      </c>
      <c r="D67" s="14">
        <v>46299</v>
      </c>
      <c r="E67" s="124"/>
      <c r="F67" s="124"/>
      <c r="G67" s="124">
        <v>50</v>
      </c>
      <c r="H67" s="124"/>
      <c r="I67" s="124"/>
      <c r="J67" s="124">
        <v>100000</v>
      </c>
      <c r="K67" s="18" t="s">
        <v>461</v>
      </c>
    </row>
    <row r="68" spans="1:11" ht="18.75" customHeight="1" x14ac:dyDescent="0.25">
      <c r="A68" s="13">
        <v>63</v>
      </c>
      <c r="B68" s="14"/>
      <c r="C68" s="125" t="s">
        <v>1099</v>
      </c>
      <c r="D68" s="14">
        <v>46313</v>
      </c>
      <c r="E68" s="124">
        <v>1</v>
      </c>
      <c r="F68" s="124"/>
      <c r="G68" s="124"/>
      <c r="H68" s="124"/>
      <c r="I68" s="124"/>
      <c r="J68" s="124">
        <v>250000</v>
      </c>
      <c r="K68" s="18" t="s">
        <v>49</v>
      </c>
    </row>
    <row r="69" spans="1:11" ht="18.75" customHeight="1" x14ac:dyDescent="0.25">
      <c r="A69" s="13">
        <v>64</v>
      </c>
      <c r="B69" s="14">
        <v>46281</v>
      </c>
      <c r="C69" s="125" t="s">
        <v>1100</v>
      </c>
      <c r="D69" s="14">
        <v>46336</v>
      </c>
      <c r="E69" s="124">
        <v>2</v>
      </c>
      <c r="F69" s="124"/>
      <c r="G69" s="124"/>
      <c r="H69" s="124"/>
      <c r="I69" s="124"/>
      <c r="J69" s="124">
        <v>500000</v>
      </c>
      <c r="K69" s="18" t="s">
        <v>214</v>
      </c>
    </row>
    <row r="70" spans="1:11" ht="18.75" customHeight="1" x14ac:dyDescent="0.25">
      <c r="A70" s="13">
        <v>65</v>
      </c>
      <c r="B70" s="14"/>
      <c r="C70" s="125" t="s">
        <v>1101</v>
      </c>
      <c r="D70" s="14">
        <v>46305</v>
      </c>
      <c r="E70" s="124">
        <v>1</v>
      </c>
      <c r="F70" s="124"/>
      <c r="G70" s="124"/>
      <c r="H70" s="124">
        <v>1</v>
      </c>
      <c r="I70" s="124"/>
      <c r="J70" s="124">
        <v>350000</v>
      </c>
      <c r="K70" s="18" t="s">
        <v>1089</v>
      </c>
    </row>
    <row r="71" spans="1:11" ht="18.75" customHeight="1" x14ac:dyDescent="0.25">
      <c r="A71" s="13">
        <v>66</v>
      </c>
      <c r="B71" s="14"/>
      <c r="C71" s="125" t="s">
        <v>1102</v>
      </c>
      <c r="D71" s="14">
        <v>46283</v>
      </c>
      <c r="E71" s="124"/>
      <c r="F71" s="124"/>
      <c r="G71" s="124">
        <v>50</v>
      </c>
      <c r="H71" s="124"/>
      <c r="I71" s="124"/>
      <c r="J71" s="124">
        <v>100000</v>
      </c>
      <c r="K71" s="18" t="s">
        <v>713</v>
      </c>
    </row>
    <row r="72" spans="1:11" ht="18.75" customHeight="1" x14ac:dyDescent="0.25">
      <c r="A72" s="13">
        <v>67</v>
      </c>
      <c r="B72" s="14"/>
      <c r="C72" s="125" t="s">
        <v>1103</v>
      </c>
      <c r="D72" s="14">
        <v>46284</v>
      </c>
      <c r="E72" s="124"/>
      <c r="F72" s="124"/>
      <c r="G72" s="124">
        <v>50</v>
      </c>
      <c r="H72" s="124"/>
      <c r="I72" s="124"/>
      <c r="J72" s="124">
        <v>100000</v>
      </c>
      <c r="K72" s="18" t="s">
        <v>716</v>
      </c>
    </row>
    <row r="73" spans="1:11" ht="18.75" customHeight="1" x14ac:dyDescent="0.25">
      <c r="A73" s="13">
        <v>68</v>
      </c>
      <c r="B73" s="14"/>
      <c r="C73" s="125" t="s">
        <v>1104</v>
      </c>
      <c r="D73" s="14">
        <v>46299</v>
      </c>
      <c r="E73" s="124">
        <v>1</v>
      </c>
      <c r="F73" s="124"/>
      <c r="G73" s="124"/>
      <c r="H73" s="124"/>
      <c r="I73" s="124"/>
      <c r="J73" s="124">
        <v>250000</v>
      </c>
      <c r="K73" s="18" t="s">
        <v>214</v>
      </c>
    </row>
    <row r="74" spans="1:11" ht="18.75" customHeight="1" x14ac:dyDescent="0.25">
      <c r="A74" s="13">
        <v>69</v>
      </c>
      <c r="B74" s="14"/>
      <c r="C74" s="125" t="s">
        <v>1105</v>
      </c>
      <c r="D74" s="14">
        <v>46292</v>
      </c>
      <c r="E74" s="124"/>
      <c r="F74" s="124"/>
      <c r="G74" s="124">
        <v>50</v>
      </c>
      <c r="H74" s="124"/>
      <c r="I74" s="124"/>
      <c r="J74" s="124">
        <v>100000</v>
      </c>
      <c r="K74" s="18" t="s">
        <v>480</v>
      </c>
    </row>
    <row r="75" spans="1:11" ht="18.75" customHeight="1" x14ac:dyDescent="0.25">
      <c r="A75" s="13">
        <v>70</v>
      </c>
      <c r="B75" s="14"/>
      <c r="C75" s="125"/>
      <c r="D75" s="14"/>
      <c r="E75" s="124">
        <v>1</v>
      </c>
      <c r="F75" s="124"/>
      <c r="G75" s="124"/>
      <c r="H75" s="124"/>
      <c r="I75" s="124"/>
      <c r="J75" s="124">
        <v>250000</v>
      </c>
      <c r="K75" s="18"/>
    </row>
    <row r="76" spans="1:11" ht="18.75" customHeight="1" x14ac:dyDescent="0.25">
      <c r="A76" s="13">
        <v>71</v>
      </c>
      <c r="B76" s="14"/>
      <c r="C76" s="125" t="s">
        <v>1162</v>
      </c>
      <c r="D76" s="14"/>
      <c r="E76" s="124"/>
      <c r="F76" s="124"/>
      <c r="G76" s="124"/>
      <c r="H76" s="124"/>
      <c r="I76" s="124" t="s">
        <v>1163</v>
      </c>
      <c r="J76" s="124">
        <v>250000</v>
      </c>
      <c r="K76" s="18"/>
    </row>
    <row r="77" spans="1:11" ht="18.75" customHeight="1" x14ac:dyDescent="0.25">
      <c r="A77" s="13">
        <v>72</v>
      </c>
      <c r="B77" s="14">
        <v>46282</v>
      </c>
      <c r="C77" s="125" t="s">
        <v>1106</v>
      </c>
      <c r="D77" s="14">
        <v>46284</v>
      </c>
      <c r="E77" s="124"/>
      <c r="F77" s="124"/>
      <c r="G77" s="124">
        <v>100</v>
      </c>
      <c r="H77" s="124"/>
      <c r="I77" s="124"/>
      <c r="J77" s="124">
        <v>200000</v>
      </c>
      <c r="K77" s="18" t="s">
        <v>901</v>
      </c>
    </row>
    <row r="78" spans="1:11" ht="18.75" customHeight="1" x14ac:dyDescent="0.25">
      <c r="A78" s="13">
        <v>73</v>
      </c>
      <c r="B78" s="14"/>
      <c r="C78" s="125" t="s">
        <v>1107</v>
      </c>
      <c r="D78" s="14">
        <v>46289</v>
      </c>
      <c r="E78" s="124">
        <v>1</v>
      </c>
      <c r="F78" s="124"/>
      <c r="G78" s="124"/>
      <c r="H78" s="124"/>
      <c r="I78" s="124"/>
      <c r="J78" s="124">
        <v>250000</v>
      </c>
      <c r="K78" s="18" t="s">
        <v>214</v>
      </c>
    </row>
    <row r="79" spans="1:11" ht="18.75" customHeight="1" x14ac:dyDescent="0.25">
      <c r="A79" s="13">
        <v>74</v>
      </c>
      <c r="B79" s="14"/>
      <c r="C79" s="125" t="s">
        <v>1108</v>
      </c>
      <c r="D79" s="14" t="s">
        <v>1109</v>
      </c>
      <c r="E79" s="124"/>
      <c r="F79" s="124"/>
      <c r="G79" s="124">
        <v>50</v>
      </c>
      <c r="H79" s="124"/>
      <c r="I79" s="124"/>
      <c r="J79" s="124">
        <v>100000</v>
      </c>
      <c r="K79" s="18" t="s">
        <v>226</v>
      </c>
    </row>
    <row r="80" spans="1:11" ht="18.75" customHeight="1" x14ac:dyDescent="0.25">
      <c r="A80" s="13">
        <v>75</v>
      </c>
      <c r="B80" s="14"/>
      <c r="C80" s="125" t="s">
        <v>1110</v>
      </c>
      <c r="D80" s="14">
        <v>46284</v>
      </c>
      <c r="E80" s="124">
        <v>1</v>
      </c>
      <c r="F80" s="124"/>
      <c r="G80" s="124"/>
      <c r="H80" s="124"/>
      <c r="I80" s="124"/>
      <c r="J80" s="124">
        <v>250000</v>
      </c>
      <c r="K80" s="18" t="s">
        <v>205</v>
      </c>
    </row>
    <row r="81" spans="1:11" ht="18.75" customHeight="1" x14ac:dyDescent="0.25">
      <c r="A81" s="13">
        <v>76</v>
      </c>
      <c r="B81" s="14"/>
      <c r="C81" s="125" t="s">
        <v>1111</v>
      </c>
      <c r="D81" s="14">
        <v>46289</v>
      </c>
      <c r="E81" s="124">
        <v>1</v>
      </c>
      <c r="F81" s="124"/>
      <c r="G81" s="124"/>
      <c r="H81" s="124"/>
      <c r="I81" s="124"/>
      <c r="J81" s="124">
        <v>250000</v>
      </c>
      <c r="K81" s="18" t="s">
        <v>197</v>
      </c>
    </row>
    <row r="82" spans="1:11" ht="18.75" customHeight="1" x14ac:dyDescent="0.25">
      <c r="A82" s="13">
        <v>77</v>
      </c>
      <c r="B82" s="14">
        <v>46283</v>
      </c>
      <c r="C82" s="125" t="s">
        <v>1112</v>
      </c>
      <c r="D82" s="14">
        <v>46284</v>
      </c>
      <c r="E82" s="124"/>
      <c r="F82" s="124"/>
      <c r="G82" s="124">
        <v>100</v>
      </c>
      <c r="H82" s="124"/>
      <c r="I82" s="124"/>
      <c r="J82" s="124">
        <v>200000</v>
      </c>
      <c r="K82" s="18" t="s">
        <v>203</v>
      </c>
    </row>
    <row r="83" spans="1:11" ht="18.75" customHeight="1" x14ac:dyDescent="0.25">
      <c r="A83" s="13">
        <v>78</v>
      </c>
      <c r="B83" s="14"/>
      <c r="C83" s="125" t="s">
        <v>1113</v>
      </c>
      <c r="D83" s="14">
        <v>46285</v>
      </c>
      <c r="E83" s="124"/>
      <c r="F83" s="124"/>
      <c r="G83" s="124">
        <v>50</v>
      </c>
      <c r="H83" s="124"/>
      <c r="I83" s="124"/>
      <c r="J83" s="124">
        <v>100000</v>
      </c>
      <c r="K83" s="18"/>
    </row>
    <row r="84" spans="1:11" ht="18.75" customHeight="1" x14ac:dyDescent="0.25">
      <c r="A84" s="13">
        <v>79</v>
      </c>
      <c r="B84" s="14"/>
      <c r="C84" s="125" t="s">
        <v>961</v>
      </c>
      <c r="D84" s="14">
        <v>46284</v>
      </c>
      <c r="E84" s="124"/>
      <c r="F84" s="124"/>
      <c r="G84" s="124"/>
      <c r="H84" s="124">
        <v>1</v>
      </c>
      <c r="I84" s="124"/>
      <c r="J84" s="124">
        <v>100000</v>
      </c>
      <c r="K84" s="18"/>
    </row>
    <row r="85" spans="1:11" ht="18.75" customHeight="1" x14ac:dyDescent="0.25">
      <c r="A85" s="13">
        <v>80</v>
      </c>
      <c r="B85" s="14">
        <v>46284</v>
      </c>
      <c r="C85" s="125" t="s">
        <v>1114</v>
      </c>
      <c r="D85" s="14">
        <v>46287</v>
      </c>
      <c r="E85" s="124">
        <v>1</v>
      </c>
      <c r="F85" s="124"/>
      <c r="G85" s="124"/>
      <c r="H85" s="124"/>
      <c r="I85" s="124"/>
      <c r="J85" s="124">
        <v>250000</v>
      </c>
      <c r="K85" s="18" t="s">
        <v>214</v>
      </c>
    </row>
    <row r="86" spans="1:11" ht="18.75" customHeight="1" x14ac:dyDescent="0.25">
      <c r="A86" s="13">
        <v>81</v>
      </c>
      <c r="B86" s="14"/>
      <c r="C86" s="125" t="s">
        <v>1000</v>
      </c>
      <c r="D86" s="14">
        <v>46284</v>
      </c>
      <c r="E86" s="124"/>
      <c r="F86" s="124"/>
      <c r="G86" s="124"/>
      <c r="H86" s="124">
        <v>1</v>
      </c>
      <c r="I86" s="124"/>
      <c r="J86" s="124">
        <v>100000</v>
      </c>
      <c r="K86" s="18"/>
    </row>
    <row r="87" spans="1:11" ht="18.75" customHeight="1" x14ac:dyDescent="0.25">
      <c r="A87" s="13">
        <v>82</v>
      </c>
      <c r="B87" s="14"/>
      <c r="C87" s="125" t="s">
        <v>1115</v>
      </c>
      <c r="D87" s="14">
        <v>46285</v>
      </c>
      <c r="E87" s="124"/>
      <c r="F87" s="124"/>
      <c r="G87" s="124">
        <v>50</v>
      </c>
      <c r="H87" s="124"/>
      <c r="I87" s="124"/>
      <c r="J87" s="124">
        <v>100000</v>
      </c>
      <c r="K87" s="18" t="s">
        <v>713</v>
      </c>
    </row>
    <row r="88" spans="1:11" ht="18.75" customHeight="1" x14ac:dyDescent="0.25">
      <c r="A88" s="13">
        <v>83</v>
      </c>
      <c r="B88" s="14"/>
      <c r="C88" s="125"/>
      <c r="D88" s="14"/>
      <c r="E88" s="124"/>
      <c r="F88" s="124"/>
      <c r="G88" s="124">
        <v>50</v>
      </c>
      <c r="H88" s="124"/>
      <c r="I88" s="124"/>
      <c r="J88" s="124">
        <v>100000</v>
      </c>
      <c r="K88" s="18"/>
    </row>
    <row r="89" spans="1:11" ht="18.75" customHeight="1" x14ac:dyDescent="0.25">
      <c r="A89" s="13">
        <v>84</v>
      </c>
      <c r="B89" s="14">
        <v>46285</v>
      </c>
      <c r="C89" s="125" t="s">
        <v>1116</v>
      </c>
      <c r="D89" s="14">
        <v>46292</v>
      </c>
      <c r="E89" s="124"/>
      <c r="F89" s="124"/>
      <c r="G89" s="124">
        <v>50</v>
      </c>
      <c r="H89" s="124"/>
      <c r="I89" s="124"/>
      <c r="J89" s="124">
        <v>100000</v>
      </c>
      <c r="K89" s="18" t="s">
        <v>461</v>
      </c>
    </row>
    <row r="90" spans="1:11" ht="18.75" customHeight="1" x14ac:dyDescent="0.25">
      <c r="A90" s="13">
        <v>85</v>
      </c>
      <c r="B90" s="14"/>
      <c r="C90" s="125" t="s">
        <v>1117</v>
      </c>
      <c r="D90" s="14">
        <v>46291</v>
      </c>
      <c r="E90" s="124"/>
      <c r="F90" s="124"/>
      <c r="G90" s="124">
        <v>70</v>
      </c>
      <c r="H90" s="124"/>
      <c r="I90" s="124"/>
      <c r="J90" s="124">
        <v>140000</v>
      </c>
      <c r="K90" s="18" t="s">
        <v>226</v>
      </c>
    </row>
    <row r="91" spans="1:11" ht="18.75" customHeight="1" x14ac:dyDescent="0.25">
      <c r="A91" s="13">
        <v>86</v>
      </c>
      <c r="B91" s="14"/>
      <c r="C91" s="125" t="s">
        <v>1118</v>
      </c>
      <c r="D91" s="14">
        <v>46306</v>
      </c>
      <c r="E91" s="124"/>
      <c r="F91" s="124"/>
      <c r="G91" s="124">
        <v>100</v>
      </c>
      <c r="H91" s="124"/>
      <c r="I91" s="124"/>
      <c r="J91" s="124">
        <v>200000</v>
      </c>
      <c r="K91" s="18" t="s">
        <v>791</v>
      </c>
    </row>
    <row r="92" spans="1:11" ht="18.75" customHeight="1" x14ac:dyDescent="0.25">
      <c r="A92" s="13">
        <v>87</v>
      </c>
      <c r="B92" s="14"/>
      <c r="C92" s="125" t="s">
        <v>1119</v>
      </c>
      <c r="D92" s="14">
        <v>46320</v>
      </c>
      <c r="E92" s="124">
        <v>1</v>
      </c>
      <c r="F92" s="124"/>
      <c r="G92" s="124"/>
      <c r="H92" s="124"/>
      <c r="I92" s="124"/>
      <c r="J92" s="124">
        <v>250000</v>
      </c>
      <c r="K92" s="18" t="s">
        <v>197</v>
      </c>
    </row>
    <row r="93" spans="1:11" ht="18.75" customHeight="1" x14ac:dyDescent="0.25">
      <c r="A93" s="13">
        <v>88</v>
      </c>
      <c r="B93" s="14"/>
      <c r="C93" s="125"/>
      <c r="D93" s="14"/>
      <c r="E93" s="124"/>
      <c r="F93" s="124"/>
      <c r="G93" s="124">
        <v>100</v>
      </c>
      <c r="H93" s="124"/>
      <c r="I93" s="124"/>
      <c r="J93" s="124">
        <v>200000</v>
      </c>
      <c r="K93" s="18"/>
    </row>
    <row r="94" spans="1:11" ht="18.75" customHeight="1" x14ac:dyDescent="0.25">
      <c r="A94" s="13">
        <v>89</v>
      </c>
      <c r="B94" s="14">
        <v>46287</v>
      </c>
      <c r="C94" s="125" t="s">
        <v>1120</v>
      </c>
      <c r="D94" s="14">
        <v>46334</v>
      </c>
      <c r="E94" s="124">
        <v>2</v>
      </c>
      <c r="F94" s="124"/>
      <c r="G94" s="124"/>
      <c r="H94" s="124"/>
      <c r="I94" s="124"/>
      <c r="J94" s="124">
        <v>500000</v>
      </c>
      <c r="K94" s="18" t="s">
        <v>186</v>
      </c>
    </row>
    <row r="95" spans="1:11" ht="18.75" customHeight="1" x14ac:dyDescent="0.25">
      <c r="A95" s="13">
        <v>90</v>
      </c>
      <c r="B95" s="14"/>
      <c r="C95" s="125" t="s">
        <v>1121</v>
      </c>
      <c r="D95" s="14">
        <v>46327</v>
      </c>
      <c r="E95" s="124">
        <v>1</v>
      </c>
      <c r="F95" s="124"/>
      <c r="G95" s="124"/>
      <c r="H95" s="124"/>
      <c r="I95" s="124"/>
      <c r="J95" s="124">
        <v>250000</v>
      </c>
      <c r="K95" s="18" t="s">
        <v>214</v>
      </c>
    </row>
    <row r="96" spans="1:11" ht="18.75" customHeight="1" x14ac:dyDescent="0.25">
      <c r="A96" s="13">
        <v>91</v>
      </c>
      <c r="B96" s="14"/>
      <c r="C96" s="125" t="s">
        <v>1122</v>
      </c>
      <c r="D96" s="14">
        <v>46333</v>
      </c>
      <c r="E96" s="124">
        <v>1</v>
      </c>
      <c r="F96" s="124"/>
      <c r="G96" s="124">
        <v>250</v>
      </c>
      <c r="H96" s="124">
        <v>1</v>
      </c>
      <c r="I96" s="124"/>
      <c r="J96" s="124">
        <v>850000</v>
      </c>
      <c r="K96" s="18" t="s">
        <v>1123</v>
      </c>
    </row>
    <row r="97" spans="1:11" ht="18.75" customHeight="1" x14ac:dyDescent="0.25">
      <c r="A97" s="13">
        <v>92</v>
      </c>
      <c r="B97" s="14"/>
      <c r="C97" s="125" t="s">
        <v>1124</v>
      </c>
      <c r="D97" s="14">
        <v>46289</v>
      </c>
      <c r="E97" s="124">
        <v>1</v>
      </c>
      <c r="F97" s="124"/>
      <c r="G97" s="124"/>
      <c r="H97" s="124"/>
      <c r="I97" s="124"/>
      <c r="J97" s="124">
        <v>250000</v>
      </c>
      <c r="K97" s="18" t="s">
        <v>41</v>
      </c>
    </row>
    <row r="98" spans="1:11" ht="18.75" customHeight="1" x14ac:dyDescent="0.25">
      <c r="A98" s="13">
        <v>93</v>
      </c>
      <c r="B98" s="14"/>
      <c r="C98" s="125" t="s">
        <v>1125</v>
      </c>
      <c r="D98" s="14">
        <v>46306</v>
      </c>
      <c r="E98" s="124"/>
      <c r="F98" s="124"/>
      <c r="G98" s="124">
        <v>100</v>
      </c>
      <c r="H98" s="124"/>
      <c r="I98" s="124"/>
      <c r="J98" s="124">
        <v>200000</v>
      </c>
      <c r="K98" s="18" t="s">
        <v>220</v>
      </c>
    </row>
    <row r="99" spans="1:11" ht="18.75" customHeight="1" x14ac:dyDescent="0.25">
      <c r="A99" s="13">
        <v>94</v>
      </c>
      <c r="B99" s="14"/>
      <c r="C99" s="125" t="s">
        <v>1126</v>
      </c>
      <c r="D99" s="14">
        <v>46322</v>
      </c>
      <c r="E99" s="124"/>
      <c r="F99" s="124"/>
      <c r="G99" s="124">
        <v>100</v>
      </c>
      <c r="H99" s="124"/>
      <c r="I99" s="124"/>
      <c r="J99" s="124">
        <v>200000</v>
      </c>
      <c r="K99" s="18" t="s">
        <v>220</v>
      </c>
    </row>
    <row r="100" spans="1:11" ht="18.75" customHeight="1" x14ac:dyDescent="0.25">
      <c r="A100" s="13">
        <v>95</v>
      </c>
      <c r="B100" s="14"/>
      <c r="C100" s="125" t="s">
        <v>429</v>
      </c>
      <c r="D100" s="14">
        <v>46326</v>
      </c>
      <c r="E100" s="124">
        <v>1</v>
      </c>
      <c r="F100" s="124"/>
      <c r="G100" s="124"/>
      <c r="H100" s="124"/>
      <c r="I100" s="124"/>
      <c r="J100" s="124">
        <v>250000</v>
      </c>
      <c r="K100" s="18" t="s">
        <v>214</v>
      </c>
    </row>
    <row r="101" spans="1:11" ht="18.75" customHeight="1" x14ac:dyDescent="0.25">
      <c r="A101" s="13">
        <v>96</v>
      </c>
      <c r="B101" s="14"/>
      <c r="C101" s="125" t="s">
        <v>1127</v>
      </c>
      <c r="D101" s="14">
        <v>46290</v>
      </c>
      <c r="E101" s="124"/>
      <c r="F101" s="124"/>
      <c r="G101" s="124">
        <v>300</v>
      </c>
      <c r="H101" s="124"/>
      <c r="I101" s="124"/>
      <c r="J101" s="124">
        <v>600000</v>
      </c>
      <c r="K101" s="18" t="s">
        <v>220</v>
      </c>
    </row>
    <row r="102" spans="1:11" ht="18.75" customHeight="1" x14ac:dyDescent="0.25">
      <c r="A102" s="13">
        <v>97</v>
      </c>
      <c r="B102" s="14">
        <v>46288</v>
      </c>
      <c r="C102" s="125" t="s">
        <v>1128</v>
      </c>
      <c r="D102" s="14">
        <v>46306</v>
      </c>
      <c r="E102" s="124"/>
      <c r="F102" s="124"/>
      <c r="G102" s="124">
        <v>100</v>
      </c>
      <c r="H102" s="124"/>
      <c r="I102" s="124"/>
      <c r="J102" s="124">
        <v>200000</v>
      </c>
      <c r="K102" s="18" t="s">
        <v>461</v>
      </c>
    </row>
    <row r="103" spans="1:11" ht="18.75" customHeight="1" x14ac:dyDescent="0.25">
      <c r="A103" s="13">
        <v>98</v>
      </c>
      <c r="B103" s="14"/>
      <c r="C103" s="125" t="s">
        <v>1129</v>
      </c>
      <c r="D103" s="14">
        <v>46294</v>
      </c>
      <c r="E103" s="124">
        <v>1</v>
      </c>
      <c r="F103" s="124"/>
      <c r="G103" s="124"/>
      <c r="H103" s="124"/>
      <c r="I103" s="124"/>
      <c r="J103" s="124">
        <v>250000</v>
      </c>
      <c r="K103" s="18" t="s">
        <v>205</v>
      </c>
    </row>
    <row r="104" spans="1:11" ht="18.75" customHeight="1" x14ac:dyDescent="0.25">
      <c r="A104" s="13">
        <v>99</v>
      </c>
      <c r="B104" s="14"/>
      <c r="C104" s="125" t="s">
        <v>1130</v>
      </c>
      <c r="D104" s="14">
        <v>46288</v>
      </c>
      <c r="E104" s="124">
        <v>2</v>
      </c>
      <c r="F104" s="124"/>
      <c r="G104" s="124"/>
      <c r="H104" s="124"/>
      <c r="I104" s="124"/>
      <c r="J104" s="124">
        <v>500000</v>
      </c>
      <c r="K104" s="18" t="s">
        <v>186</v>
      </c>
    </row>
    <row r="105" spans="1:11" ht="18.75" customHeight="1" x14ac:dyDescent="0.25">
      <c r="A105" s="13">
        <v>100</v>
      </c>
      <c r="B105" s="14"/>
      <c r="C105" s="125" t="s">
        <v>1131</v>
      </c>
      <c r="D105" s="14">
        <v>46288</v>
      </c>
      <c r="E105" s="124">
        <v>1</v>
      </c>
      <c r="F105" s="124"/>
      <c r="G105" s="124"/>
      <c r="H105" s="124"/>
      <c r="I105" s="124"/>
      <c r="J105" s="124">
        <v>250000</v>
      </c>
      <c r="K105" s="18" t="s">
        <v>205</v>
      </c>
    </row>
    <row r="106" spans="1:11" ht="18.75" customHeight="1" x14ac:dyDescent="0.25">
      <c r="A106" s="13">
        <v>101</v>
      </c>
      <c r="B106" s="14"/>
      <c r="C106" s="125" t="s">
        <v>1132</v>
      </c>
      <c r="D106" s="14">
        <v>46292</v>
      </c>
      <c r="E106" s="124"/>
      <c r="F106" s="124"/>
      <c r="G106" s="124">
        <v>200</v>
      </c>
      <c r="H106" s="124"/>
      <c r="I106" s="124"/>
      <c r="J106" s="124">
        <v>400000</v>
      </c>
      <c r="K106" s="18" t="s">
        <v>1133</v>
      </c>
    </row>
    <row r="107" spans="1:11" ht="18.75" customHeight="1" x14ac:dyDescent="0.25">
      <c r="A107" s="13">
        <v>102</v>
      </c>
      <c r="B107" s="14"/>
      <c r="C107" s="125" t="s">
        <v>1134</v>
      </c>
      <c r="D107" s="14">
        <v>46291</v>
      </c>
      <c r="E107" s="124"/>
      <c r="F107" s="124"/>
      <c r="G107" s="124">
        <v>9000</v>
      </c>
      <c r="H107" s="124">
        <v>2</v>
      </c>
      <c r="I107" s="124" t="s">
        <v>1164</v>
      </c>
      <c r="J107" s="124">
        <v>20000000</v>
      </c>
      <c r="K107" s="18" t="s">
        <v>1135</v>
      </c>
    </row>
    <row r="108" spans="1:11" ht="18.75" customHeight="1" x14ac:dyDescent="0.25">
      <c r="A108" s="13">
        <v>103</v>
      </c>
      <c r="B108" s="14">
        <v>46289</v>
      </c>
      <c r="C108" s="125" t="s">
        <v>1136</v>
      </c>
      <c r="D108" s="14">
        <v>46291</v>
      </c>
      <c r="E108" s="124"/>
      <c r="F108" s="124"/>
      <c r="G108" s="124">
        <v>3500</v>
      </c>
      <c r="H108" s="124"/>
      <c r="I108" s="124"/>
      <c r="J108" s="124">
        <v>7000000</v>
      </c>
      <c r="K108" s="18" t="s">
        <v>1137</v>
      </c>
    </row>
    <row r="109" spans="1:11" ht="18.75" customHeight="1" x14ac:dyDescent="0.25">
      <c r="A109" s="13">
        <v>104</v>
      </c>
      <c r="B109" s="14"/>
      <c r="C109" s="125" t="s">
        <v>1138</v>
      </c>
      <c r="D109" s="14">
        <v>46326</v>
      </c>
      <c r="E109" s="124">
        <v>2</v>
      </c>
      <c r="F109" s="124"/>
      <c r="G109" s="124"/>
      <c r="H109" s="124"/>
      <c r="I109" s="124"/>
      <c r="J109" s="124">
        <v>500000</v>
      </c>
      <c r="K109" s="18" t="s">
        <v>186</v>
      </c>
    </row>
    <row r="110" spans="1:11" ht="18.75" customHeight="1" x14ac:dyDescent="0.25">
      <c r="A110" s="13">
        <v>105</v>
      </c>
      <c r="B110" s="14"/>
      <c r="C110" s="125" t="s">
        <v>1138</v>
      </c>
      <c r="D110" s="14">
        <v>46326</v>
      </c>
      <c r="E110" s="124">
        <v>1</v>
      </c>
      <c r="F110" s="124"/>
      <c r="G110" s="124"/>
      <c r="H110" s="124"/>
      <c r="I110" s="124"/>
      <c r="J110" s="124">
        <v>250000</v>
      </c>
      <c r="K110" s="18" t="s">
        <v>197</v>
      </c>
    </row>
    <row r="111" spans="1:11" ht="18.75" customHeight="1" x14ac:dyDescent="0.25">
      <c r="A111" s="13">
        <v>106</v>
      </c>
      <c r="B111" s="14"/>
      <c r="C111" s="125" t="s">
        <v>1139</v>
      </c>
      <c r="D111" s="14">
        <v>46294</v>
      </c>
      <c r="E111" s="124">
        <v>1</v>
      </c>
      <c r="F111" s="124"/>
      <c r="G111" s="124"/>
      <c r="H111" s="124">
        <v>1</v>
      </c>
      <c r="I111" s="124"/>
      <c r="J111" s="124">
        <v>350000</v>
      </c>
      <c r="K111" s="18" t="s">
        <v>1089</v>
      </c>
    </row>
    <row r="112" spans="1:11" ht="18.75" customHeight="1" x14ac:dyDescent="0.25">
      <c r="A112" s="13">
        <v>107</v>
      </c>
      <c r="B112" s="14"/>
      <c r="C112" s="125" t="s">
        <v>1140</v>
      </c>
      <c r="D112" s="14">
        <v>46292</v>
      </c>
      <c r="E112" s="124">
        <v>1</v>
      </c>
      <c r="F112" s="124"/>
      <c r="G112" s="124"/>
      <c r="H112" s="124"/>
      <c r="I112" s="124"/>
      <c r="J112" s="124">
        <v>250000</v>
      </c>
      <c r="K112" s="18" t="s">
        <v>214</v>
      </c>
    </row>
    <row r="113" spans="1:11" ht="18.75" customHeight="1" x14ac:dyDescent="0.25">
      <c r="A113" s="13">
        <v>108</v>
      </c>
      <c r="B113" s="14">
        <v>46290</v>
      </c>
      <c r="C113" s="125" t="s">
        <v>1141</v>
      </c>
      <c r="D113" s="14">
        <v>46292</v>
      </c>
      <c r="E113" s="124"/>
      <c r="F113" s="124"/>
      <c r="G113" s="124">
        <v>50</v>
      </c>
      <c r="H113" s="124"/>
      <c r="I113" s="124"/>
      <c r="J113" s="124">
        <v>100000</v>
      </c>
      <c r="K113" s="18" t="s">
        <v>716</v>
      </c>
    </row>
    <row r="114" spans="1:11" ht="18.75" customHeight="1" x14ac:dyDescent="0.25">
      <c r="A114" s="13">
        <v>109</v>
      </c>
      <c r="B114" s="14"/>
      <c r="C114" s="141" t="s">
        <v>1142</v>
      </c>
      <c r="D114" s="14">
        <v>46313</v>
      </c>
      <c r="E114" s="124"/>
      <c r="F114" s="124"/>
      <c r="G114" s="124">
        <v>100</v>
      </c>
      <c r="H114" s="124"/>
      <c r="I114" s="124"/>
      <c r="J114" s="124">
        <v>200000</v>
      </c>
      <c r="K114" s="18" t="s">
        <v>461</v>
      </c>
    </row>
    <row r="115" spans="1:11" ht="18.75" customHeight="1" x14ac:dyDescent="0.25">
      <c r="A115" s="13">
        <v>110</v>
      </c>
      <c r="B115" s="14"/>
      <c r="C115" s="125" t="s">
        <v>1143</v>
      </c>
      <c r="D115" s="14">
        <v>46298</v>
      </c>
      <c r="E115" s="124"/>
      <c r="F115" s="124"/>
      <c r="G115" s="124">
        <v>100</v>
      </c>
      <c r="H115" s="124"/>
      <c r="I115" s="124"/>
      <c r="J115" s="124">
        <v>200000</v>
      </c>
      <c r="K115" s="18" t="s">
        <v>771</v>
      </c>
    </row>
    <row r="116" spans="1:11" ht="18.75" customHeight="1" x14ac:dyDescent="0.25">
      <c r="A116" s="13">
        <v>111</v>
      </c>
      <c r="B116" s="14"/>
      <c r="C116" s="125" t="s">
        <v>1144</v>
      </c>
      <c r="D116" s="14">
        <v>46292</v>
      </c>
      <c r="E116" s="124"/>
      <c r="F116" s="124"/>
      <c r="G116" s="124">
        <v>50</v>
      </c>
      <c r="H116" s="124"/>
      <c r="I116" s="124"/>
      <c r="J116" s="124">
        <v>100000</v>
      </c>
      <c r="K116" s="18" t="s">
        <v>901</v>
      </c>
    </row>
    <row r="117" spans="1:11" ht="18.75" customHeight="1" x14ac:dyDescent="0.25">
      <c r="A117" s="13">
        <v>112</v>
      </c>
      <c r="B117" s="14"/>
      <c r="C117" s="125" t="s">
        <v>1145</v>
      </c>
      <c r="D117" s="14">
        <v>46290</v>
      </c>
      <c r="E117" s="124"/>
      <c r="F117" s="124"/>
      <c r="G117" s="124"/>
      <c r="H117" s="124">
        <v>1</v>
      </c>
      <c r="I117" s="124"/>
      <c r="J117" s="124">
        <v>100000</v>
      </c>
      <c r="K117" s="18" t="s">
        <v>8</v>
      </c>
    </row>
    <row r="118" spans="1:11" ht="18.75" customHeight="1" x14ac:dyDescent="0.25">
      <c r="A118" s="13">
        <v>113</v>
      </c>
      <c r="B118" s="14"/>
      <c r="C118" s="125" t="s">
        <v>1146</v>
      </c>
      <c r="D118" s="14">
        <v>46299</v>
      </c>
      <c r="E118" s="124">
        <v>1</v>
      </c>
      <c r="F118" s="124"/>
      <c r="G118" s="124"/>
      <c r="H118" s="124"/>
      <c r="I118" s="124"/>
      <c r="J118" s="124">
        <v>250000</v>
      </c>
      <c r="K118" s="18" t="s">
        <v>205</v>
      </c>
    </row>
    <row r="119" spans="1:11" ht="18.75" customHeight="1" x14ac:dyDescent="0.25">
      <c r="A119" s="13">
        <v>114</v>
      </c>
      <c r="B119" s="14"/>
      <c r="C119" s="125" t="s">
        <v>1147</v>
      </c>
      <c r="D119" s="14">
        <v>46362</v>
      </c>
      <c r="E119" s="124">
        <v>1</v>
      </c>
      <c r="F119" s="124"/>
      <c r="G119" s="124"/>
      <c r="H119" s="124"/>
      <c r="I119" s="124"/>
      <c r="J119" s="124">
        <v>250000</v>
      </c>
      <c r="K119" s="18" t="s">
        <v>205</v>
      </c>
    </row>
    <row r="120" spans="1:11" ht="18.75" customHeight="1" x14ac:dyDescent="0.25">
      <c r="A120" s="13">
        <v>115</v>
      </c>
      <c r="B120" s="14">
        <v>46291</v>
      </c>
      <c r="C120" s="125" t="s">
        <v>1148</v>
      </c>
      <c r="D120" s="14">
        <v>46298</v>
      </c>
      <c r="E120" s="124">
        <v>1</v>
      </c>
      <c r="F120" s="124"/>
      <c r="G120" s="124"/>
      <c r="H120" s="124"/>
      <c r="I120" s="124"/>
      <c r="J120" s="124">
        <v>250000</v>
      </c>
      <c r="K120" s="18" t="s">
        <v>49</v>
      </c>
    </row>
    <row r="121" spans="1:11" ht="18.75" customHeight="1" x14ac:dyDescent="0.25">
      <c r="A121" s="13">
        <v>116</v>
      </c>
      <c r="B121" s="14"/>
      <c r="C121" s="125" t="s">
        <v>1149</v>
      </c>
      <c r="D121" s="14">
        <v>46315</v>
      </c>
      <c r="E121" s="124">
        <v>2</v>
      </c>
      <c r="F121" s="124"/>
      <c r="G121" s="124"/>
      <c r="H121" s="124"/>
      <c r="I121" s="124"/>
      <c r="J121" s="124">
        <v>500000</v>
      </c>
      <c r="K121" s="18" t="s">
        <v>186</v>
      </c>
    </row>
    <row r="122" spans="1:11" ht="18.75" customHeight="1" x14ac:dyDescent="0.25">
      <c r="A122" s="13">
        <v>117</v>
      </c>
      <c r="B122" s="14"/>
      <c r="C122" s="125" t="s">
        <v>1150</v>
      </c>
      <c r="D122" s="14">
        <v>46301</v>
      </c>
      <c r="E122" s="124">
        <v>1</v>
      </c>
      <c r="F122" s="124"/>
      <c r="G122" s="124"/>
      <c r="H122" s="124"/>
      <c r="I122" s="124"/>
      <c r="J122" s="124">
        <v>250000</v>
      </c>
      <c r="K122" s="18" t="s">
        <v>214</v>
      </c>
    </row>
    <row r="123" spans="1:11" ht="18.75" customHeight="1" x14ac:dyDescent="0.25">
      <c r="A123" s="13">
        <v>118</v>
      </c>
      <c r="B123" s="14"/>
      <c r="C123" s="125" t="s">
        <v>1041</v>
      </c>
      <c r="D123" s="14">
        <v>46291</v>
      </c>
      <c r="E123" s="124"/>
      <c r="F123" s="124"/>
      <c r="G123" s="124"/>
      <c r="H123" s="124">
        <v>1</v>
      </c>
      <c r="I123" s="124"/>
      <c r="J123" s="124">
        <v>100000</v>
      </c>
      <c r="K123" s="18" t="s">
        <v>8</v>
      </c>
    </row>
    <row r="124" spans="1:11" ht="18.75" customHeight="1" x14ac:dyDescent="0.25">
      <c r="A124" s="13">
        <v>119</v>
      </c>
      <c r="B124" s="14">
        <v>46292</v>
      </c>
      <c r="C124" s="125" t="s">
        <v>1151</v>
      </c>
      <c r="D124" s="14">
        <v>46302</v>
      </c>
      <c r="E124" s="124">
        <v>1</v>
      </c>
      <c r="F124" s="124"/>
      <c r="G124" s="124"/>
      <c r="H124" s="124"/>
      <c r="I124" s="124"/>
      <c r="J124" s="124">
        <v>250000</v>
      </c>
      <c r="K124" s="18" t="s">
        <v>214</v>
      </c>
    </row>
    <row r="125" spans="1:11" ht="18.75" customHeight="1" x14ac:dyDescent="0.25">
      <c r="A125" s="13">
        <v>120</v>
      </c>
      <c r="B125" s="14"/>
      <c r="C125" s="125" t="s">
        <v>1013</v>
      </c>
      <c r="D125" s="14">
        <v>46272</v>
      </c>
      <c r="E125" s="124"/>
      <c r="F125" s="124"/>
      <c r="G125" s="124"/>
      <c r="H125" s="124">
        <v>1</v>
      </c>
      <c r="I125" s="124"/>
      <c r="J125" s="124">
        <v>100000</v>
      </c>
      <c r="K125" s="18" t="s">
        <v>8</v>
      </c>
    </row>
    <row r="126" spans="1:11" ht="18.75" customHeight="1" x14ac:dyDescent="0.25">
      <c r="A126" s="13">
        <v>121</v>
      </c>
      <c r="B126" s="14"/>
      <c r="C126" s="125" t="s">
        <v>1152</v>
      </c>
      <c r="D126" s="14">
        <v>46313</v>
      </c>
      <c r="E126" s="124"/>
      <c r="F126" s="124"/>
      <c r="G126" s="124">
        <v>50</v>
      </c>
      <c r="H126" s="124"/>
      <c r="I126" s="124"/>
      <c r="J126" s="124">
        <v>100000</v>
      </c>
      <c r="K126" s="18" t="s">
        <v>713</v>
      </c>
    </row>
    <row r="127" spans="1:11" ht="18.75" customHeight="1" x14ac:dyDescent="0.25">
      <c r="A127" s="13">
        <v>122</v>
      </c>
      <c r="B127" s="14">
        <v>46293</v>
      </c>
      <c r="C127" s="125" t="s">
        <v>1153</v>
      </c>
      <c r="D127" s="14">
        <v>46305</v>
      </c>
      <c r="E127" s="124">
        <v>1</v>
      </c>
      <c r="F127" s="124"/>
      <c r="G127" s="124"/>
      <c r="H127" s="124"/>
      <c r="I127" s="124"/>
      <c r="J127" s="124">
        <v>250000</v>
      </c>
      <c r="K127" s="18" t="s">
        <v>49</v>
      </c>
    </row>
    <row r="128" spans="1:11" ht="18.75" customHeight="1" x14ac:dyDescent="0.25">
      <c r="A128" s="13">
        <v>123</v>
      </c>
      <c r="B128" s="14"/>
      <c r="C128" s="125" t="s">
        <v>1154</v>
      </c>
      <c r="D128" s="14">
        <v>46274</v>
      </c>
      <c r="E128" s="124">
        <v>2</v>
      </c>
      <c r="F128" s="124"/>
      <c r="G128" s="124"/>
      <c r="H128" s="124"/>
      <c r="I128" s="124"/>
      <c r="J128" s="124">
        <v>500000</v>
      </c>
      <c r="K128" s="18" t="s">
        <v>186</v>
      </c>
    </row>
    <row r="129" spans="1:11" ht="18.75" customHeight="1" x14ac:dyDescent="0.25">
      <c r="A129" s="13">
        <v>124</v>
      </c>
      <c r="B129" s="14"/>
      <c r="C129" s="125" t="s">
        <v>1155</v>
      </c>
      <c r="D129" s="14">
        <v>46312</v>
      </c>
      <c r="E129" s="124">
        <v>2</v>
      </c>
      <c r="F129" s="124"/>
      <c r="G129" s="124"/>
      <c r="H129" s="124"/>
      <c r="I129" s="124"/>
      <c r="J129" s="124">
        <v>500000</v>
      </c>
      <c r="K129" s="18" t="s">
        <v>186</v>
      </c>
    </row>
    <row r="130" spans="1:11" ht="18.75" customHeight="1" x14ac:dyDescent="0.25">
      <c r="A130" s="13">
        <v>125</v>
      </c>
      <c r="B130" s="14">
        <v>46294</v>
      </c>
      <c r="C130" s="125" t="s">
        <v>1156</v>
      </c>
      <c r="D130" s="14">
        <v>46299</v>
      </c>
      <c r="E130" s="124"/>
      <c r="F130" s="124"/>
      <c r="G130" s="124">
        <v>1000</v>
      </c>
      <c r="H130" s="124"/>
      <c r="I130" s="124"/>
      <c r="J130" s="124">
        <v>2000000</v>
      </c>
      <c r="K130" s="18" t="s">
        <v>697</v>
      </c>
    </row>
    <row r="131" spans="1:11" ht="18.75" customHeight="1" x14ac:dyDescent="0.25">
      <c r="A131" s="13">
        <v>126</v>
      </c>
      <c r="B131" s="14"/>
      <c r="C131" s="125" t="s">
        <v>1157</v>
      </c>
      <c r="D131" s="14">
        <v>46299</v>
      </c>
      <c r="E131" s="124"/>
      <c r="F131" s="124"/>
      <c r="G131" s="124">
        <v>50</v>
      </c>
      <c r="H131" s="124"/>
      <c r="I131" s="124"/>
      <c r="J131" s="124">
        <v>100000</v>
      </c>
      <c r="K131" s="18"/>
    </row>
    <row r="132" spans="1:11" ht="18.75" customHeight="1" x14ac:dyDescent="0.25">
      <c r="A132" s="13">
        <v>127</v>
      </c>
      <c r="B132" s="14"/>
      <c r="C132" s="125" t="s">
        <v>1158</v>
      </c>
      <c r="D132" s="14">
        <v>46305</v>
      </c>
      <c r="E132" s="124">
        <v>1</v>
      </c>
      <c r="F132" s="124"/>
      <c r="G132" s="124"/>
      <c r="H132" s="124"/>
      <c r="I132" s="124"/>
      <c r="J132" s="124">
        <v>250000</v>
      </c>
      <c r="K132" s="18" t="s">
        <v>205</v>
      </c>
    </row>
    <row r="133" spans="1:11" ht="18.75" customHeight="1" x14ac:dyDescent="0.25">
      <c r="A133" s="13">
        <v>128</v>
      </c>
      <c r="B133" s="14"/>
      <c r="C133" s="125" t="s">
        <v>1159</v>
      </c>
      <c r="D133" s="14">
        <v>46347</v>
      </c>
      <c r="E133" s="124">
        <v>1</v>
      </c>
      <c r="F133" s="124"/>
      <c r="G133" s="124"/>
      <c r="H133" s="124"/>
      <c r="I133" s="124"/>
      <c r="J133" s="124">
        <v>250000</v>
      </c>
      <c r="K133" s="18" t="s">
        <v>197</v>
      </c>
    </row>
    <row r="134" spans="1:11" ht="18.75" customHeight="1" x14ac:dyDescent="0.25">
      <c r="A134" s="13">
        <v>129</v>
      </c>
      <c r="B134" s="14">
        <v>46295</v>
      </c>
      <c r="C134" s="125" t="s">
        <v>1160</v>
      </c>
      <c r="D134" s="14">
        <v>46316</v>
      </c>
      <c r="E134" s="124">
        <v>1</v>
      </c>
      <c r="F134" s="124"/>
      <c r="G134" s="124"/>
      <c r="H134" s="124"/>
      <c r="I134" s="124"/>
      <c r="J134" s="124">
        <v>250000</v>
      </c>
      <c r="K134" s="18" t="s">
        <v>197</v>
      </c>
    </row>
    <row r="135" spans="1:11" ht="18.75" customHeight="1" x14ac:dyDescent="0.25">
      <c r="A135" s="13">
        <v>130</v>
      </c>
      <c r="B135" s="14"/>
      <c r="C135" s="125" t="s">
        <v>1161</v>
      </c>
      <c r="D135" s="14">
        <v>46303</v>
      </c>
      <c r="E135" s="124">
        <v>1</v>
      </c>
      <c r="F135" s="124"/>
      <c r="G135" s="124"/>
      <c r="H135" s="124"/>
      <c r="I135" s="124"/>
      <c r="J135" s="124">
        <v>250000</v>
      </c>
      <c r="K135" s="18" t="s">
        <v>214</v>
      </c>
    </row>
    <row r="136" spans="1:11" ht="20.25" customHeight="1" x14ac:dyDescent="0.25">
      <c r="A136" s="4"/>
      <c r="B136" s="30"/>
      <c r="C136" s="151" t="s">
        <v>12</v>
      </c>
      <c r="D136" s="151"/>
      <c r="E136" s="43">
        <f t="shared" ref="E136:J136" si="0">SUM(E6:E135)</f>
        <v>68</v>
      </c>
      <c r="F136" s="43">
        <f t="shared" si="0"/>
        <v>2</v>
      </c>
      <c r="G136" s="43">
        <f t="shared" si="0"/>
        <v>18655</v>
      </c>
      <c r="H136" s="43">
        <f t="shared" si="0"/>
        <v>18</v>
      </c>
      <c r="I136" s="43">
        <f t="shared" si="0"/>
        <v>0</v>
      </c>
      <c r="J136" s="43">
        <f t="shared" si="0"/>
        <v>61660000</v>
      </c>
      <c r="K136" s="30"/>
    </row>
    <row r="137" spans="1:11" ht="15.75" x14ac:dyDescent="0.25">
      <c r="A137" s="52"/>
      <c r="B137" s="24"/>
      <c r="C137" s="24"/>
      <c r="D137" s="24"/>
      <c r="E137" s="24"/>
      <c r="F137" s="24"/>
      <c r="G137" s="24"/>
      <c r="H137" s="24"/>
      <c r="I137" s="24"/>
      <c r="J137" s="24"/>
      <c r="K137" s="24"/>
    </row>
    <row r="138" spans="1:11" ht="15.75" customHeight="1" x14ac:dyDescent="0.25">
      <c r="H138" s="58"/>
      <c r="I138" s="149" t="s">
        <v>1165</v>
      </c>
      <c r="J138" s="149"/>
      <c r="K138" s="149"/>
    </row>
    <row r="139" spans="1:11" ht="15.75" customHeight="1" x14ac:dyDescent="0.25">
      <c r="H139" s="58"/>
      <c r="I139" s="57"/>
      <c r="J139" s="57"/>
      <c r="K139" s="57"/>
    </row>
    <row r="140" spans="1:11" ht="15.75" customHeight="1" x14ac:dyDescent="0.25">
      <c r="A140" s="148" t="s">
        <v>75</v>
      </c>
      <c r="B140" s="148"/>
      <c r="C140" s="148"/>
      <c r="D140" s="148"/>
      <c r="H140" s="58"/>
      <c r="I140" s="149"/>
      <c r="J140" s="149"/>
      <c r="K140" s="149"/>
    </row>
    <row r="141" spans="1:11" ht="15.75" customHeight="1" x14ac:dyDescent="0.25">
      <c r="A141" s="149" t="s">
        <v>76</v>
      </c>
      <c r="B141" s="149"/>
      <c r="C141" s="149"/>
      <c r="D141" s="149"/>
      <c r="H141" s="58"/>
      <c r="I141" s="149" t="s">
        <v>69</v>
      </c>
      <c r="J141" s="149"/>
      <c r="K141" s="149"/>
    </row>
    <row r="142" spans="1:11" ht="15.75" customHeight="1" x14ac:dyDescent="0.25">
      <c r="A142" s="149" t="s">
        <v>77</v>
      </c>
      <c r="B142" s="149"/>
      <c r="C142" s="149"/>
      <c r="D142" s="149"/>
      <c r="H142" s="55"/>
      <c r="I142" s="55"/>
      <c r="J142" s="56"/>
      <c r="K142" s="56"/>
    </row>
    <row r="143" spans="1:11" ht="15.75" customHeight="1" x14ac:dyDescent="0.25">
      <c r="A143" s="149" t="s">
        <v>65</v>
      </c>
      <c r="B143" s="149"/>
      <c r="C143" s="149"/>
      <c r="D143" s="149"/>
      <c r="H143" s="55"/>
      <c r="I143" s="58"/>
      <c r="J143" s="58"/>
      <c r="K143" s="58"/>
    </row>
    <row r="144" spans="1:11" ht="15.75" x14ac:dyDescent="0.25">
      <c r="A144" s="148" t="s">
        <v>66</v>
      </c>
      <c r="B144" s="148"/>
      <c r="C144" s="148"/>
      <c r="D144" s="148"/>
      <c r="H144" s="55"/>
      <c r="I144" s="149"/>
      <c r="J144" s="149"/>
      <c r="K144" s="149"/>
    </row>
    <row r="145" spans="1:11" ht="15.75" x14ac:dyDescent="0.25">
      <c r="A145" s="55"/>
      <c r="B145" s="56"/>
      <c r="C145" s="56"/>
      <c r="H145" s="58"/>
      <c r="I145" s="149"/>
      <c r="J145" s="149"/>
      <c r="K145" s="149"/>
    </row>
    <row r="146" spans="1:11" ht="15.75" x14ac:dyDescent="0.25">
      <c r="A146" s="58"/>
      <c r="B146" s="58"/>
      <c r="C146" s="58"/>
      <c r="E146" s="148"/>
      <c r="F146" s="148"/>
      <c r="G146" s="148"/>
      <c r="H146" s="148"/>
      <c r="I146" s="58"/>
      <c r="J146" s="58"/>
      <c r="K146" s="58"/>
    </row>
    <row r="147" spans="1:11" ht="15.75" customHeight="1" x14ac:dyDescent="0.25">
      <c r="A147" s="149" t="s">
        <v>67</v>
      </c>
      <c r="B147" s="149"/>
      <c r="C147" s="149"/>
      <c r="D147" s="149"/>
      <c r="E147" s="149"/>
      <c r="F147" s="149"/>
      <c r="G147" s="149"/>
      <c r="H147" s="149"/>
      <c r="I147" s="149" t="s">
        <v>70</v>
      </c>
      <c r="J147" s="149"/>
      <c r="K147" s="149"/>
    </row>
    <row r="148" spans="1:11" ht="15.75" customHeight="1" x14ac:dyDescent="0.25">
      <c r="A148" s="149" t="s">
        <v>68</v>
      </c>
      <c r="B148" s="149"/>
      <c r="C148" s="149"/>
      <c r="D148" s="149"/>
      <c r="E148" s="149"/>
      <c r="F148" s="149"/>
      <c r="G148" s="149"/>
      <c r="H148" s="149"/>
      <c r="I148" s="149" t="s">
        <v>71</v>
      </c>
      <c r="J148" s="149"/>
      <c r="K148" s="149"/>
    </row>
  </sheetData>
  <mergeCells count="21">
    <mergeCell ref="A140:D140"/>
    <mergeCell ref="I140:K140"/>
    <mergeCell ref="A1:K1"/>
    <mergeCell ref="A2:K2"/>
    <mergeCell ref="A3:K3"/>
    <mergeCell ref="C136:D136"/>
    <mergeCell ref="I138:K138"/>
    <mergeCell ref="A148:D148"/>
    <mergeCell ref="E148:H148"/>
    <mergeCell ref="I148:K148"/>
    <mergeCell ref="A141:D141"/>
    <mergeCell ref="I141:K141"/>
    <mergeCell ref="A142:D142"/>
    <mergeCell ref="A143:D143"/>
    <mergeCell ref="A144:D144"/>
    <mergeCell ref="I144:K144"/>
    <mergeCell ref="I145:K145"/>
    <mergeCell ref="E146:H146"/>
    <mergeCell ref="A147:D147"/>
    <mergeCell ref="E147:H147"/>
    <mergeCell ref="I147:K147"/>
  </mergeCells>
  <pageMargins left="0.27559055118110237" right="0.15748031496062992" top="0.55118110236220474" bottom="0.55118110236220474" header="0.31496062992125984" footer="0.31496062992125984"/>
  <pageSetup paperSize="122" scale="85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6E7CB83-1167-44E0-8B0F-CEAFF8C05A1F}">
          <x14:formula1>
            <xm:f>Sheet1!$B$3:$B$13</xm:f>
          </x14:formula1>
          <xm:sqref>K143:K148 K140:K141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9F3E-A5EE-4A10-B7CC-F3CC01E621C2}">
  <dimension ref="A1:K109"/>
  <sheetViews>
    <sheetView tabSelected="1" topLeftCell="A69" zoomScaleNormal="100" workbookViewId="0">
      <selection activeCell="C74" sqref="C74"/>
    </sheetView>
  </sheetViews>
  <sheetFormatPr defaultRowHeight="15" x14ac:dyDescent="0.25"/>
  <cols>
    <col min="1" max="1" width="5.42578125" customWidth="1"/>
    <col min="2" max="2" width="15.7109375" customWidth="1"/>
    <col min="3" max="3" width="39" bestFit="1" customWidth="1"/>
    <col min="4" max="4" width="14.7109375" customWidth="1"/>
    <col min="5" max="5" width="11.5703125" customWidth="1"/>
    <col min="6" max="6" width="12.42578125" customWidth="1"/>
    <col min="7" max="7" width="10" customWidth="1"/>
    <col min="8" max="8" width="9.28515625" customWidth="1"/>
    <col min="9" max="9" width="16.85546875" customWidth="1"/>
    <col min="10" max="10" width="19.7109375" customWidth="1"/>
    <col min="11" max="11" width="25.28515625" bestFit="1" customWidth="1"/>
  </cols>
  <sheetData>
    <row r="1" spans="1:11" ht="21.75" customHeight="1" x14ac:dyDescent="0.25">
      <c r="A1" s="150" t="s">
        <v>1166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5.75" x14ac:dyDescent="0.25">
      <c r="A2" s="150" t="s">
        <v>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5.75" x14ac:dyDescent="0.25">
      <c r="A3" s="150" t="s">
        <v>62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30.75" customHeight="1" x14ac:dyDescent="0.25">
      <c r="A5" s="4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6" t="s">
        <v>7</v>
      </c>
      <c r="H5" s="4" t="s">
        <v>8</v>
      </c>
      <c r="I5" s="4" t="s">
        <v>9</v>
      </c>
      <c r="J5" s="4" t="s">
        <v>10</v>
      </c>
      <c r="K5" s="4" t="s">
        <v>11</v>
      </c>
    </row>
    <row r="6" spans="1:11" ht="19.149999999999999" customHeight="1" x14ac:dyDescent="0.25">
      <c r="A6" s="7">
        <v>1</v>
      </c>
      <c r="B6" s="8">
        <v>46296</v>
      </c>
      <c r="C6" s="9" t="s">
        <v>1168</v>
      </c>
      <c r="D6" s="8">
        <v>46298</v>
      </c>
      <c r="E6" s="10"/>
      <c r="F6" s="10"/>
      <c r="G6" s="11"/>
      <c r="H6" s="11">
        <v>1</v>
      </c>
      <c r="I6" s="11"/>
      <c r="J6" s="11">
        <v>100000</v>
      </c>
      <c r="K6" s="12"/>
    </row>
    <row r="7" spans="1:11" ht="19.149999999999999" customHeight="1" x14ac:dyDescent="0.25">
      <c r="A7" s="13">
        <v>2</v>
      </c>
      <c r="B7" s="14"/>
      <c r="C7" s="15" t="s">
        <v>1167</v>
      </c>
      <c r="D7" s="14">
        <v>46334</v>
      </c>
      <c r="E7" s="16">
        <v>1</v>
      </c>
      <c r="F7" s="16"/>
      <c r="G7" s="17"/>
      <c r="H7" s="17"/>
      <c r="I7" s="17"/>
      <c r="J7" s="17">
        <v>250000</v>
      </c>
      <c r="K7" s="18" t="s">
        <v>205</v>
      </c>
    </row>
    <row r="8" spans="1:11" ht="19.149999999999999" customHeight="1" x14ac:dyDescent="0.25">
      <c r="A8" s="13">
        <v>3</v>
      </c>
      <c r="B8" s="14"/>
      <c r="C8" s="18" t="s">
        <v>1169</v>
      </c>
      <c r="D8" s="8">
        <v>46296</v>
      </c>
      <c r="E8" s="16"/>
      <c r="F8" s="16"/>
      <c r="G8" s="19">
        <v>50</v>
      </c>
      <c r="H8" s="17"/>
      <c r="I8" s="17"/>
      <c r="J8" s="17">
        <v>100000</v>
      </c>
      <c r="K8" s="18" t="s">
        <v>617</v>
      </c>
    </row>
    <row r="9" spans="1:11" ht="19.149999999999999" customHeight="1" x14ac:dyDescent="0.25">
      <c r="A9" s="13">
        <v>4</v>
      </c>
      <c r="B9" s="14"/>
      <c r="C9" s="15"/>
      <c r="D9" s="14"/>
      <c r="E9" s="16"/>
      <c r="F9" s="16"/>
      <c r="G9" s="17">
        <v>50</v>
      </c>
      <c r="H9" s="17"/>
      <c r="I9" s="17"/>
      <c r="J9" s="17">
        <v>100000</v>
      </c>
      <c r="K9" s="18"/>
    </row>
    <row r="10" spans="1:11" ht="19.149999999999999" customHeight="1" x14ac:dyDescent="0.25">
      <c r="A10" s="13">
        <v>5</v>
      </c>
      <c r="B10" s="14"/>
      <c r="C10" s="9" t="s">
        <v>484</v>
      </c>
      <c r="D10" s="8">
        <v>46316</v>
      </c>
      <c r="E10" s="10">
        <v>2</v>
      </c>
      <c r="F10" s="16"/>
      <c r="G10" s="17"/>
      <c r="H10" s="17"/>
      <c r="I10" s="17"/>
      <c r="J10" s="17">
        <v>500000</v>
      </c>
      <c r="K10" s="18" t="s">
        <v>186</v>
      </c>
    </row>
    <row r="11" spans="1:11" ht="19.149999999999999" customHeight="1" x14ac:dyDescent="0.25">
      <c r="A11" s="13">
        <v>6</v>
      </c>
      <c r="B11" s="14"/>
      <c r="C11" s="15" t="s">
        <v>1170</v>
      </c>
      <c r="D11" s="14">
        <v>46341</v>
      </c>
      <c r="E11" s="16">
        <v>3</v>
      </c>
      <c r="F11" s="16"/>
      <c r="G11" s="17"/>
      <c r="H11" s="17"/>
      <c r="I11" s="17"/>
      <c r="J11" s="17">
        <v>750000</v>
      </c>
      <c r="K11" s="18" t="s">
        <v>1171</v>
      </c>
    </row>
    <row r="12" spans="1:11" ht="19.149999999999999" customHeight="1" x14ac:dyDescent="0.25">
      <c r="A12" s="13">
        <v>7</v>
      </c>
      <c r="B12" s="14"/>
      <c r="C12" s="15" t="s">
        <v>173</v>
      </c>
      <c r="D12" s="8">
        <v>46326</v>
      </c>
      <c r="E12" s="16">
        <v>1</v>
      </c>
      <c r="F12" s="16"/>
      <c r="G12" s="17"/>
      <c r="H12" s="17"/>
      <c r="I12" s="17"/>
      <c r="J12" s="17">
        <v>250000</v>
      </c>
      <c r="K12" s="18" t="s">
        <v>49</v>
      </c>
    </row>
    <row r="13" spans="1:11" ht="19.149999999999999" customHeight="1" x14ac:dyDescent="0.25">
      <c r="A13" s="13">
        <v>8</v>
      </c>
      <c r="B13" s="8">
        <v>46297</v>
      </c>
      <c r="C13" s="15" t="s">
        <v>1172</v>
      </c>
      <c r="D13" s="8">
        <v>46306</v>
      </c>
      <c r="E13" s="16"/>
      <c r="F13" s="16"/>
      <c r="G13" s="17">
        <v>50</v>
      </c>
      <c r="H13" s="17"/>
      <c r="I13" s="17"/>
      <c r="J13" s="17">
        <v>100000</v>
      </c>
      <c r="K13" s="18" t="s">
        <v>617</v>
      </c>
    </row>
    <row r="14" spans="1:11" ht="19.149999999999999" customHeight="1" x14ac:dyDescent="0.25">
      <c r="A14" s="13">
        <v>9</v>
      </c>
      <c r="B14" s="14"/>
      <c r="C14" s="15" t="s">
        <v>1173</v>
      </c>
      <c r="D14" s="8">
        <v>46306</v>
      </c>
      <c r="E14" s="16"/>
      <c r="F14" s="16"/>
      <c r="G14" s="17">
        <v>50</v>
      </c>
      <c r="H14" s="17"/>
      <c r="I14" s="17"/>
      <c r="J14" s="17">
        <v>100000</v>
      </c>
      <c r="K14" s="18" t="s">
        <v>201</v>
      </c>
    </row>
    <row r="15" spans="1:11" ht="19.149999999999999" customHeight="1" x14ac:dyDescent="0.25">
      <c r="A15" s="13">
        <v>10</v>
      </c>
      <c r="B15" s="14"/>
      <c r="C15" s="15" t="s">
        <v>1175</v>
      </c>
      <c r="D15" s="8">
        <v>46308</v>
      </c>
      <c r="E15" s="16">
        <v>1</v>
      </c>
      <c r="F15" s="16"/>
      <c r="G15" s="17"/>
      <c r="H15" s="17"/>
      <c r="I15" s="17"/>
      <c r="J15" s="17">
        <v>250000</v>
      </c>
      <c r="K15" s="18" t="s">
        <v>49</v>
      </c>
    </row>
    <row r="16" spans="1:11" ht="19.149999999999999" customHeight="1" x14ac:dyDescent="0.25">
      <c r="A16" s="13">
        <v>11</v>
      </c>
      <c r="B16" s="14"/>
      <c r="C16" s="15" t="s">
        <v>1174</v>
      </c>
      <c r="D16" s="8">
        <v>46306</v>
      </c>
      <c r="E16" s="16"/>
      <c r="F16" s="16"/>
      <c r="G16" s="17">
        <v>50</v>
      </c>
      <c r="H16" s="17"/>
      <c r="I16" s="17"/>
      <c r="J16" s="17">
        <v>100000</v>
      </c>
      <c r="K16" s="18" t="s">
        <v>203</v>
      </c>
    </row>
    <row r="17" spans="1:11" ht="19.149999999999999" customHeight="1" x14ac:dyDescent="0.25">
      <c r="A17" s="13">
        <v>12</v>
      </c>
      <c r="B17" s="14"/>
      <c r="C17" s="15" t="s">
        <v>1177</v>
      </c>
      <c r="D17" s="8">
        <v>46310</v>
      </c>
      <c r="E17" s="16">
        <v>1</v>
      </c>
      <c r="F17" s="16"/>
      <c r="G17" s="17"/>
      <c r="H17" s="17"/>
      <c r="I17" s="17"/>
      <c r="J17" s="17">
        <v>250000</v>
      </c>
      <c r="K17" s="18" t="s">
        <v>197</v>
      </c>
    </row>
    <row r="18" spans="1:11" ht="19.149999999999999" customHeight="1" x14ac:dyDescent="0.25">
      <c r="A18" s="13">
        <v>13</v>
      </c>
      <c r="B18" s="14"/>
      <c r="C18" s="15" t="s">
        <v>1179</v>
      </c>
      <c r="D18" s="8">
        <v>46316</v>
      </c>
      <c r="E18" s="16">
        <v>1</v>
      </c>
      <c r="F18" s="16"/>
      <c r="G18" s="17"/>
      <c r="H18" s="17"/>
      <c r="I18" s="17"/>
      <c r="J18" s="17">
        <v>250000</v>
      </c>
      <c r="K18" s="18" t="s">
        <v>49</v>
      </c>
    </row>
    <row r="19" spans="1:11" ht="19.149999999999999" customHeight="1" x14ac:dyDescent="0.25">
      <c r="A19" s="13">
        <v>14</v>
      </c>
      <c r="B19" s="14"/>
      <c r="C19" s="15" t="s">
        <v>1178</v>
      </c>
      <c r="D19" s="14">
        <v>46337</v>
      </c>
      <c r="E19" s="16">
        <v>2</v>
      </c>
      <c r="F19" s="16"/>
      <c r="G19" s="17"/>
      <c r="H19" s="17"/>
      <c r="I19" s="17"/>
      <c r="J19" s="17">
        <v>500000</v>
      </c>
      <c r="K19" s="18" t="s">
        <v>186</v>
      </c>
    </row>
    <row r="20" spans="1:11" ht="19.149999999999999" customHeight="1" x14ac:dyDescent="0.25">
      <c r="A20" s="13">
        <v>15</v>
      </c>
      <c r="B20" s="14"/>
      <c r="C20" s="15" t="s">
        <v>1176</v>
      </c>
      <c r="D20" s="8">
        <v>46305</v>
      </c>
      <c r="E20" s="16"/>
      <c r="F20" s="16"/>
      <c r="G20" s="17">
        <v>50</v>
      </c>
      <c r="H20" s="17"/>
      <c r="I20" s="17"/>
      <c r="J20" s="17">
        <v>100000</v>
      </c>
      <c r="K20" s="18" t="s">
        <v>201</v>
      </c>
    </row>
    <row r="21" spans="1:11" ht="19.149999999999999" customHeight="1" x14ac:dyDescent="0.25">
      <c r="A21" s="13">
        <v>16</v>
      </c>
      <c r="B21" s="8">
        <v>46298</v>
      </c>
      <c r="C21" s="15" t="s">
        <v>1180</v>
      </c>
      <c r="D21" s="8">
        <v>46310</v>
      </c>
      <c r="E21" s="16">
        <v>1</v>
      </c>
      <c r="F21" s="18"/>
      <c r="G21" s="18"/>
      <c r="H21" s="18"/>
      <c r="I21" s="18"/>
      <c r="J21" s="17">
        <v>250000</v>
      </c>
      <c r="K21" s="18" t="s">
        <v>214</v>
      </c>
    </row>
    <row r="22" spans="1:11" ht="19.149999999999999" customHeight="1" x14ac:dyDescent="0.25">
      <c r="A22" s="13">
        <v>17</v>
      </c>
      <c r="B22" s="14"/>
      <c r="C22" s="15" t="s">
        <v>1181</v>
      </c>
      <c r="D22" s="8">
        <v>46340</v>
      </c>
      <c r="E22" s="16">
        <v>1</v>
      </c>
      <c r="F22" s="16"/>
      <c r="G22" s="17"/>
      <c r="H22" s="17"/>
      <c r="I22" s="17"/>
      <c r="J22" s="17">
        <v>250000</v>
      </c>
      <c r="K22" s="18" t="s">
        <v>214</v>
      </c>
    </row>
    <row r="23" spans="1:11" ht="18.75" customHeight="1" x14ac:dyDescent="0.25">
      <c r="A23" s="13">
        <v>18</v>
      </c>
      <c r="B23" s="20"/>
      <c r="C23" s="15" t="s">
        <v>1183</v>
      </c>
      <c r="D23" s="8">
        <v>46299</v>
      </c>
      <c r="E23" s="16"/>
      <c r="F23" s="18"/>
      <c r="G23" s="18">
        <v>50</v>
      </c>
      <c r="H23" s="18"/>
      <c r="I23" s="18"/>
      <c r="J23" s="17">
        <v>100000</v>
      </c>
      <c r="K23" s="18" t="s">
        <v>451</v>
      </c>
    </row>
    <row r="24" spans="1:11" ht="19.149999999999999" customHeight="1" x14ac:dyDescent="0.25">
      <c r="A24" s="13">
        <v>19</v>
      </c>
      <c r="B24" s="14"/>
      <c r="C24" s="21" t="s">
        <v>1182</v>
      </c>
      <c r="D24" s="8">
        <v>46313</v>
      </c>
      <c r="E24" s="16">
        <v>1</v>
      </c>
      <c r="F24" s="16"/>
      <c r="G24" s="17"/>
      <c r="H24" s="17"/>
      <c r="I24" s="17"/>
      <c r="J24" s="17">
        <v>250000</v>
      </c>
      <c r="K24" s="18" t="s">
        <v>49</v>
      </c>
    </row>
    <row r="25" spans="1:11" ht="19.149999999999999" customHeight="1" x14ac:dyDescent="0.25">
      <c r="A25" s="13">
        <v>20</v>
      </c>
      <c r="B25" s="14"/>
      <c r="C25" s="21"/>
      <c r="D25" s="14"/>
      <c r="E25" s="16"/>
      <c r="F25" s="16"/>
      <c r="G25" s="17">
        <v>50</v>
      </c>
      <c r="H25" s="17"/>
      <c r="I25" s="17"/>
      <c r="J25" s="17">
        <v>100000</v>
      </c>
      <c r="K25" s="18"/>
    </row>
    <row r="26" spans="1:11" ht="19.149999999999999" customHeight="1" x14ac:dyDescent="0.25">
      <c r="A26" s="13">
        <v>21</v>
      </c>
      <c r="B26" s="14"/>
      <c r="C26" s="21" t="s">
        <v>1184</v>
      </c>
      <c r="D26" s="8">
        <v>46299</v>
      </c>
      <c r="E26" s="16">
        <v>1</v>
      </c>
      <c r="F26" s="16"/>
      <c r="G26" s="17"/>
      <c r="H26" s="17">
        <v>1</v>
      </c>
      <c r="I26" s="18"/>
      <c r="J26" s="17">
        <v>350000</v>
      </c>
      <c r="K26" s="18" t="s">
        <v>197</v>
      </c>
    </row>
    <row r="27" spans="1:11" ht="19.149999999999999" customHeight="1" x14ac:dyDescent="0.25">
      <c r="A27" s="13">
        <v>23</v>
      </c>
      <c r="B27" s="8">
        <v>46299</v>
      </c>
      <c r="C27" s="15" t="s">
        <v>1188</v>
      </c>
      <c r="D27" s="8">
        <v>46319</v>
      </c>
      <c r="E27" s="16"/>
      <c r="F27" s="16"/>
      <c r="G27" s="17">
        <v>300</v>
      </c>
      <c r="H27" s="17"/>
      <c r="I27" s="17"/>
      <c r="J27" s="17">
        <v>600000</v>
      </c>
      <c r="K27" s="18" t="s">
        <v>697</v>
      </c>
    </row>
    <row r="28" spans="1:11" ht="19.149999999999999" customHeight="1" x14ac:dyDescent="0.25">
      <c r="A28" s="13">
        <v>24</v>
      </c>
      <c r="B28" s="14"/>
      <c r="C28" s="15" t="s">
        <v>1187</v>
      </c>
      <c r="D28" s="8">
        <v>46317</v>
      </c>
      <c r="E28" s="16">
        <v>1</v>
      </c>
      <c r="F28" s="16"/>
      <c r="G28" s="17"/>
      <c r="H28" s="17"/>
      <c r="I28" s="17"/>
      <c r="J28" s="17">
        <v>250000</v>
      </c>
      <c r="K28" s="18" t="s">
        <v>197</v>
      </c>
    </row>
    <row r="29" spans="1:11" ht="19.149999999999999" customHeight="1" x14ac:dyDescent="0.25">
      <c r="A29" s="13">
        <v>25</v>
      </c>
      <c r="B29" s="14"/>
      <c r="C29" s="15" t="s">
        <v>1185</v>
      </c>
      <c r="D29" s="8">
        <v>46299</v>
      </c>
      <c r="E29" s="16"/>
      <c r="F29" s="16"/>
      <c r="G29" s="17"/>
      <c r="H29" s="17">
        <v>1</v>
      </c>
      <c r="I29" s="17"/>
      <c r="J29" s="17">
        <v>100000</v>
      </c>
      <c r="K29" s="18"/>
    </row>
    <row r="30" spans="1:11" ht="19.149999999999999" customHeight="1" x14ac:dyDescent="0.25">
      <c r="A30" s="13">
        <v>26</v>
      </c>
      <c r="B30" s="14"/>
      <c r="C30" s="15" t="s">
        <v>334</v>
      </c>
      <c r="D30" s="8">
        <v>46313</v>
      </c>
      <c r="E30" s="16">
        <v>1</v>
      </c>
      <c r="F30" s="16"/>
      <c r="G30" s="17"/>
      <c r="H30" s="17"/>
      <c r="I30" s="17"/>
      <c r="J30" s="17">
        <v>250000</v>
      </c>
      <c r="K30" s="18" t="s">
        <v>205</v>
      </c>
    </row>
    <row r="31" spans="1:11" ht="19.149999999999999" customHeight="1" x14ac:dyDescent="0.25">
      <c r="A31" s="13">
        <v>27</v>
      </c>
      <c r="B31" s="14"/>
      <c r="C31" s="125" t="s">
        <v>1186</v>
      </c>
      <c r="D31" s="8">
        <v>46306</v>
      </c>
      <c r="E31" s="124"/>
      <c r="F31" s="124"/>
      <c r="G31" s="124">
        <v>50</v>
      </c>
      <c r="H31" s="124"/>
      <c r="I31" s="124"/>
      <c r="J31" s="124">
        <v>100000</v>
      </c>
      <c r="K31" s="18" t="s">
        <v>451</v>
      </c>
    </row>
    <row r="32" spans="1:11" ht="18.75" customHeight="1" x14ac:dyDescent="0.25">
      <c r="A32" s="13">
        <v>28</v>
      </c>
      <c r="B32" s="8">
        <v>46300</v>
      </c>
      <c r="C32" s="125" t="s">
        <v>1189</v>
      </c>
      <c r="D32" s="8">
        <v>46309</v>
      </c>
      <c r="E32" s="124">
        <v>1</v>
      </c>
      <c r="F32" s="124"/>
      <c r="G32" s="124"/>
      <c r="H32" s="124"/>
      <c r="I32" s="124"/>
      <c r="J32" s="124">
        <v>250000</v>
      </c>
      <c r="K32" s="18" t="s">
        <v>197</v>
      </c>
    </row>
    <row r="33" spans="1:11" ht="18.75" customHeight="1" x14ac:dyDescent="0.25">
      <c r="A33" s="13">
        <v>29</v>
      </c>
      <c r="B33" s="8">
        <v>46301</v>
      </c>
      <c r="C33" s="125" t="s">
        <v>1190</v>
      </c>
      <c r="D33" s="8">
        <v>46368</v>
      </c>
      <c r="E33" s="124">
        <v>1</v>
      </c>
      <c r="F33" s="124"/>
      <c r="G33" s="124"/>
      <c r="H33" s="124"/>
      <c r="I33" s="124"/>
      <c r="J33" s="124">
        <v>250000</v>
      </c>
      <c r="K33" s="18" t="s">
        <v>214</v>
      </c>
    </row>
    <row r="34" spans="1:11" ht="18.75" customHeight="1" x14ac:dyDescent="0.25">
      <c r="A34" s="13">
        <v>30</v>
      </c>
      <c r="B34" s="14"/>
      <c r="C34" s="125" t="s">
        <v>1191</v>
      </c>
      <c r="D34" s="8">
        <v>46313</v>
      </c>
      <c r="E34" s="124"/>
      <c r="F34" s="124"/>
      <c r="G34" s="124">
        <v>50</v>
      </c>
      <c r="H34" s="124"/>
      <c r="I34" s="124"/>
      <c r="J34" s="124">
        <v>100000</v>
      </c>
      <c r="K34" s="18" t="s">
        <v>451</v>
      </c>
    </row>
    <row r="35" spans="1:11" ht="18.75" customHeight="1" x14ac:dyDescent="0.25">
      <c r="A35" s="13">
        <v>31</v>
      </c>
      <c r="B35" s="14"/>
      <c r="C35" s="125" t="s">
        <v>1192</v>
      </c>
      <c r="D35" s="8">
        <v>46311</v>
      </c>
      <c r="E35" s="124">
        <v>1</v>
      </c>
      <c r="F35" s="124"/>
      <c r="G35" s="124"/>
      <c r="H35" s="124"/>
      <c r="I35" s="124"/>
      <c r="J35" s="124">
        <v>250000</v>
      </c>
      <c r="K35" s="18" t="s">
        <v>214</v>
      </c>
    </row>
    <row r="36" spans="1:11" ht="18.75" customHeight="1" x14ac:dyDescent="0.25">
      <c r="A36" s="13">
        <v>32</v>
      </c>
      <c r="B36" s="14"/>
      <c r="C36" s="125" t="s">
        <v>87</v>
      </c>
      <c r="D36" s="8">
        <v>46313</v>
      </c>
      <c r="E36" s="124">
        <v>1</v>
      </c>
      <c r="F36" s="124"/>
      <c r="G36" s="124"/>
      <c r="H36" s="124"/>
      <c r="I36" s="124"/>
      <c r="J36" s="124">
        <v>250000</v>
      </c>
      <c r="K36" s="18"/>
    </row>
    <row r="37" spans="1:11" ht="18.75" customHeight="1" x14ac:dyDescent="0.25">
      <c r="A37" s="13">
        <v>33</v>
      </c>
      <c r="B37" s="14"/>
      <c r="C37" s="125" t="s">
        <v>1193</v>
      </c>
      <c r="D37" s="8">
        <v>46305</v>
      </c>
      <c r="E37" s="124"/>
      <c r="F37" s="124"/>
      <c r="G37" s="124">
        <v>100</v>
      </c>
      <c r="H37" s="124"/>
      <c r="I37" s="124"/>
      <c r="J37" s="124">
        <v>200000</v>
      </c>
      <c r="K37" s="18" t="s">
        <v>617</v>
      </c>
    </row>
    <row r="38" spans="1:11" ht="18.75" customHeight="1" x14ac:dyDescent="0.25">
      <c r="A38" s="13">
        <v>34</v>
      </c>
      <c r="B38" s="14"/>
      <c r="C38" s="125" t="s">
        <v>1194</v>
      </c>
      <c r="D38" s="8">
        <v>46312</v>
      </c>
      <c r="E38" s="124">
        <v>1</v>
      </c>
      <c r="F38" s="124"/>
      <c r="G38" s="124"/>
      <c r="H38" s="124"/>
      <c r="I38" s="124"/>
      <c r="J38" s="124">
        <v>250000</v>
      </c>
      <c r="K38" s="18" t="s">
        <v>41</v>
      </c>
    </row>
    <row r="39" spans="1:11" s="147" customFormat="1" ht="18.75" customHeight="1" x14ac:dyDescent="0.25">
      <c r="A39" s="13">
        <v>35</v>
      </c>
      <c r="B39" s="143"/>
      <c r="C39" s="144" t="s">
        <v>1195</v>
      </c>
      <c r="D39" s="8">
        <v>46303</v>
      </c>
      <c r="E39" s="145">
        <v>1</v>
      </c>
      <c r="F39" s="145"/>
      <c r="G39" s="145"/>
      <c r="H39" s="145"/>
      <c r="I39" s="145"/>
      <c r="J39" s="145">
        <v>250000</v>
      </c>
      <c r="K39" s="18" t="s">
        <v>205</v>
      </c>
    </row>
    <row r="40" spans="1:11" ht="18.75" customHeight="1" x14ac:dyDescent="0.25">
      <c r="A40" s="13">
        <v>36</v>
      </c>
      <c r="B40" s="8">
        <v>46302</v>
      </c>
      <c r="C40" s="125" t="s">
        <v>1196</v>
      </c>
      <c r="D40" s="8">
        <v>46310</v>
      </c>
      <c r="E40" s="124">
        <v>2</v>
      </c>
      <c r="F40" s="124"/>
      <c r="G40" s="124"/>
      <c r="H40" s="124"/>
      <c r="I40" s="124"/>
      <c r="J40" s="124">
        <v>500000</v>
      </c>
      <c r="K40" s="18" t="s">
        <v>186</v>
      </c>
    </row>
    <row r="41" spans="1:11" ht="18.75" customHeight="1" x14ac:dyDescent="0.25">
      <c r="A41" s="13">
        <v>37</v>
      </c>
      <c r="B41" s="14"/>
      <c r="C41" s="125" t="s">
        <v>1197</v>
      </c>
      <c r="D41" s="8">
        <v>46309</v>
      </c>
      <c r="E41" s="124"/>
      <c r="F41" s="124"/>
      <c r="G41" s="124">
        <v>300</v>
      </c>
      <c r="H41" s="124"/>
      <c r="I41" s="124"/>
      <c r="J41" s="124">
        <v>600000</v>
      </c>
      <c r="K41" s="18" t="s">
        <v>617</v>
      </c>
    </row>
    <row r="42" spans="1:11" ht="18.75" customHeight="1" x14ac:dyDescent="0.25">
      <c r="A42" s="13">
        <v>38</v>
      </c>
      <c r="B42" s="14"/>
      <c r="C42" s="125" t="s">
        <v>1198</v>
      </c>
      <c r="D42" s="8">
        <v>46319</v>
      </c>
      <c r="E42" s="124">
        <v>1</v>
      </c>
      <c r="F42" s="124"/>
      <c r="G42" s="124"/>
      <c r="H42" s="124"/>
      <c r="I42" s="124"/>
      <c r="J42" s="124">
        <v>250000</v>
      </c>
      <c r="K42" s="18" t="s">
        <v>197</v>
      </c>
    </row>
    <row r="43" spans="1:11" ht="18.75" customHeight="1" x14ac:dyDescent="0.25">
      <c r="A43" s="13">
        <v>39</v>
      </c>
      <c r="B43" s="14"/>
      <c r="C43" s="125" t="s">
        <v>1199</v>
      </c>
      <c r="D43" s="8">
        <v>46302</v>
      </c>
      <c r="E43" s="124">
        <v>1</v>
      </c>
      <c r="F43" s="124"/>
      <c r="G43" s="124"/>
      <c r="H43" s="124"/>
      <c r="I43" s="124"/>
      <c r="J43" s="124">
        <v>250000</v>
      </c>
      <c r="K43" s="18" t="s">
        <v>41</v>
      </c>
    </row>
    <row r="44" spans="1:11" ht="18.75" customHeight="1" x14ac:dyDescent="0.25">
      <c r="A44" s="13">
        <v>40</v>
      </c>
      <c r="B44" s="14"/>
      <c r="C44" s="125" t="s">
        <v>1200</v>
      </c>
      <c r="D44" s="8">
        <v>46341</v>
      </c>
      <c r="E44" s="124">
        <v>1</v>
      </c>
      <c r="F44" s="124"/>
      <c r="G44" s="124"/>
      <c r="H44" s="124"/>
      <c r="I44" s="124"/>
      <c r="J44" s="124">
        <v>250000</v>
      </c>
      <c r="K44" s="18" t="s">
        <v>41</v>
      </c>
    </row>
    <row r="45" spans="1:11" ht="18.75" customHeight="1" x14ac:dyDescent="0.25">
      <c r="A45" s="13">
        <v>41</v>
      </c>
      <c r="B45" s="14"/>
      <c r="C45" s="125" t="s">
        <v>1201</v>
      </c>
      <c r="D45" s="8">
        <v>46316</v>
      </c>
      <c r="E45" s="124">
        <v>1</v>
      </c>
      <c r="F45" s="124"/>
      <c r="G45" s="124"/>
      <c r="H45" s="124"/>
      <c r="I45" s="124"/>
      <c r="J45" s="124">
        <v>250000</v>
      </c>
      <c r="K45" s="18" t="s">
        <v>214</v>
      </c>
    </row>
    <row r="46" spans="1:11" ht="18.75" customHeight="1" x14ac:dyDescent="0.25">
      <c r="A46" s="13">
        <v>42</v>
      </c>
      <c r="B46" s="14"/>
      <c r="C46" s="125" t="s">
        <v>1202</v>
      </c>
      <c r="D46" s="8">
        <v>46319</v>
      </c>
      <c r="E46" s="124">
        <v>1</v>
      </c>
      <c r="F46" s="124"/>
      <c r="G46" s="124"/>
      <c r="H46" s="124"/>
      <c r="I46" s="124"/>
      <c r="J46" s="124">
        <v>250000</v>
      </c>
      <c r="K46" s="18" t="s">
        <v>41</v>
      </c>
    </row>
    <row r="47" spans="1:11" ht="18.75" customHeight="1" x14ac:dyDescent="0.25">
      <c r="A47" s="13">
        <v>43</v>
      </c>
      <c r="B47" s="14"/>
      <c r="C47" s="125" t="s">
        <v>1203</v>
      </c>
      <c r="D47" s="8">
        <v>46341</v>
      </c>
      <c r="E47" s="124">
        <v>1</v>
      </c>
      <c r="F47" s="124"/>
      <c r="G47" s="124"/>
      <c r="H47" s="124"/>
      <c r="I47" s="124"/>
      <c r="J47" s="124">
        <v>250000</v>
      </c>
      <c r="K47" s="18" t="s">
        <v>205</v>
      </c>
    </row>
    <row r="48" spans="1:11" ht="18.75" customHeight="1" x14ac:dyDescent="0.25">
      <c r="A48" s="13">
        <v>44</v>
      </c>
      <c r="B48" s="14"/>
      <c r="C48" s="125" t="s">
        <v>1204</v>
      </c>
      <c r="D48" s="8">
        <v>46326</v>
      </c>
      <c r="E48" s="124">
        <v>1</v>
      </c>
      <c r="F48" s="124"/>
      <c r="G48" s="124"/>
      <c r="H48" s="124"/>
      <c r="I48" s="124"/>
      <c r="J48" s="124">
        <v>250000</v>
      </c>
      <c r="K48" s="18" t="s">
        <v>41</v>
      </c>
    </row>
    <row r="49" spans="1:11" ht="18.75" customHeight="1" x14ac:dyDescent="0.25">
      <c r="A49" s="13">
        <v>45</v>
      </c>
      <c r="B49" s="14"/>
      <c r="C49" s="125" t="s">
        <v>1205</v>
      </c>
      <c r="D49" s="8">
        <v>46320</v>
      </c>
      <c r="E49" s="124">
        <v>1</v>
      </c>
      <c r="F49" s="124"/>
      <c r="G49" s="124"/>
      <c r="H49" s="124"/>
      <c r="I49" s="124"/>
      <c r="J49" s="124">
        <v>250000</v>
      </c>
      <c r="K49" s="18" t="s">
        <v>205</v>
      </c>
    </row>
    <row r="50" spans="1:11" ht="18.75" customHeight="1" x14ac:dyDescent="0.25">
      <c r="A50" s="13">
        <v>46</v>
      </c>
      <c r="B50" s="14"/>
      <c r="C50" s="125"/>
      <c r="D50" s="14"/>
      <c r="E50" s="124">
        <v>1</v>
      </c>
      <c r="F50" s="124"/>
      <c r="G50" s="124"/>
      <c r="H50" s="124"/>
      <c r="I50" s="124"/>
      <c r="J50" s="124">
        <v>250000</v>
      </c>
      <c r="K50" s="18"/>
    </row>
    <row r="51" spans="1:11" ht="18.75" customHeight="1" x14ac:dyDescent="0.25">
      <c r="A51" s="13">
        <v>47</v>
      </c>
      <c r="B51" s="14"/>
      <c r="C51" s="125"/>
      <c r="D51" s="14"/>
      <c r="E51" s="124">
        <v>1</v>
      </c>
      <c r="F51" s="124"/>
      <c r="G51" s="124"/>
      <c r="H51" s="124"/>
      <c r="I51" s="124"/>
      <c r="J51" s="124">
        <v>250000</v>
      </c>
      <c r="K51" s="18"/>
    </row>
    <row r="52" spans="1:11" ht="18.75" customHeight="1" x14ac:dyDescent="0.25">
      <c r="A52" s="13">
        <v>48</v>
      </c>
      <c r="B52" s="14">
        <v>46303</v>
      </c>
      <c r="C52" s="125" t="s">
        <v>1213</v>
      </c>
      <c r="D52" s="8">
        <v>46319</v>
      </c>
      <c r="E52" s="124">
        <v>1</v>
      </c>
      <c r="F52" s="124"/>
      <c r="G52" s="124"/>
      <c r="H52" s="124"/>
      <c r="I52" s="124"/>
      <c r="J52" s="124">
        <v>250000</v>
      </c>
      <c r="K52" s="18" t="s">
        <v>49</v>
      </c>
    </row>
    <row r="53" spans="1:11" ht="18.75" customHeight="1" x14ac:dyDescent="0.25">
      <c r="A53" s="13">
        <v>49</v>
      </c>
      <c r="B53" s="14"/>
      <c r="C53" s="125" t="s">
        <v>1215</v>
      </c>
      <c r="D53" s="8">
        <v>46333</v>
      </c>
      <c r="E53" s="124">
        <v>1</v>
      </c>
      <c r="F53" s="124"/>
      <c r="G53" s="124"/>
      <c r="H53" s="124"/>
      <c r="I53" s="124"/>
      <c r="J53" s="124">
        <v>250000</v>
      </c>
      <c r="K53" s="18" t="s">
        <v>205</v>
      </c>
    </row>
    <row r="54" spans="1:11" ht="18.75" customHeight="1" x14ac:dyDescent="0.25">
      <c r="A54" s="13">
        <v>50</v>
      </c>
      <c r="B54" s="14"/>
      <c r="C54" s="125" t="s">
        <v>1214</v>
      </c>
      <c r="D54" s="14">
        <v>46313</v>
      </c>
      <c r="E54" s="124"/>
      <c r="F54" s="124"/>
      <c r="G54" s="124">
        <v>50</v>
      </c>
      <c r="H54" s="124"/>
      <c r="I54" s="124"/>
      <c r="J54" s="124">
        <v>100000</v>
      </c>
      <c r="K54" s="18" t="s">
        <v>201</v>
      </c>
    </row>
    <row r="55" spans="1:11" ht="18.75" customHeight="1" x14ac:dyDescent="0.25">
      <c r="A55" s="13">
        <v>51</v>
      </c>
      <c r="B55" s="14"/>
      <c r="C55" s="125" t="s">
        <v>1216</v>
      </c>
      <c r="D55" s="14">
        <v>46315</v>
      </c>
      <c r="E55" s="124">
        <v>1</v>
      </c>
      <c r="F55" s="124"/>
      <c r="G55" s="124"/>
      <c r="H55" s="124"/>
      <c r="I55" s="124"/>
      <c r="J55" s="124">
        <v>250000</v>
      </c>
      <c r="K55" s="18" t="s">
        <v>214</v>
      </c>
    </row>
    <row r="56" spans="1:11" ht="18.75" customHeight="1" x14ac:dyDescent="0.25">
      <c r="A56" s="13">
        <v>52</v>
      </c>
      <c r="B56" s="14"/>
      <c r="C56" s="125" t="s">
        <v>1217</v>
      </c>
      <c r="D56" s="14">
        <v>46308</v>
      </c>
      <c r="E56" s="124">
        <v>1</v>
      </c>
      <c r="F56" s="124"/>
      <c r="G56" s="124"/>
      <c r="H56" s="124"/>
      <c r="I56" s="124"/>
      <c r="J56" s="124">
        <v>250000</v>
      </c>
      <c r="K56" s="18" t="s">
        <v>41</v>
      </c>
    </row>
    <row r="57" spans="1:11" ht="18.75" customHeight="1" x14ac:dyDescent="0.25">
      <c r="A57" s="13">
        <v>53</v>
      </c>
      <c r="B57" s="14"/>
      <c r="C57" s="125" t="s">
        <v>1220</v>
      </c>
      <c r="D57" s="14">
        <v>46354</v>
      </c>
      <c r="E57" s="124"/>
      <c r="F57" s="124">
        <v>1</v>
      </c>
      <c r="G57" s="124"/>
      <c r="H57" s="124"/>
      <c r="I57" s="124" t="s">
        <v>98</v>
      </c>
      <c r="J57" s="124">
        <v>1750000</v>
      </c>
      <c r="K57" s="18"/>
    </row>
    <row r="58" spans="1:11" ht="18.75" customHeight="1" x14ac:dyDescent="0.25">
      <c r="A58" s="13">
        <v>54</v>
      </c>
      <c r="B58" s="14"/>
      <c r="C58" s="125" t="s">
        <v>1218</v>
      </c>
      <c r="D58" s="8">
        <v>46306</v>
      </c>
      <c r="E58" s="124"/>
      <c r="F58" s="124"/>
      <c r="G58" s="124">
        <v>100</v>
      </c>
      <c r="H58" s="124"/>
      <c r="I58" s="124"/>
      <c r="J58" s="124">
        <v>200000</v>
      </c>
      <c r="K58" s="18" t="s">
        <v>697</v>
      </c>
    </row>
    <row r="59" spans="1:11" ht="18.75" customHeight="1" x14ac:dyDescent="0.25">
      <c r="A59" s="13">
        <v>55</v>
      </c>
      <c r="B59" s="14"/>
      <c r="C59" s="125" t="s">
        <v>1219</v>
      </c>
      <c r="D59" s="8">
        <v>46306</v>
      </c>
      <c r="E59" s="124"/>
      <c r="F59" s="124"/>
      <c r="G59" s="124">
        <v>50</v>
      </c>
      <c r="H59" s="124"/>
      <c r="I59" s="124"/>
      <c r="J59" s="124">
        <v>100000</v>
      </c>
      <c r="K59" s="18" t="s">
        <v>226</v>
      </c>
    </row>
    <row r="60" spans="1:11" ht="18.75" customHeight="1" x14ac:dyDescent="0.25">
      <c r="A60" s="13">
        <v>56</v>
      </c>
      <c r="B60" s="14">
        <v>46304</v>
      </c>
      <c r="C60" s="125" t="s">
        <v>1223</v>
      </c>
      <c r="D60" s="8">
        <v>46308</v>
      </c>
      <c r="E60" s="124"/>
      <c r="F60" s="124"/>
      <c r="G60" s="124">
        <v>200</v>
      </c>
      <c r="H60" s="124"/>
      <c r="I60" s="124"/>
      <c r="J60" s="124">
        <v>400000</v>
      </c>
      <c r="K60" s="18" t="s">
        <v>697</v>
      </c>
    </row>
    <row r="61" spans="1:11" ht="18.75" customHeight="1" x14ac:dyDescent="0.25">
      <c r="A61" s="13">
        <v>57</v>
      </c>
      <c r="B61" s="14"/>
      <c r="C61" s="125" t="s">
        <v>1224</v>
      </c>
      <c r="D61" s="8">
        <v>46333</v>
      </c>
      <c r="E61" s="124"/>
      <c r="F61" s="124"/>
      <c r="G61" s="124">
        <v>100</v>
      </c>
      <c r="H61" s="124"/>
      <c r="I61" s="124"/>
      <c r="J61" s="124">
        <v>200000</v>
      </c>
      <c r="K61" s="18" t="s">
        <v>746</v>
      </c>
    </row>
    <row r="62" spans="1:11" ht="18.75" customHeight="1" x14ac:dyDescent="0.25">
      <c r="A62" s="13">
        <v>58</v>
      </c>
      <c r="B62" s="14"/>
      <c r="C62" s="125" t="s">
        <v>1221</v>
      </c>
      <c r="D62" s="8">
        <v>46333</v>
      </c>
      <c r="E62" s="124">
        <v>1</v>
      </c>
      <c r="F62" s="124"/>
      <c r="G62" s="124"/>
      <c r="H62" s="124"/>
      <c r="I62" s="124"/>
      <c r="J62" s="124">
        <v>250000</v>
      </c>
      <c r="K62" s="18"/>
    </row>
    <row r="63" spans="1:11" ht="18.75" customHeight="1" x14ac:dyDescent="0.25">
      <c r="A63" s="13">
        <v>59</v>
      </c>
      <c r="B63" s="14"/>
      <c r="C63" s="125" t="s">
        <v>1222</v>
      </c>
      <c r="D63" s="8">
        <v>46320</v>
      </c>
      <c r="E63" s="124"/>
      <c r="F63" s="124">
        <v>1</v>
      </c>
      <c r="G63" s="124"/>
      <c r="H63" s="124"/>
      <c r="I63" s="124" t="s">
        <v>98</v>
      </c>
      <c r="J63" s="124">
        <v>1750000</v>
      </c>
      <c r="K63" s="18"/>
    </row>
    <row r="64" spans="1:11" ht="18.75" customHeight="1" x14ac:dyDescent="0.25">
      <c r="A64" s="13">
        <v>60</v>
      </c>
      <c r="B64" s="14"/>
      <c r="C64" s="125" t="s">
        <v>1225</v>
      </c>
      <c r="D64" s="8">
        <v>46319</v>
      </c>
      <c r="E64" s="124">
        <v>1</v>
      </c>
      <c r="F64" s="124"/>
      <c r="G64" s="124"/>
      <c r="H64" s="124"/>
      <c r="I64" s="124"/>
      <c r="J64" s="124">
        <v>250000</v>
      </c>
      <c r="K64" s="18" t="s">
        <v>214</v>
      </c>
    </row>
    <row r="65" spans="1:11" ht="18.75" customHeight="1" x14ac:dyDescent="0.25">
      <c r="A65" s="13">
        <v>61</v>
      </c>
      <c r="B65" s="14"/>
      <c r="C65" s="125" t="s">
        <v>1226</v>
      </c>
      <c r="D65" s="8">
        <v>46327</v>
      </c>
      <c r="E65" s="124">
        <v>1</v>
      </c>
      <c r="F65" s="124"/>
      <c r="G65" s="124"/>
      <c r="H65" s="124"/>
      <c r="I65" s="124"/>
      <c r="J65" s="124">
        <v>250000</v>
      </c>
      <c r="K65" s="18" t="s">
        <v>49</v>
      </c>
    </row>
    <row r="66" spans="1:11" ht="18.75" customHeight="1" x14ac:dyDescent="0.25">
      <c r="A66" s="13">
        <v>62</v>
      </c>
      <c r="B66" s="14"/>
      <c r="C66" s="125"/>
      <c r="D66" s="8"/>
      <c r="E66" s="124">
        <v>1</v>
      </c>
      <c r="F66" s="124"/>
      <c r="G66" s="124"/>
      <c r="H66" s="124"/>
      <c r="I66" s="124"/>
      <c r="J66" s="124">
        <v>250000</v>
      </c>
      <c r="K66" s="18"/>
    </row>
    <row r="67" spans="1:11" ht="18.75" customHeight="1" x14ac:dyDescent="0.25">
      <c r="A67" s="13">
        <v>63</v>
      </c>
      <c r="B67" s="8">
        <v>46305</v>
      </c>
      <c r="C67" s="125" t="s">
        <v>1208</v>
      </c>
      <c r="D67" s="8">
        <v>46312</v>
      </c>
      <c r="E67" s="124"/>
      <c r="F67" s="124"/>
      <c r="G67" s="124">
        <v>100</v>
      </c>
      <c r="H67" s="124"/>
      <c r="I67" s="124"/>
      <c r="J67" s="124">
        <v>200000</v>
      </c>
      <c r="K67" s="18" t="s">
        <v>461</v>
      </c>
    </row>
    <row r="68" spans="1:11" ht="18.75" customHeight="1" x14ac:dyDescent="0.25">
      <c r="A68" s="13">
        <v>64</v>
      </c>
      <c r="B68" s="14"/>
      <c r="C68" s="125" t="s">
        <v>1207</v>
      </c>
      <c r="D68" s="8">
        <v>46320</v>
      </c>
      <c r="E68" s="124">
        <v>1</v>
      </c>
      <c r="F68" s="124"/>
      <c r="G68" s="124"/>
      <c r="H68" s="124"/>
      <c r="I68" s="124"/>
      <c r="J68" s="124">
        <v>250000</v>
      </c>
      <c r="K68" s="18" t="s">
        <v>41</v>
      </c>
    </row>
    <row r="69" spans="1:11" ht="18.75" customHeight="1" x14ac:dyDescent="0.25">
      <c r="A69" s="13">
        <v>65</v>
      </c>
      <c r="B69" s="14"/>
      <c r="C69" s="125" t="s">
        <v>1209</v>
      </c>
      <c r="D69" s="8">
        <v>46333</v>
      </c>
      <c r="E69" s="124"/>
      <c r="F69" s="124"/>
      <c r="G69" s="124">
        <v>100</v>
      </c>
      <c r="H69" s="124"/>
      <c r="I69" s="124"/>
      <c r="J69" s="124">
        <v>200000</v>
      </c>
      <c r="K69" s="18" t="s">
        <v>461</v>
      </c>
    </row>
    <row r="70" spans="1:11" ht="18.75" customHeight="1" x14ac:dyDescent="0.25">
      <c r="A70" s="13">
        <v>66</v>
      </c>
      <c r="B70" s="14"/>
      <c r="C70" s="125" t="s">
        <v>1211</v>
      </c>
      <c r="D70" s="8">
        <v>46306</v>
      </c>
      <c r="E70" s="124"/>
      <c r="F70" s="124"/>
      <c r="G70" s="124"/>
      <c r="H70" s="124"/>
      <c r="I70" s="124" t="s">
        <v>1212</v>
      </c>
      <c r="J70" s="124">
        <v>500000</v>
      </c>
      <c r="K70" s="18"/>
    </row>
    <row r="71" spans="1:11" ht="18.75" customHeight="1" x14ac:dyDescent="0.25">
      <c r="A71" s="13">
        <v>67</v>
      </c>
      <c r="B71" s="14"/>
      <c r="C71" s="125" t="s">
        <v>1206</v>
      </c>
      <c r="D71" s="8">
        <v>46309</v>
      </c>
      <c r="E71" s="124"/>
      <c r="F71" s="124"/>
      <c r="G71" s="124">
        <v>50</v>
      </c>
      <c r="H71" s="124"/>
      <c r="I71" s="124"/>
      <c r="J71" s="124">
        <v>100000</v>
      </c>
      <c r="K71" s="18" t="s">
        <v>201</v>
      </c>
    </row>
    <row r="72" spans="1:11" ht="18.75" customHeight="1" x14ac:dyDescent="0.25">
      <c r="A72" s="13">
        <v>68</v>
      </c>
      <c r="B72" s="14"/>
      <c r="C72" s="125" t="s">
        <v>1210</v>
      </c>
      <c r="D72" s="8">
        <v>46319</v>
      </c>
      <c r="E72" s="124"/>
      <c r="F72" s="124"/>
      <c r="G72" s="124">
        <v>50</v>
      </c>
      <c r="H72" s="124"/>
      <c r="I72" s="124"/>
      <c r="J72" s="124">
        <v>100000</v>
      </c>
      <c r="K72" s="18" t="s">
        <v>201</v>
      </c>
    </row>
    <row r="73" spans="1:11" ht="18.75" customHeight="1" x14ac:dyDescent="0.25">
      <c r="A73" s="13">
        <v>69</v>
      </c>
      <c r="B73" s="8">
        <v>46306</v>
      </c>
      <c r="C73" s="125" t="s">
        <v>1227</v>
      </c>
      <c r="D73" s="8">
        <v>46313</v>
      </c>
      <c r="E73" s="124">
        <v>2</v>
      </c>
      <c r="F73" s="124"/>
      <c r="G73" s="124"/>
      <c r="H73" s="124"/>
      <c r="I73" s="124"/>
      <c r="J73" s="124">
        <v>500000</v>
      </c>
      <c r="K73" s="18" t="s">
        <v>186</v>
      </c>
    </row>
    <row r="74" spans="1:11" ht="18.75" customHeight="1" x14ac:dyDescent="0.25">
      <c r="A74" s="13">
        <v>70</v>
      </c>
      <c r="B74" s="14"/>
      <c r="C74" s="125" t="s">
        <v>1228</v>
      </c>
      <c r="D74" s="8">
        <v>46341</v>
      </c>
      <c r="E74" s="124">
        <v>1</v>
      </c>
      <c r="F74" s="124"/>
      <c r="G74" s="124"/>
      <c r="H74" s="124"/>
      <c r="I74" s="124"/>
      <c r="J74" s="124">
        <v>250000</v>
      </c>
      <c r="K74" s="18"/>
    </row>
    <row r="75" spans="1:11" ht="18.75" customHeight="1" x14ac:dyDescent="0.25">
      <c r="A75" s="13">
        <v>71</v>
      </c>
      <c r="B75" s="8">
        <v>46307</v>
      </c>
      <c r="C75" s="125"/>
      <c r="D75" s="14"/>
      <c r="E75" s="124"/>
      <c r="F75" s="124"/>
      <c r="G75" s="124"/>
      <c r="H75" s="124"/>
      <c r="I75" s="124"/>
      <c r="J75" s="124"/>
      <c r="K75" s="18"/>
    </row>
    <row r="76" spans="1:11" ht="18.75" customHeight="1" x14ac:dyDescent="0.25">
      <c r="A76" s="13">
        <v>72</v>
      </c>
      <c r="B76" s="14"/>
      <c r="C76" s="125"/>
      <c r="D76" s="14"/>
      <c r="E76" s="124"/>
      <c r="F76" s="124"/>
      <c r="G76" s="124"/>
      <c r="H76" s="124"/>
      <c r="I76" s="124"/>
      <c r="J76" s="124"/>
      <c r="K76" s="18"/>
    </row>
    <row r="77" spans="1:11" ht="18.75" customHeight="1" x14ac:dyDescent="0.25">
      <c r="A77" s="13">
        <v>73</v>
      </c>
      <c r="B77" s="14"/>
      <c r="C77" s="125"/>
      <c r="D77" s="14"/>
      <c r="E77" s="124"/>
      <c r="F77" s="124"/>
      <c r="G77" s="124"/>
      <c r="H77" s="124"/>
      <c r="I77" s="124"/>
      <c r="J77" s="124"/>
      <c r="K77" s="18"/>
    </row>
    <row r="78" spans="1:11" ht="18.75" customHeight="1" x14ac:dyDescent="0.25">
      <c r="A78" s="13">
        <v>74</v>
      </c>
      <c r="B78" s="14"/>
      <c r="C78" s="125"/>
      <c r="D78" s="14"/>
      <c r="E78" s="124"/>
      <c r="F78" s="124"/>
      <c r="G78" s="124"/>
      <c r="H78" s="124"/>
      <c r="I78" s="124"/>
      <c r="J78" s="124"/>
      <c r="K78" s="18"/>
    </row>
    <row r="79" spans="1:11" ht="18.75" customHeight="1" x14ac:dyDescent="0.25">
      <c r="A79" s="13">
        <v>75</v>
      </c>
      <c r="B79" s="14"/>
      <c r="C79" s="125"/>
      <c r="D79" s="14"/>
      <c r="E79" s="124"/>
      <c r="F79" s="124"/>
      <c r="G79" s="124"/>
      <c r="H79" s="124"/>
      <c r="I79" s="124"/>
      <c r="J79" s="124"/>
      <c r="K79" s="18"/>
    </row>
    <row r="80" spans="1:11" ht="18.75" customHeight="1" x14ac:dyDescent="0.25">
      <c r="A80" s="13">
        <v>76</v>
      </c>
      <c r="B80" s="14"/>
      <c r="C80" s="125"/>
      <c r="D80" s="14"/>
      <c r="E80" s="124"/>
      <c r="F80" s="124"/>
      <c r="G80" s="124"/>
      <c r="H80" s="124"/>
      <c r="I80" s="124"/>
      <c r="J80" s="124"/>
      <c r="K80" s="18"/>
    </row>
    <row r="81" spans="1:11" ht="18.75" customHeight="1" x14ac:dyDescent="0.25">
      <c r="A81" s="13">
        <v>77</v>
      </c>
      <c r="B81" s="14"/>
      <c r="C81" s="125"/>
      <c r="D81" s="14"/>
      <c r="E81" s="124"/>
      <c r="F81" s="124"/>
      <c r="G81" s="124"/>
      <c r="H81" s="124"/>
      <c r="I81" s="124"/>
      <c r="J81" s="124"/>
      <c r="K81" s="18"/>
    </row>
    <row r="82" spans="1:11" ht="18.75" customHeight="1" x14ac:dyDescent="0.25">
      <c r="A82" s="13">
        <v>78</v>
      </c>
      <c r="B82" s="14"/>
      <c r="C82" s="125"/>
      <c r="D82" s="14"/>
      <c r="E82" s="124"/>
      <c r="F82" s="124"/>
      <c r="G82" s="124"/>
      <c r="H82" s="124"/>
      <c r="I82" s="124"/>
      <c r="J82" s="124"/>
      <c r="K82" s="18"/>
    </row>
    <row r="83" spans="1:11" ht="18.75" customHeight="1" x14ac:dyDescent="0.25">
      <c r="A83" s="13">
        <v>79</v>
      </c>
      <c r="B83" s="14"/>
      <c r="C83" s="125"/>
      <c r="D83" s="14"/>
      <c r="E83" s="124"/>
      <c r="F83" s="124"/>
      <c r="G83" s="124"/>
      <c r="H83" s="124"/>
      <c r="I83" s="124"/>
      <c r="J83" s="124"/>
      <c r="K83" s="18"/>
    </row>
    <row r="84" spans="1:11" ht="18.75" customHeight="1" x14ac:dyDescent="0.25">
      <c r="A84" s="13">
        <v>80</v>
      </c>
      <c r="B84" s="14"/>
      <c r="C84" s="125"/>
      <c r="D84" s="14"/>
      <c r="E84" s="124"/>
      <c r="F84" s="124"/>
      <c r="G84" s="124"/>
      <c r="H84" s="124"/>
      <c r="I84" s="124"/>
      <c r="J84" s="124"/>
      <c r="K84" s="18"/>
    </row>
    <row r="85" spans="1:11" ht="18.75" customHeight="1" x14ac:dyDescent="0.25">
      <c r="A85" s="13">
        <v>81</v>
      </c>
      <c r="B85" s="14"/>
      <c r="C85" s="125"/>
      <c r="D85" s="14"/>
      <c r="E85" s="124"/>
      <c r="F85" s="124"/>
      <c r="G85" s="124"/>
      <c r="H85" s="124"/>
      <c r="I85" s="124"/>
      <c r="J85" s="124"/>
      <c r="K85" s="18"/>
    </row>
    <row r="86" spans="1:11" ht="18.75" customHeight="1" x14ac:dyDescent="0.25">
      <c r="A86" s="13">
        <v>82</v>
      </c>
      <c r="B86" s="14"/>
      <c r="C86" s="125"/>
      <c r="D86" s="14"/>
      <c r="E86" s="124"/>
      <c r="F86" s="124"/>
      <c r="G86" s="124"/>
      <c r="H86" s="124"/>
      <c r="I86" s="124"/>
      <c r="J86" s="124"/>
      <c r="K86" s="18"/>
    </row>
    <row r="87" spans="1:11" ht="18.75" customHeight="1" x14ac:dyDescent="0.25">
      <c r="A87" s="13">
        <v>83</v>
      </c>
      <c r="B87" s="14"/>
      <c r="C87" s="125"/>
      <c r="D87" s="14"/>
      <c r="E87" s="124"/>
      <c r="F87" s="124"/>
      <c r="G87" s="124"/>
      <c r="H87" s="124"/>
      <c r="I87" s="124"/>
      <c r="J87" s="124"/>
      <c r="K87" s="18"/>
    </row>
    <row r="88" spans="1:11" ht="18.75" customHeight="1" x14ac:dyDescent="0.25">
      <c r="A88" s="13">
        <v>84</v>
      </c>
      <c r="B88" s="14"/>
      <c r="C88" s="125"/>
      <c r="D88" s="14"/>
      <c r="E88" s="124"/>
      <c r="F88" s="124"/>
      <c r="G88" s="124"/>
      <c r="H88" s="124"/>
      <c r="I88" s="124"/>
      <c r="J88" s="124"/>
      <c r="K88" s="18"/>
    </row>
    <row r="89" spans="1:11" ht="18.75" customHeight="1" x14ac:dyDescent="0.25">
      <c r="A89" s="13">
        <v>85</v>
      </c>
      <c r="B89" s="14"/>
      <c r="C89" s="125"/>
      <c r="D89" s="14"/>
      <c r="E89" s="124"/>
      <c r="F89" s="124"/>
      <c r="G89" s="124"/>
      <c r="H89" s="124"/>
      <c r="I89" s="124"/>
      <c r="J89" s="124"/>
      <c r="K89" s="18"/>
    </row>
    <row r="90" spans="1:11" ht="18.75" customHeight="1" x14ac:dyDescent="0.25">
      <c r="A90" s="13">
        <v>86</v>
      </c>
      <c r="B90" s="14"/>
      <c r="C90" s="125"/>
      <c r="D90" s="14"/>
      <c r="E90" s="124"/>
      <c r="F90" s="124"/>
      <c r="G90" s="124"/>
      <c r="H90" s="124"/>
      <c r="I90" s="124"/>
      <c r="J90" s="124"/>
      <c r="K90" s="18"/>
    </row>
    <row r="91" spans="1:11" ht="18.75" customHeight="1" x14ac:dyDescent="0.25">
      <c r="A91" s="13">
        <v>87</v>
      </c>
      <c r="B91" s="14"/>
      <c r="C91" s="125"/>
      <c r="D91" s="14"/>
      <c r="E91" s="124"/>
      <c r="F91" s="124"/>
      <c r="G91" s="124"/>
      <c r="H91" s="124"/>
      <c r="I91" s="124"/>
      <c r="J91" s="124"/>
      <c r="K91" s="18"/>
    </row>
    <row r="92" spans="1:11" ht="18.75" customHeight="1" x14ac:dyDescent="0.25">
      <c r="A92" s="13">
        <v>88</v>
      </c>
      <c r="B92" s="14"/>
      <c r="C92" s="125"/>
      <c r="D92" s="14"/>
      <c r="E92" s="124"/>
      <c r="F92" s="124"/>
      <c r="G92" s="124"/>
      <c r="H92" s="124"/>
      <c r="I92" s="124"/>
      <c r="J92" s="124"/>
      <c r="K92" s="18"/>
    </row>
    <row r="93" spans="1:11" ht="18.75" customHeight="1" x14ac:dyDescent="0.25">
      <c r="A93" s="13">
        <v>89</v>
      </c>
      <c r="B93" s="14"/>
      <c r="C93" s="125"/>
      <c r="D93" s="14"/>
      <c r="E93" s="124"/>
      <c r="F93" s="124"/>
      <c r="G93" s="124"/>
      <c r="H93" s="124"/>
      <c r="I93" s="124"/>
      <c r="J93" s="124"/>
      <c r="K93" s="18"/>
    </row>
    <row r="94" spans="1:11" ht="18.75" customHeight="1" x14ac:dyDescent="0.25">
      <c r="A94" s="13">
        <v>90</v>
      </c>
      <c r="B94" s="14"/>
      <c r="C94" s="125"/>
      <c r="D94" s="14"/>
      <c r="E94" s="124"/>
      <c r="F94" s="124"/>
      <c r="G94" s="124"/>
      <c r="H94" s="124"/>
      <c r="I94" s="124"/>
      <c r="J94" s="124"/>
      <c r="K94" s="18"/>
    </row>
    <row r="95" spans="1:11" ht="18.75" customHeight="1" x14ac:dyDescent="0.25">
      <c r="A95" s="13">
        <v>91</v>
      </c>
      <c r="B95" s="14"/>
      <c r="C95" s="125"/>
      <c r="D95" s="14"/>
      <c r="E95" s="124"/>
      <c r="F95" s="124"/>
      <c r="G95" s="124"/>
      <c r="H95" s="124"/>
      <c r="I95" s="124"/>
      <c r="J95" s="124"/>
      <c r="K95" s="18"/>
    </row>
    <row r="96" spans="1:11" ht="18.75" customHeight="1" x14ac:dyDescent="0.25">
      <c r="A96" s="13">
        <v>92</v>
      </c>
      <c r="B96" s="14"/>
      <c r="C96" s="125"/>
      <c r="D96" s="14"/>
      <c r="E96" s="124"/>
      <c r="F96" s="124"/>
      <c r="G96" s="124"/>
      <c r="H96" s="124"/>
      <c r="I96" s="124"/>
      <c r="J96" s="124"/>
      <c r="K96" s="18"/>
    </row>
    <row r="97" spans="1:11" ht="20.25" customHeight="1" x14ac:dyDescent="0.25">
      <c r="A97" s="4"/>
      <c r="B97" s="30"/>
      <c r="C97" s="151" t="s">
        <v>12</v>
      </c>
      <c r="D97" s="151"/>
      <c r="E97" s="43">
        <f t="shared" ref="E97:J97" si="0">SUM(E6:E96)</f>
        <v>48</v>
      </c>
      <c r="F97" s="43">
        <f t="shared" si="0"/>
        <v>2</v>
      </c>
      <c r="G97" s="43">
        <f t="shared" si="0"/>
        <v>2000</v>
      </c>
      <c r="H97" s="43">
        <f t="shared" si="0"/>
        <v>3</v>
      </c>
      <c r="I97" s="43">
        <f t="shared" si="0"/>
        <v>0</v>
      </c>
      <c r="J97" s="43">
        <f t="shared" si="0"/>
        <v>20300000</v>
      </c>
      <c r="K97" s="30"/>
    </row>
    <row r="98" spans="1:11" ht="15.75" x14ac:dyDescent="0.25">
      <c r="A98" s="52"/>
      <c r="B98" s="24"/>
      <c r="C98" s="24"/>
      <c r="D98" s="24"/>
      <c r="E98" s="24"/>
      <c r="F98" s="24"/>
      <c r="G98" s="24"/>
      <c r="H98" s="24"/>
      <c r="I98" s="24"/>
      <c r="J98" s="24"/>
      <c r="K98" s="24"/>
    </row>
    <row r="99" spans="1:11" ht="15.75" customHeight="1" x14ac:dyDescent="0.25">
      <c r="H99" s="58"/>
      <c r="I99" s="149" t="s">
        <v>1165</v>
      </c>
      <c r="J99" s="149"/>
      <c r="K99" s="149"/>
    </row>
    <row r="100" spans="1:11" ht="15.75" customHeight="1" x14ac:dyDescent="0.25">
      <c r="H100" s="58"/>
      <c r="I100" s="57"/>
      <c r="J100" s="57"/>
      <c r="K100" s="57"/>
    </row>
    <row r="101" spans="1:11" ht="15.75" customHeight="1" x14ac:dyDescent="0.25">
      <c r="A101" s="148" t="s">
        <v>75</v>
      </c>
      <c r="B101" s="148"/>
      <c r="C101" s="148"/>
      <c r="D101" s="148"/>
      <c r="H101" s="58"/>
      <c r="I101" s="149"/>
      <c r="J101" s="149"/>
      <c r="K101" s="149"/>
    </row>
    <row r="102" spans="1:11" ht="15.75" customHeight="1" x14ac:dyDescent="0.25">
      <c r="A102" s="149" t="s">
        <v>76</v>
      </c>
      <c r="B102" s="149"/>
      <c r="C102" s="149"/>
      <c r="D102" s="149"/>
      <c r="H102" s="58"/>
      <c r="I102" s="149" t="s">
        <v>69</v>
      </c>
      <c r="J102" s="149"/>
      <c r="K102" s="149"/>
    </row>
    <row r="103" spans="1:11" ht="15.75" customHeight="1" x14ac:dyDescent="0.25">
      <c r="A103" s="149" t="s">
        <v>77</v>
      </c>
      <c r="B103" s="149"/>
      <c r="C103" s="149"/>
      <c r="D103" s="149"/>
      <c r="H103" s="55"/>
      <c r="I103" s="55"/>
      <c r="J103" s="56"/>
      <c r="K103" s="56"/>
    </row>
    <row r="104" spans="1:11" ht="15.75" customHeight="1" x14ac:dyDescent="0.25">
      <c r="A104" s="149" t="s">
        <v>65</v>
      </c>
      <c r="B104" s="149"/>
      <c r="C104" s="149"/>
      <c r="D104" s="149"/>
      <c r="H104" s="55"/>
      <c r="I104" s="58"/>
      <c r="J104" s="58"/>
      <c r="K104" s="58"/>
    </row>
    <row r="105" spans="1:11" ht="15.75" x14ac:dyDescent="0.25">
      <c r="A105" s="148" t="s">
        <v>66</v>
      </c>
      <c r="B105" s="148"/>
      <c r="C105" s="148"/>
      <c r="D105" s="148"/>
      <c r="H105" s="55"/>
      <c r="I105" s="149"/>
      <c r="J105" s="149"/>
      <c r="K105" s="149"/>
    </row>
    <row r="106" spans="1:11" ht="15.75" x14ac:dyDescent="0.25">
      <c r="A106" s="55"/>
      <c r="B106" s="56"/>
      <c r="C106" s="56"/>
      <c r="H106" s="58"/>
      <c r="I106" s="149"/>
      <c r="J106" s="149"/>
      <c r="K106" s="149"/>
    </row>
    <row r="107" spans="1:11" ht="15.75" x14ac:dyDescent="0.25">
      <c r="A107" s="58"/>
      <c r="B107" s="58"/>
      <c r="C107" s="58"/>
      <c r="E107" s="148"/>
      <c r="F107" s="148"/>
      <c r="G107" s="148"/>
      <c r="H107" s="148"/>
      <c r="I107" s="58"/>
      <c r="J107" s="58"/>
      <c r="K107" s="58"/>
    </row>
    <row r="108" spans="1:11" ht="15.75" customHeight="1" x14ac:dyDescent="0.25">
      <c r="A108" s="149" t="s">
        <v>67</v>
      </c>
      <c r="B108" s="149"/>
      <c r="C108" s="149"/>
      <c r="D108" s="149"/>
      <c r="E108" s="149"/>
      <c r="F108" s="149"/>
      <c r="G108" s="149"/>
      <c r="H108" s="149"/>
      <c r="I108" s="149" t="s">
        <v>70</v>
      </c>
      <c r="J108" s="149"/>
      <c r="K108" s="149"/>
    </row>
    <row r="109" spans="1:11" ht="15.75" customHeight="1" x14ac:dyDescent="0.25">
      <c r="A109" s="149" t="s">
        <v>68</v>
      </c>
      <c r="B109" s="149"/>
      <c r="C109" s="149"/>
      <c r="D109" s="149"/>
      <c r="E109" s="149"/>
      <c r="F109" s="149"/>
      <c r="G109" s="149"/>
      <c r="H109" s="149"/>
      <c r="I109" s="149" t="s">
        <v>71</v>
      </c>
      <c r="J109" s="149"/>
      <c r="K109" s="149"/>
    </row>
  </sheetData>
  <mergeCells count="21">
    <mergeCell ref="A109:D109"/>
    <mergeCell ref="E109:H109"/>
    <mergeCell ref="I109:K109"/>
    <mergeCell ref="A102:D102"/>
    <mergeCell ref="I102:K102"/>
    <mergeCell ref="A103:D103"/>
    <mergeCell ref="A104:D104"/>
    <mergeCell ref="A105:D105"/>
    <mergeCell ref="I105:K105"/>
    <mergeCell ref="I106:K106"/>
    <mergeCell ref="E107:H107"/>
    <mergeCell ref="A108:D108"/>
    <mergeCell ref="E108:H108"/>
    <mergeCell ref="I108:K108"/>
    <mergeCell ref="A101:D101"/>
    <mergeCell ref="I101:K101"/>
    <mergeCell ref="A1:K1"/>
    <mergeCell ref="A2:K2"/>
    <mergeCell ref="A3:K3"/>
    <mergeCell ref="C97:D97"/>
    <mergeCell ref="I99:K99"/>
  </mergeCells>
  <pageMargins left="0.27559055118110237" right="0.15748031496062992" top="0.55118110236220474" bottom="0.55118110236220474" header="0.31496062992125984" footer="0.31496062992125984"/>
  <pageSetup paperSize="122" scale="85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3711F1-38A9-4E06-83C7-89F056578627}">
          <x14:formula1>
            <xm:f>Sheet1!$B$3:$B$13</xm:f>
          </x14:formula1>
          <xm:sqref>K104:K109 K101:K102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"/>
  <sheetViews>
    <sheetView workbookViewId="0">
      <selection activeCell="W13" sqref="W13"/>
    </sheetView>
  </sheetViews>
  <sheetFormatPr defaultRowHeight="15" x14ac:dyDescent="0.25"/>
  <cols>
    <col min="1" max="1" width="4.7109375" customWidth="1"/>
    <col min="2" max="2" width="11.140625" customWidth="1"/>
    <col min="3" max="3" width="6" customWidth="1"/>
    <col min="4" max="4" width="12.42578125" customWidth="1"/>
    <col min="5" max="5" width="7.42578125" customWidth="1"/>
    <col min="6" max="6" width="12" customWidth="1"/>
    <col min="7" max="7" width="4.85546875" customWidth="1"/>
    <col min="8" max="8" width="10.28515625" customWidth="1"/>
    <col min="9" max="9" width="4.28515625" customWidth="1"/>
    <col min="10" max="10" width="11.140625" customWidth="1"/>
    <col min="11" max="11" width="4.28515625" customWidth="1"/>
    <col min="12" max="12" width="11.140625" customWidth="1"/>
    <col min="13" max="13" width="4.42578125" customWidth="1"/>
    <col min="14" max="14" width="10.140625" customWidth="1"/>
    <col min="15" max="15" width="4.5703125" customWidth="1"/>
    <col min="16" max="16" width="13.140625" customWidth="1"/>
    <col min="17" max="17" width="6.85546875" customWidth="1"/>
    <col min="18" max="18" width="11.7109375" customWidth="1"/>
    <col min="19" max="19" width="14" customWidth="1"/>
  </cols>
  <sheetData>
    <row r="1" spans="1:19" ht="18" customHeight="1" x14ac:dyDescent="0.25">
      <c r="A1" s="162" t="s">
        <v>79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</row>
    <row r="2" spans="1:19" ht="18" customHeight="1" x14ac:dyDescent="0.25">
      <c r="A2" s="162" t="s">
        <v>14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</row>
    <row r="3" spans="1:19" ht="18" customHeight="1" x14ac:dyDescent="0.25">
      <c r="A3" s="162" t="s">
        <v>81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</row>
    <row r="4" spans="1:19" ht="18" customHeight="1" x14ac:dyDescent="0.25">
      <c r="A4" s="162" t="s">
        <v>83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</row>
    <row r="5" spans="1:19" ht="15.75" thickBo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75" thickBot="1" x14ac:dyDescent="0.3">
      <c r="A6" s="163" t="s">
        <v>15</v>
      </c>
      <c r="B6" s="165" t="s">
        <v>16</v>
      </c>
      <c r="C6" s="167" t="s">
        <v>17</v>
      </c>
      <c r="D6" s="168"/>
      <c r="E6" s="167" t="s">
        <v>18</v>
      </c>
      <c r="F6" s="168"/>
      <c r="G6" s="156" t="s">
        <v>19</v>
      </c>
      <c r="H6" s="157"/>
      <c r="I6" s="156" t="s">
        <v>20</v>
      </c>
      <c r="J6" s="157"/>
      <c r="K6" s="156" t="s">
        <v>21</v>
      </c>
      <c r="L6" s="157"/>
      <c r="M6" s="156" t="s">
        <v>22</v>
      </c>
      <c r="N6" s="157"/>
      <c r="O6" s="158" t="s">
        <v>23</v>
      </c>
      <c r="P6" s="159"/>
      <c r="Q6" s="158" t="s">
        <v>78</v>
      </c>
      <c r="R6" s="159"/>
      <c r="S6" s="60" t="s">
        <v>24</v>
      </c>
    </row>
    <row r="7" spans="1:19" ht="15.75" thickBot="1" x14ac:dyDescent="0.3">
      <c r="A7" s="164"/>
      <c r="B7" s="166"/>
      <c r="C7" s="59" t="s">
        <v>25</v>
      </c>
      <c r="D7" s="61" t="s">
        <v>26</v>
      </c>
      <c r="E7" s="59" t="s">
        <v>25</v>
      </c>
      <c r="F7" s="61" t="s">
        <v>26</v>
      </c>
      <c r="G7" s="59" t="s">
        <v>27</v>
      </c>
      <c r="H7" s="61" t="s">
        <v>26</v>
      </c>
      <c r="I7" s="59" t="s">
        <v>25</v>
      </c>
      <c r="J7" s="61" t="s">
        <v>26</v>
      </c>
      <c r="K7" s="59" t="s">
        <v>25</v>
      </c>
      <c r="L7" s="61" t="s">
        <v>26</v>
      </c>
      <c r="M7" s="59" t="s">
        <v>25</v>
      </c>
      <c r="N7" s="61" t="s">
        <v>26</v>
      </c>
      <c r="O7" s="59" t="s">
        <v>25</v>
      </c>
      <c r="P7" s="61" t="s">
        <v>26</v>
      </c>
      <c r="Q7" s="59" t="s">
        <v>25</v>
      </c>
      <c r="R7" s="61" t="s">
        <v>26</v>
      </c>
      <c r="S7" s="61" t="s">
        <v>26</v>
      </c>
    </row>
    <row r="8" spans="1:19" ht="18" customHeight="1" x14ac:dyDescent="0.25">
      <c r="A8" s="62">
        <v>1</v>
      </c>
      <c r="B8" s="63" t="s">
        <v>28</v>
      </c>
      <c r="C8" s="64"/>
      <c r="D8" s="65">
        <f>C8*250000</f>
        <v>0</v>
      </c>
      <c r="E8" s="66"/>
      <c r="F8" s="67">
        <f>E8*2000</f>
        <v>0</v>
      </c>
      <c r="G8" s="68"/>
      <c r="H8" s="69">
        <f>G8*100000</f>
        <v>0</v>
      </c>
      <c r="I8" s="68"/>
      <c r="J8" s="68">
        <f>I8*750000</f>
        <v>0</v>
      </c>
      <c r="K8" s="68"/>
      <c r="L8" s="68">
        <f>K8*1000000</f>
        <v>0</v>
      </c>
      <c r="M8" s="68"/>
      <c r="N8" s="68">
        <f>M8*250000</f>
        <v>0</v>
      </c>
      <c r="O8" s="70"/>
      <c r="P8" s="70">
        <f>O8*750000</f>
        <v>0</v>
      </c>
      <c r="Q8" s="70"/>
      <c r="R8" s="70">
        <f>Q8*2500000</f>
        <v>0</v>
      </c>
      <c r="S8" s="65">
        <f>D8+F8+H8+J8+L8+N8+P8+R8</f>
        <v>0</v>
      </c>
    </row>
    <row r="9" spans="1:19" ht="18" customHeight="1" x14ac:dyDescent="0.25">
      <c r="A9" s="71">
        <v>2</v>
      </c>
      <c r="B9" s="72" t="s">
        <v>29</v>
      </c>
      <c r="C9" s="73"/>
      <c r="D9" s="74">
        <f t="shared" ref="D9:D19" si="0">C9*250000</f>
        <v>0</v>
      </c>
      <c r="E9" s="75"/>
      <c r="F9" s="76">
        <f t="shared" ref="F9:F19" si="1">E9*2000</f>
        <v>0</v>
      </c>
      <c r="G9" s="77"/>
      <c r="H9" s="78">
        <f t="shared" ref="H9:H19" si="2">G9*100000</f>
        <v>0</v>
      </c>
      <c r="I9" s="77"/>
      <c r="J9" s="77">
        <f t="shared" ref="J9:J19" si="3">I9*750000</f>
        <v>0</v>
      </c>
      <c r="K9" s="77"/>
      <c r="L9" s="77">
        <f t="shared" ref="L9:L19" si="4">K9*1000000</f>
        <v>0</v>
      </c>
      <c r="M9" s="77"/>
      <c r="N9" s="74">
        <f t="shared" ref="N9:N19" si="5">M9*250000</f>
        <v>0</v>
      </c>
      <c r="O9" s="79"/>
      <c r="P9" s="79">
        <f>O9*750000</f>
        <v>0</v>
      </c>
      <c r="Q9" s="79"/>
      <c r="R9" s="79">
        <f>Q9*2500000</f>
        <v>0</v>
      </c>
      <c r="S9" s="74">
        <f>D9+F9+H9+J9+L9+N9+P9+R9</f>
        <v>0</v>
      </c>
    </row>
    <row r="10" spans="1:19" ht="18" customHeight="1" x14ac:dyDescent="0.25">
      <c r="A10" s="71">
        <v>3</v>
      </c>
      <c r="B10" s="72" t="s">
        <v>30</v>
      </c>
      <c r="C10" s="73"/>
      <c r="D10" s="74">
        <f t="shared" si="0"/>
        <v>0</v>
      </c>
      <c r="E10" s="75"/>
      <c r="F10" s="76">
        <f t="shared" si="1"/>
        <v>0</v>
      </c>
      <c r="G10" s="77"/>
      <c r="H10" s="78">
        <f t="shared" si="2"/>
        <v>0</v>
      </c>
      <c r="I10" s="77"/>
      <c r="J10" s="77">
        <f t="shared" si="3"/>
        <v>0</v>
      </c>
      <c r="K10" s="77"/>
      <c r="L10" s="77">
        <f t="shared" si="4"/>
        <v>0</v>
      </c>
      <c r="M10" s="77"/>
      <c r="N10" s="74">
        <f t="shared" si="5"/>
        <v>0</v>
      </c>
      <c r="O10" s="79"/>
      <c r="P10" s="79">
        <f t="shared" ref="P10:P19" si="6">O10*750000</f>
        <v>0</v>
      </c>
      <c r="Q10" s="79"/>
      <c r="R10" s="79">
        <f t="shared" ref="R10:R19" si="7">Q10*2500000</f>
        <v>0</v>
      </c>
      <c r="S10" s="74">
        <f t="shared" ref="S10:S19" si="8">D10+F10+H10+J10+L10+N10+P10+R10</f>
        <v>0</v>
      </c>
    </row>
    <row r="11" spans="1:19" ht="18" customHeight="1" x14ac:dyDescent="0.25">
      <c r="A11" s="71">
        <v>4</v>
      </c>
      <c r="B11" s="72" t="s">
        <v>31</v>
      </c>
      <c r="C11" s="73"/>
      <c r="D11" s="74">
        <f t="shared" si="0"/>
        <v>0</v>
      </c>
      <c r="E11" s="75"/>
      <c r="F11" s="76">
        <f t="shared" si="1"/>
        <v>0</v>
      </c>
      <c r="G11" s="77"/>
      <c r="H11" s="78">
        <f t="shared" si="2"/>
        <v>0</v>
      </c>
      <c r="I11" s="77"/>
      <c r="J11" s="77">
        <f t="shared" si="3"/>
        <v>0</v>
      </c>
      <c r="K11" s="77"/>
      <c r="L11" s="77">
        <f t="shared" si="4"/>
        <v>0</v>
      </c>
      <c r="M11" s="77"/>
      <c r="N11" s="74">
        <f t="shared" si="5"/>
        <v>0</v>
      </c>
      <c r="O11" s="79"/>
      <c r="P11" s="79">
        <f t="shared" si="6"/>
        <v>0</v>
      </c>
      <c r="Q11" s="79"/>
      <c r="R11" s="79">
        <f t="shared" si="7"/>
        <v>0</v>
      </c>
      <c r="S11" s="74">
        <f t="shared" si="8"/>
        <v>0</v>
      </c>
    </row>
    <row r="12" spans="1:19" ht="18" customHeight="1" x14ac:dyDescent="0.25">
      <c r="A12" s="71">
        <v>5</v>
      </c>
      <c r="B12" s="72" t="s">
        <v>32</v>
      </c>
      <c r="C12" s="73"/>
      <c r="D12" s="74">
        <f t="shared" si="0"/>
        <v>0</v>
      </c>
      <c r="E12" s="75"/>
      <c r="F12" s="76">
        <f t="shared" si="1"/>
        <v>0</v>
      </c>
      <c r="G12" s="77"/>
      <c r="H12" s="78">
        <f t="shared" si="2"/>
        <v>0</v>
      </c>
      <c r="I12" s="77"/>
      <c r="J12" s="77">
        <f t="shared" si="3"/>
        <v>0</v>
      </c>
      <c r="K12" s="77"/>
      <c r="L12" s="77">
        <f t="shared" si="4"/>
        <v>0</v>
      </c>
      <c r="M12" s="77"/>
      <c r="N12" s="74">
        <f t="shared" si="5"/>
        <v>0</v>
      </c>
      <c r="O12" s="79"/>
      <c r="P12" s="79">
        <f t="shared" si="6"/>
        <v>0</v>
      </c>
      <c r="Q12" s="79"/>
      <c r="R12" s="79">
        <f t="shared" si="7"/>
        <v>0</v>
      </c>
      <c r="S12" s="74">
        <f t="shared" si="8"/>
        <v>0</v>
      </c>
    </row>
    <row r="13" spans="1:19" ht="18" customHeight="1" x14ac:dyDescent="0.25">
      <c r="A13" s="71">
        <v>6</v>
      </c>
      <c r="B13" s="72" t="s">
        <v>33</v>
      </c>
      <c r="C13" s="73"/>
      <c r="D13" s="74">
        <f t="shared" si="0"/>
        <v>0</v>
      </c>
      <c r="E13" s="75"/>
      <c r="F13" s="76">
        <f t="shared" si="1"/>
        <v>0</v>
      </c>
      <c r="G13" s="77"/>
      <c r="H13" s="78">
        <f t="shared" si="2"/>
        <v>0</v>
      </c>
      <c r="I13" s="77"/>
      <c r="J13" s="77">
        <f t="shared" si="3"/>
        <v>0</v>
      </c>
      <c r="K13" s="77"/>
      <c r="L13" s="77">
        <f t="shared" si="4"/>
        <v>0</v>
      </c>
      <c r="M13" s="77"/>
      <c r="N13" s="74">
        <f t="shared" si="5"/>
        <v>0</v>
      </c>
      <c r="O13" s="79"/>
      <c r="P13" s="79">
        <f t="shared" si="6"/>
        <v>0</v>
      </c>
      <c r="Q13" s="79"/>
      <c r="R13" s="79">
        <f t="shared" si="7"/>
        <v>0</v>
      </c>
      <c r="S13" s="74">
        <f t="shared" si="8"/>
        <v>0</v>
      </c>
    </row>
    <row r="14" spans="1:19" ht="18" customHeight="1" x14ac:dyDescent="0.25">
      <c r="A14" s="71">
        <v>7</v>
      </c>
      <c r="B14" s="72" t="s">
        <v>34</v>
      </c>
      <c r="C14" s="73"/>
      <c r="D14" s="74">
        <f t="shared" si="0"/>
        <v>0</v>
      </c>
      <c r="E14" s="75"/>
      <c r="F14" s="76">
        <f t="shared" si="1"/>
        <v>0</v>
      </c>
      <c r="G14" s="77"/>
      <c r="H14" s="78">
        <f t="shared" si="2"/>
        <v>0</v>
      </c>
      <c r="I14" s="77"/>
      <c r="J14" s="77">
        <f t="shared" si="3"/>
        <v>0</v>
      </c>
      <c r="K14" s="77"/>
      <c r="L14" s="77">
        <f t="shared" si="4"/>
        <v>0</v>
      </c>
      <c r="M14" s="77"/>
      <c r="N14" s="74">
        <f t="shared" si="5"/>
        <v>0</v>
      </c>
      <c r="O14" s="79"/>
      <c r="P14" s="79">
        <f t="shared" si="6"/>
        <v>0</v>
      </c>
      <c r="Q14" s="79"/>
      <c r="R14" s="79">
        <f t="shared" si="7"/>
        <v>0</v>
      </c>
      <c r="S14" s="74">
        <f t="shared" si="8"/>
        <v>0</v>
      </c>
    </row>
    <row r="15" spans="1:19" ht="18" customHeight="1" x14ac:dyDescent="0.25">
      <c r="A15" s="71">
        <v>8</v>
      </c>
      <c r="B15" s="72" t="s">
        <v>35</v>
      </c>
      <c r="C15" s="73"/>
      <c r="D15" s="74">
        <f t="shared" si="0"/>
        <v>0</v>
      </c>
      <c r="E15" s="75"/>
      <c r="F15" s="76">
        <f t="shared" si="1"/>
        <v>0</v>
      </c>
      <c r="G15" s="77"/>
      <c r="H15" s="78">
        <f t="shared" si="2"/>
        <v>0</v>
      </c>
      <c r="I15" s="77"/>
      <c r="J15" s="77">
        <f t="shared" si="3"/>
        <v>0</v>
      </c>
      <c r="K15" s="77"/>
      <c r="L15" s="77">
        <f t="shared" si="4"/>
        <v>0</v>
      </c>
      <c r="M15" s="77"/>
      <c r="N15" s="74">
        <f t="shared" si="5"/>
        <v>0</v>
      </c>
      <c r="O15" s="79"/>
      <c r="P15" s="79">
        <f t="shared" si="6"/>
        <v>0</v>
      </c>
      <c r="Q15" s="79"/>
      <c r="R15" s="79">
        <f t="shared" si="7"/>
        <v>0</v>
      </c>
      <c r="S15" s="74">
        <f t="shared" si="8"/>
        <v>0</v>
      </c>
    </row>
    <row r="16" spans="1:19" ht="18" customHeight="1" x14ac:dyDescent="0.25">
      <c r="A16" s="71">
        <v>9</v>
      </c>
      <c r="B16" s="72" t="s">
        <v>36</v>
      </c>
      <c r="C16" s="73"/>
      <c r="D16" s="74">
        <f t="shared" si="0"/>
        <v>0</v>
      </c>
      <c r="E16" s="75"/>
      <c r="F16" s="76">
        <f t="shared" si="1"/>
        <v>0</v>
      </c>
      <c r="G16" s="77"/>
      <c r="H16" s="78">
        <f t="shared" si="2"/>
        <v>0</v>
      </c>
      <c r="I16" s="77"/>
      <c r="J16" s="77">
        <f t="shared" si="3"/>
        <v>0</v>
      </c>
      <c r="K16" s="77"/>
      <c r="L16" s="77">
        <f t="shared" si="4"/>
        <v>0</v>
      </c>
      <c r="M16" s="77"/>
      <c r="N16" s="74">
        <f t="shared" si="5"/>
        <v>0</v>
      </c>
      <c r="O16" s="79"/>
      <c r="P16" s="79">
        <f t="shared" si="6"/>
        <v>0</v>
      </c>
      <c r="Q16" s="79"/>
      <c r="R16" s="79">
        <f t="shared" si="7"/>
        <v>0</v>
      </c>
      <c r="S16" s="74">
        <f t="shared" si="8"/>
        <v>0</v>
      </c>
    </row>
    <row r="17" spans="1:19" ht="18" customHeight="1" x14ac:dyDescent="0.25">
      <c r="A17" s="71">
        <v>10</v>
      </c>
      <c r="B17" s="72" t="s">
        <v>37</v>
      </c>
      <c r="C17" s="73"/>
      <c r="D17" s="74">
        <f t="shared" si="0"/>
        <v>0</v>
      </c>
      <c r="E17" s="75"/>
      <c r="F17" s="76">
        <f t="shared" si="1"/>
        <v>0</v>
      </c>
      <c r="G17" s="77"/>
      <c r="H17" s="78">
        <f t="shared" si="2"/>
        <v>0</v>
      </c>
      <c r="I17" s="77"/>
      <c r="J17" s="77">
        <f t="shared" si="3"/>
        <v>0</v>
      </c>
      <c r="K17" s="77"/>
      <c r="L17" s="77">
        <f t="shared" si="4"/>
        <v>0</v>
      </c>
      <c r="M17" s="77"/>
      <c r="N17" s="74">
        <f t="shared" si="5"/>
        <v>0</v>
      </c>
      <c r="O17" s="79"/>
      <c r="P17" s="79">
        <f t="shared" si="6"/>
        <v>0</v>
      </c>
      <c r="Q17" s="79"/>
      <c r="R17" s="79">
        <f t="shared" si="7"/>
        <v>0</v>
      </c>
      <c r="S17" s="74">
        <f t="shared" si="8"/>
        <v>0</v>
      </c>
    </row>
    <row r="18" spans="1:19" ht="18" customHeight="1" x14ac:dyDescent="0.25">
      <c r="A18" s="71">
        <v>11</v>
      </c>
      <c r="B18" s="72" t="s">
        <v>38</v>
      </c>
      <c r="C18" s="73"/>
      <c r="D18" s="74">
        <f t="shared" si="0"/>
        <v>0</v>
      </c>
      <c r="E18" s="75"/>
      <c r="F18" s="76">
        <f t="shared" si="1"/>
        <v>0</v>
      </c>
      <c r="G18" s="77"/>
      <c r="H18" s="78">
        <f t="shared" si="2"/>
        <v>0</v>
      </c>
      <c r="I18" s="77"/>
      <c r="J18" s="77">
        <f t="shared" si="3"/>
        <v>0</v>
      </c>
      <c r="K18" s="77"/>
      <c r="L18" s="77">
        <f t="shared" si="4"/>
        <v>0</v>
      </c>
      <c r="M18" s="77"/>
      <c r="N18" s="74">
        <f t="shared" si="5"/>
        <v>0</v>
      </c>
      <c r="O18" s="79"/>
      <c r="P18" s="79">
        <f t="shared" si="6"/>
        <v>0</v>
      </c>
      <c r="Q18" s="79"/>
      <c r="R18" s="79">
        <f t="shared" si="7"/>
        <v>0</v>
      </c>
      <c r="S18" s="74">
        <f t="shared" si="8"/>
        <v>0</v>
      </c>
    </row>
    <row r="19" spans="1:19" ht="18" customHeight="1" thickBot="1" x14ac:dyDescent="0.3">
      <c r="A19" s="62">
        <v>12</v>
      </c>
      <c r="B19" s="63" t="s">
        <v>39</v>
      </c>
      <c r="C19" s="65"/>
      <c r="D19" s="65">
        <f t="shared" si="0"/>
        <v>0</v>
      </c>
      <c r="E19" s="66"/>
      <c r="F19" s="67">
        <f t="shared" si="1"/>
        <v>0</v>
      </c>
      <c r="G19" s="68"/>
      <c r="H19" s="69">
        <f t="shared" si="2"/>
        <v>0</v>
      </c>
      <c r="I19" s="68"/>
      <c r="J19" s="68">
        <f t="shared" si="3"/>
        <v>0</v>
      </c>
      <c r="K19" s="68"/>
      <c r="L19" s="68">
        <f t="shared" si="4"/>
        <v>0</v>
      </c>
      <c r="M19" s="68"/>
      <c r="N19" s="68">
        <f t="shared" si="5"/>
        <v>0</v>
      </c>
      <c r="O19" s="70"/>
      <c r="P19" s="79">
        <f t="shared" si="6"/>
        <v>0</v>
      </c>
      <c r="Q19" s="70"/>
      <c r="R19" s="79">
        <f t="shared" si="7"/>
        <v>0</v>
      </c>
      <c r="S19" s="74">
        <f t="shared" si="8"/>
        <v>0</v>
      </c>
    </row>
    <row r="20" spans="1:19" ht="18" customHeight="1" thickBot="1" x14ac:dyDescent="0.3">
      <c r="A20" s="160" t="s">
        <v>40</v>
      </c>
      <c r="B20" s="161"/>
      <c r="C20" s="80">
        <f>SUM(C8:C19)</f>
        <v>0</v>
      </c>
      <c r="D20" s="80">
        <f t="shared" ref="D20:S20" si="9">SUM(D8:D19)</f>
        <v>0</v>
      </c>
      <c r="E20" s="80">
        <f t="shared" si="9"/>
        <v>0</v>
      </c>
      <c r="F20" s="80">
        <f t="shared" si="9"/>
        <v>0</v>
      </c>
      <c r="G20" s="80">
        <f t="shared" si="9"/>
        <v>0</v>
      </c>
      <c r="H20" s="80">
        <f t="shared" si="9"/>
        <v>0</v>
      </c>
      <c r="I20" s="80">
        <f t="shared" si="9"/>
        <v>0</v>
      </c>
      <c r="J20" s="80">
        <f t="shared" si="9"/>
        <v>0</v>
      </c>
      <c r="K20" s="80">
        <f t="shared" si="9"/>
        <v>0</v>
      </c>
      <c r="L20" s="80">
        <f t="shared" si="9"/>
        <v>0</v>
      </c>
      <c r="M20" s="80">
        <f t="shared" si="9"/>
        <v>0</v>
      </c>
      <c r="N20" s="80">
        <f t="shared" si="9"/>
        <v>0</v>
      </c>
      <c r="O20" s="81">
        <f t="shared" si="9"/>
        <v>0</v>
      </c>
      <c r="P20" s="80">
        <f t="shared" si="9"/>
        <v>0</v>
      </c>
      <c r="Q20" s="80">
        <f t="shared" si="9"/>
        <v>0</v>
      </c>
      <c r="R20" s="80">
        <f t="shared" si="9"/>
        <v>0</v>
      </c>
      <c r="S20" s="80">
        <f t="shared" si="9"/>
        <v>0</v>
      </c>
    </row>
  </sheetData>
  <mergeCells count="15">
    <mergeCell ref="M6:N6"/>
    <mergeCell ref="O6:P6"/>
    <mergeCell ref="A20:B20"/>
    <mergeCell ref="A1:S1"/>
    <mergeCell ref="A2:S2"/>
    <mergeCell ref="A3:S3"/>
    <mergeCell ref="A6:A7"/>
    <mergeCell ref="B6:B7"/>
    <mergeCell ref="C6:D6"/>
    <mergeCell ref="E6:F6"/>
    <mergeCell ref="G6:H6"/>
    <mergeCell ref="I6:J6"/>
    <mergeCell ref="K6:L6"/>
    <mergeCell ref="Q6:R6"/>
    <mergeCell ref="A4:S4"/>
  </mergeCells>
  <pageMargins left="0.31496062992125984" right="0.11811023622047245" top="0.35433070866141736" bottom="0.35433070866141736" header="0.31496062992125984" footer="0.31496062992125984"/>
  <pageSetup paperSize="9" scale="8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298E-3AD3-41E6-BC99-DBF6A4CCE8C9}">
  <dimension ref="A1:S31"/>
  <sheetViews>
    <sheetView workbookViewId="0">
      <selection activeCell="I23" sqref="I23:N23"/>
    </sheetView>
  </sheetViews>
  <sheetFormatPr defaultRowHeight="15" x14ac:dyDescent="0.25"/>
  <cols>
    <col min="1" max="1" width="4.7109375" customWidth="1"/>
    <col min="2" max="2" width="11.140625" customWidth="1"/>
    <col min="3" max="3" width="6" customWidth="1"/>
    <col min="4" max="4" width="12.42578125" customWidth="1"/>
    <col min="5" max="5" width="8.7109375" customWidth="1"/>
    <col min="6" max="6" width="14" customWidth="1"/>
    <col min="7" max="7" width="5.28515625" customWidth="1"/>
    <col min="8" max="8" width="11.7109375" customWidth="1"/>
    <col min="9" max="9" width="4.28515625" customWidth="1"/>
    <col min="10" max="10" width="12.7109375" customWidth="1"/>
    <col min="11" max="11" width="4.28515625" customWidth="1"/>
    <col min="12" max="12" width="13.28515625" customWidth="1"/>
    <col min="13" max="13" width="4.42578125" customWidth="1"/>
    <col min="14" max="14" width="11.7109375" customWidth="1"/>
    <col min="15" max="15" width="4.5703125" customWidth="1"/>
    <col min="16" max="16" width="16.85546875" customWidth="1"/>
    <col min="17" max="17" width="6.85546875" customWidth="1"/>
    <col min="18" max="18" width="10.28515625" customWidth="1"/>
    <col min="19" max="19" width="15.140625" customWidth="1"/>
  </cols>
  <sheetData>
    <row r="1" spans="1:19" ht="20.100000000000001" customHeight="1" x14ac:dyDescent="0.25">
      <c r="A1" s="162" t="s">
        <v>80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</row>
    <row r="2" spans="1:19" ht="20.100000000000001" customHeight="1" x14ac:dyDescent="0.25">
      <c r="A2" s="162" t="s">
        <v>14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</row>
    <row r="3" spans="1:19" ht="20.100000000000001" customHeight="1" x14ac:dyDescent="0.25">
      <c r="A3" s="162" t="s">
        <v>81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</row>
    <row r="4" spans="1:19" ht="21.7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ht="24.95" customHeight="1" thickBot="1" x14ac:dyDescent="0.3">
      <c r="A5" s="173" t="s">
        <v>15</v>
      </c>
      <c r="B5" s="173" t="s">
        <v>16</v>
      </c>
      <c r="C5" s="175" t="s">
        <v>17</v>
      </c>
      <c r="D5" s="175"/>
      <c r="E5" s="175" t="s">
        <v>18</v>
      </c>
      <c r="F5" s="175"/>
      <c r="G5" s="171" t="s">
        <v>19</v>
      </c>
      <c r="H5" s="171"/>
      <c r="I5" s="171" t="s">
        <v>20</v>
      </c>
      <c r="J5" s="171"/>
      <c r="K5" s="171" t="s">
        <v>21</v>
      </c>
      <c r="L5" s="171"/>
      <c r="M5" s="171" t="s">
        <v>22</v>
      </c>
      <c r="N5" s="171"/>
      <c r="O5" s="171" t="s">
        <v>23</v>
      </c>
      <c r="P5" s="171"/>
      <c r="Q5" s="171" t="s">
        <v>78</v>
      </c>
      <c r="R5" s="171"/>
      <c r="S5" s="92" t="s">
        <v>24</v>
      </c>
    </row>
    <row r="6" spans="1:19" ht="24.95" customHeight="1" thickBot="1" x14ac:dyDescent="0.3">
      <c r="A6" s="174"/>
      <c r="B6" s="174"/>
      <c r="C6" s="82" t="s">
        <v>25</v>
      </c>
      <c r="D6" s="82" t="s">
        <v>26</v>
      </c>
      <c r="E6" s="82" t="s">
        <v>25</v>
      </c>
      <c r="F6" s="82" t="s">
        <v>26</v>
      </c>
      <c r="G6" s="82" t="s">
        <v>27</v>
      </c>
      <c r="H6" s="82" t="s">
        <v>26</v>
      </c>
      <c r="I6" s="82" t="s">
        <v>25</v>
      </c>
      <c r="J6" s="82" t="s">
        <v>26</v>
      </c>
      <c r="K6" s="82" t="s">
        <v>25</v>
      </c>
      <c r="L6" s="82" t="s">
        <v>26</v>
      </c>
      <c r="M6" s="82" t="s">
        <v>25</v>
      </c>
      <c r="N6" s="82" t="s">
        <v>26</v>
      </c>
      <c r="O6" s="82" t="s">
        <v>25</v>
      </c>
      <c r="P6" s="82" t="s">
        <v>26</v>
      </c>
      <c r="Q6" s="82" t="s">
        <v>25</v>
      </c>
      <c r="R6" s="82" t="s">
        <v>26</v>
      </c>
      <c r="S6" s="82" t="s">
        <v>26</v>
      </c>
    </row>
    <row r="7" spans="1:19" ht="24.95" customHeight="1" x14ac:dyDescent="0.25">
      <c r="A7" s="83">
        <v>1</v>
      </c>
      <c r="B7" s="93" t="s">
        <v>28</v>
      </c>
      <c r="C7" s="94">
        <v>81</v>
      </c>
      <c r="D7" s="84">
        <f>C7*250000</f>
        <v>20250000</v>
      </c>
      <c r="E7" s="85">
        <v>3225</v>
      </c>
      <c r="F7" s="86">
        <f>E7*2000</f>
        <v>6450000</v>
      </c>
      <c r="G7" s="84">
        <v>8</v>
      </c>
      <c r="H7" s="86">
        <f>G7*100000</f>
        <v>800000</v>
      </c>
      <c r="I7" s="84">
        <v>2</v>
      </c>
      <c r="J7" s="84">
        <f>I7*750000</f>
        <v>1500000</v>
      </c>
      <c r="K7" s="84">
        <v>2</v>
      </c>
      <c r="L7" s="84">
        <f>K7*1000000</f>
        <v>2000000</v>
      </c>
      <c r="M7" s="84">
        <v>1</v>
      </c>
      <c r="N7" s="84">
        <f>M7*250000</f>
        <v>250000</v>
      </c>
      <c r="O7" s="95">
        <v>0</v>
      </c>
      <c r="P7" s="95">
        <f>O7*750000</f>
        <v>0</v>
      </c>
      <c r="Q7" s="95">
        <v>0</v>
      </c>
      <c r="R7" s="95">
        <f>Q7*2500000</f>
        <v>0</v>
      </c>
      <c r="S7" s="84">
        <f>D7+F7+H7+J7+L7+N7+P7+R7</f>
        <v>31250000</v>
      </c>
    </row>
    <row r="8" spans="1:19" ht="24.95" customHeight="1" x14ac:dyDescent="0.25">
      <c r="A8" s="87">
        <v>2</v>
      </c>
      <c r="B8" s="96" t="s">
        <v>29</v>
      </c>
      <c r="C8" s="97">
        <v>70</v>
      </c>
      <c r="D8" s="88">
        <f t="shared" ref="D8:D9" si="0">C8*250000</f>
        <v>17500000</v>
      </c>
      <c r="E8" s="89">
        <v>9690</v>
      </c>
      <c r="F8" s="90">
        <f t="shared" ref="F8:F9" si="1">E8*2000</f>
        <v>19380000</v>
      </c>
      <c r="G8" s="88">
        <v>5</v>
      </c>
      <c r="H8" s="90">
        <f t="shared" ref="H8:H9" si="2">G8*100000</f>
        <v>500000</v>
      </c>
      <c r="I8" s="88">
        <v>4</v>
      </c>
      <c r="J8" s="88">
        <f t="shared" ref="J8:J9" si="3">I8*750000</f>
        <v>3000000</v>
      </c>
      <c r="K8" s="88">
        <v>4</v>
      </c>
      <c r="L8" s="88">
        <f t="shared" ref="L8:L9" si="4">K8*1000000</f>
        <v>4000000</v>
      </c>
      <c r="M8" s="88">
        <v>0</v>
      </c>
      <c r="N8" s="88">
        <f t="shared" ref="N8:N9" si="5">M8*250000</f>
        <v>0</v>
      </c>
      <c r="O8" s="98">
        <v>0</v>
      </c>
      <c r="P8" s="98">
        <f>O8*750000</f>
        <v>0</v>
      </c>
      <c r="Q8" s="98">
        <v>0</v>
      </c>
      <c r="R8" s="98">
        <f>Q8*2500000</f>
        <v>0</v>
      </c>
      <c r="S8" s="88">
        <f>D8+F8+H8+J8+L8+N8+P8+R8</f>
        <v>44380000</v>
      </c>
    </row>
    <row r="9" spans="1:19" ht="24.95" customHeight="1" thickBot="1" x14ac:dyDescent="0.3">
      <c r="A9" s="87">
        <v>3</v>
      </c>
      <c r="B9" s="96" t="s">
        <v>30</v>
      </c>
      <c r="C9" s="97">
        <v>17</v>
      </c>
      <c r="D9" s="88">
        <f t="shared" si="0"/>
        <v>4250000</v>
      </c>
      <c r="E9" s="89">
        <v>919</v>
      </c>
      <c r="F9" s="90">
        <f t="shared" si="1"/>
        <v>1838000</v>
      </c>
      <c r="G9" s="88">
        <v>2</v>
      </c>
      <c r="H9" s="90">
        <f t="shared" si="2"/>
        <v>200000</v>
      </c>
      <c r="I9" s="88">
        <v>3</v>
      </c>
      <c r="J9" s="88">
        <f t="shared" si="3"/>
        <v>2250000</v>
      </c>
      <c r="K9" s="88">
        <v>3</v>
      </c>
      <c r="L9" s="88">
        <f t="shared" si="4"/>
        <v>3000000</v>
      </c>
      <c r="M9" s="88">
        <v>0</v>
      </c>
      <c r="N9" s="88">
        <f t="shared" si="5"/>
        <v>0</v>
      </c>
      <c r="O9" s="98">
        <v>0</v>
      </c>
      <c r="P9" s="98">
        <f t="shared" ref="P9" si="6">O9*750000</f>
        <v>0</v>
      </c>
      <c r="Q9" s="98">
        <v>0</v>
      </c>
      <c r="R9" s="98">
        <f t="shared" ref="R9" si="7">Q9*2500000</f>
        <v>0</v>
      </c>
      <c r="S9" s="88">
        <f t="shared" ref="S9" si="8">D9+F9+H9+J9+L9+N9+P9+R9</f>
        <v>11538000</v>
      </c>
    </row>
    <row r="10" spans="1:19" ht="24.95" customHeight="1" x14ac:dyDescent="0.25">
      <c r="A10" s="172" t="s">
        <v>40</v>
      </c>
      <c r="B10" s="172"/>
      <c r="C10" s="99">
        <f>SUM(C7:C9)</f>
        <v>168</v>
      </c>
      <c r="D10" s="99">
        <f t="shared" ref="D10:S10" si="9">SUM(D7:D9)</f>
        <v>42000000</v>
      </c>
      <c r="E10" s="99">
        <f t="shared" si="9"/>
        <v>13834</v>
      </c>
      <c r="F10" s="99">
        <f t="shared" si="9"/>
        <v>27668000</v>
      </c>
      <c r="G10" s="99">
        <f t="shared" si="9"/>
        <v>15</v>
      </c>
      <c r="H10" s="99">
        <f t="shared" si="9"/>
        <v>1500000</v>
      </c>
      <c r="I10" s="99">
        <f t="shared" si="9"/>
        <v>9</v>
      </c>
      <c r="J10" s="99">
        <f t="shared" si="9"/>
        <v>6750000</v>
      </c>
      <c r="K10" s="99">
        <f t="shared" si="9"/>
        <v>9</v>
      </c>
      <c r="L10" s="99">
        <f t="shared" si="9"/>
        <v>9000000</v>
      </c>
      <c r="M10" s="99">
        <f t="shared" si="9"/>
        <v>1</v>
      </c>
      <c r="N10" s="99">
        <f t="shared" si="9"/>
        <v>250000</v>
      </c>
      <c r="O10" s="99">
        <f t="shared" si="9"/>
        <v>0</v>
      </c>
      <c r="P10" s="99">
        <f t="shared" si="9"/>
        <v>0</v>
      </c>
      <c r="Q10" s="99">
        <f t="shared" si="9"/>
        <v>0</v>
      </c>
      <c r="R10" s="99">
        <f t="shared" si="9"/>
        <v>0</v>
      </c>
      <c r="S10" s="99">
        <f t="shared" si="9"/>
        <v>87168000</v>
      </c>
    </row>
    <row r="14" spans="1:19" ht="15" customHeight="1" x14ac:dyDescent="0.25">
      <c r="P14" s="170" t="s">
        <v>82</v>
      </c>
      <c r="Q14" s="170"/>
      <c r="R14" s="170"/>
      <c r="S14" s="170"/>
    </row>
    <row r="15" spans="1:19" x14ac:dyDescent="0.25">
      <c r="Q15" s="91"/>
      <c r="R15" s="91"/>
      <c r="S15" s="91"/>
    </row>
    <row r="16" spans="1:19" ht="15" customHeight="1" x14ac:dyDescent="0.25">
      <c r="A16" s="169" t="s">
        <v>72</v>
      </c>
      <c r="B16" s="169"/>
      <c r="C16" s="169"/>
      <c r="D16" s="169"/>
      <c r="E16" s="169"/>
      <c r="F16" s="169"/>
      <c r="P16" s="169" t="s">
        <v>69</v>
      </c>
      <c r="Q16" s="169"/>
      <c r="R16" s="169"/>
      <c r="S16" s="169"/>
    </row>
    <row r="17" spans="1:19" ht="15.75" x14ac:dyDescent="0.25">
      <c r="A17" s="149"/>
      <c r="B17" s="149"/>
      <c r="C17" s="149"/>
      <c r="D17" s="149"/>
      <c r="Q17" s="149"/>
      <c r="R17" s="149"/>
      <c r="S17" s="149"/>
    </row>
    <row r="18" spans="1:19" ht="15.75" x14ac:dyDescent="0.25">
      <c r="A18" s="55"/>
      <c r="B18" s="56"/>
      <c r="C18" s="56"/>
      <c r="D18" s="54"/>
      <c r="Q18" s="55"/>
      <c r="R18" s="56"/>
      <c r="S18" s="56"/>
    </row>
    <row r="19" spans="1:19" ht="21" customHeight="1" x14ac:dyDescent="0.25">
      <c r="A19" s="58"/>
      <c r="B19" s="58"/>
      <c r="C19" s="58"/>
      <c r="D19" s="58"/>
      <c r="Q19" s="58"/>
      <c r="R19" s="58"/>
      <c r="S19" s="58"/>
    </row>
    <row r="20" spans="1:19" ht="15.75" customHeight="1" x14ac:dyDescent="0.25">
      <c r="A20" s="149" t="s">
        <v>73</v>
      </c>
      <c r="B20" s="149"/>
      <c r="C20" s="149"/>
      <c r="D20" s="149"/>
      <c r="E20" s="149"/>
      <c r="F20" s="149"/>
      <c r="P20" s="149" t="s">
        <v>70</v>
      </c>
      <c r="Q20" s="149"/>
      <c r="R20" s="149"/>
      <c r="S20" s="149"/>
    </row>
    <row r="21" spans="1:19" ht="15.75" customHeight="1" x14ac:dyDescent="0.25">
      <c r="A21" s="149" t="s">
        <v>74</v>
      </c>
      <c r="B21" s="149"/>
      <c r="C21" s="149"/>
      <c r="D21" s="149"/>
      <c r="E21" s="149"/>
      <c r="F21" s="149"/>
      <c r="P21" s="149" t="s">
        <v>71</v>
      </c>
      <c r="Q21" s="149"/>
      <c r="R21" s="149"/>
      <c r="S21" s="149"/>
    </row>
    <row r="23" spans="1:19" ht="15.75" x14ac:dyDescent="0.25">
      <c r="I23" s="148" t="s">
        <v>75</v>
      </c>
      <c r="J23" s="148"/>
      <c r="K23" s="148"/>
      <c r="L23" s="148"/>
      <c r="M23" s="148"/>
      <c r="N23" s="148"/>
    </row>
    <row r="24" spans="1:19" ht="15.75" customHeight="1" x14ac:dyDescent="0.25">
      <c r="I24" s="149" t="s">
        <v>76</v>
      </c>
      <c r="J24" s="149"/>
      <c r="K24" s="149"/>
      <c r="L24" s="149"/>
      <c r="M24" s="149"/>
      <c r="N24" s="149"/>
    </row>
    <row r="25" spans="1:19" ht="15.75" customHeight="1" x14ac:dyDescent="0.25">
      <c r="I25" s="149" t="s">
        <v>77</v>
      </c>
      <c r="J25" s="149"/>
      <c r="K25" s="149"/>
      <c r="L25" s="149"/>
      <c r="M25" s="149"/>
      <c r="N25" s="149"/>
    </row>
    <row r="26" spans="1:19" ht="15.75" customHeight="1" x14ac:dyDescent="0.25">
      <c r="I26" s="149" t="s">
        <v>65</v>
      </c>
      <c r="J26" s="149"/>
      <c r="K26" s="149"/>
      <c r="L26" s="149"/>
      <c r="M26" s="149"/>
      <c r="N26" s="149"/>
    </row>
    <row r="27" spans="1:19" ht="15.75" x14ac:dyDescent="0.25">
      <c r="I27" s="148" t="s">
        <v>66</v>
      </c>
      <c r="J27" s="148"/>
      <c r="K27" s="148"/>
      <c r="L27" s="148"/>
      <c r="M27" s="148"/>
      <c r="N27" s="148"/>
    </row>
    <row r="28" spans="1:19" ht="26.25" customHeight="1" x14ac:dyDescent="0.25">
      <c r="J28" s="55"/>
      <c r="K28" s="56"/>
      <c r="L28" s="56"/>
    </row>
    <row r="29" spans="1:19" ht="15.75" x14ac:dyDescent="0.25">
      <c r="J29" s="58"/>
      <c r="K29" s="58"/>
      <c r="L29" s="58"/>
    </row>
    <row r="30" spans="1:19" ht="15.75" customHeight="1" x14ac:dyDescent="0.25">
      <c r="I30" s="149" t="s">
        <v>67</v>
      </c>
      <c r="J30" s="149"/>
      <c r="K30" s="149"/>
      <c r="L30" s="149"/>
      <c r="M30" s="149"/>
      <c r="N30" s="149"/>
    </row>
    <row r="31" spans="1:19" ht="15.75" customHeight="1" x14ac:dyDescent="0.25">
      <c r="I31" s="149" t="s">
        <v>68</v>
      </c>
      <c r="J31" s="149"/>
      <c r="K31" s="149"/>
      <c r="L31" s="149"/>
      <c r="M31" s="149"/>
      <c r="N31" s="149"/>
    </row>
  </sheetData>
  <mergeCells count="30">
    <mergeCell ref="M5:N5"/>
    <mergeCell ref="O5:P5"/>
    <mergeCell ref="Q5:R5"/>
    <mergeCell ref="A10:B10"/>
    <mergeCell ref="A1:S1"/>
    <mergeCell ref="A2:S2"/>
    <mergeCell ref="A3:S3"/>
    <mergeCell ref="A5:A6"/>
    <mergeCell ref="B5:B6"/>
    <mergeCell ref="C5:D5"/>
    <mergeCell ref="E5:F5"/>
    <mergeCell ref="G5:H5"/>
    <mergeCell ref="I5:J5"/>
    <mergeCell ref="K5:L5"/>
    <mergeCell ref="P14:S14"/>
    <mergeCell ref="I24:N24"/>
    <mergeCell ref="I25:N25"/>
    <mergeCell ref="A21:F21"/>
    <mergeCell ref="I26:N26"/>
    <mergeCell ref="I23:N23"/>
    <mergeCell ref="Q17:S17"/>
    <mergeCell ref="A17:D17"/>
    <mergeCell ref="A16:F16"/>
    <mergeCell ref="A20:F20"/>
    <mergeCell ref="I27:N27"/>
    <mergeCell ref="I30:N30"/>
    <mergeCell ref="I31:N31"/>
    <mergeCell ref="P16:S16"/>
    <mergeCell ref="P20:S20"/>
    <mergeCell ref="P21:S21"/>
  </mergeCells>
  <pageMargins left="0.51181102362204722" right="0.11811023622047245" top="0.55118110236220474" bottom="0.35433070866141736" header="0.31496062992125984" footer="0.31496062992125984"/>
  <pageSetup paperSize="122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692-FE2B-488F-B824-B095E0490EE1}">
  <dimension ref="B2:F51"/>
  <sheetViews>
    <sheetView workbookViewId="0">
      <selection activeCell="K11" sqref="K11"/>
    </sheetView>
  </sheetViews>
  <sheetFormatPr defaultRowHeight="15" x14ac:dyDescent="0.25"/>
  <cols>
    <col min="2" max="2" width="23.85546875" bestFit="1" customWidth="1"/>
    <col min="4" max="4" width="13.42578125" bestFit="1" customWidth="1"/>
    <col min="6" max="6" width="12.140625" bestFit="1" customWidth="1"/>
  </cols>
  <sheetData>
    <row r="2" spans="2:6" ht="15.75" x14ac:dyDescent="0.25">
      <c r="B2" s="24" t="s">
        <v>53</v>
      </c>
      <c r="C2" t="s">
        <v>54</v>
      </c>
      <c r="D2" t="s">
        <v>55</v>
      </c>
      <c r="E2">
        <v>16</v>
      </c>
      <c r="F2">
        <v>32000</v>
      </c>
    </row>
    <row r="3" spans="2:6" ht="15.75" x14ac:dyDescent="0.25">
      <c r="B3" s="24" t="s">
        <v>48</v>
      </c>
      <c r="C3">
        <v>1</v>
      </c>
      <c r="D3" t="s">
        <v>51</v>
      </c>
      <c r="E3">
        <v>50</v>
      </c>
      <c r="F3" s="2">
        <v>100000</v>
      </c>
    </row>
    <row r="4" spans="2:6" ht="15.75" x14ac:dyDescent="0.25">
      <c r="B4" s="24" t="s">
        <v>43</v>
      </c>
      <c r="C4">
        <v>2</v>
      </c>
      <c r="D4" t="s">
        <v>56</v>
      </c>
      <c r="E4">
        <v>100</v>
      </c>
      <c r="F4" s="2">
        <v>150000</v>
      </c>
    </row>
    <row r="5" spans="2:6" ht="15.75" x14ac:dyDescent="0.25">
      <c r="B5" s="24" t="s">
        <v>44</v>
      </c>
      <c r="C5">
        <v>3</v>
      </c>
      <c r="D5" t="s">
        <v>57</v>
      </c>
      <c r="E5">
        <v>150</v>
      </c>
      <c r="F5" s="2">
        <v>200000</v>
      </c>
    </row>
    <row r="6" spans="2:6" ht="15.75" x14ac:dyDescent="0.25">
      <c r="B6" s="24" t="s">
        <v>47</v>
      </c>
      <c r="C6">
        <v>4</v>
      </c>
      <c r="E6">
        <v>200</v>
      </c>
      <c r="F6" s="2">
        <v>250000</v>
      </c>
    </row>
    <row r="7" spans="2:6" ht="15.75" x14ac:dyDescent="0.25">
      <c r="B7" s="24" t="s">
        <v>41</v>
      </c>
      <c r="C7">
        <v>5</v>
      </c>
      <c r="E7">
        <v>250</v>
      </c>
      <c r="F7" s="2">
        <v>300000</v>
      </c>
    </row>
    <row r="8" spans="2:6" ht="15.75" x14ac:dyDescent="0.25">
      <c r="B8" s="24" t="s">
        <v>49</v>
      </c>
      <c r="C8">
        <v>6</v>
      </c>
      <c r="E8">
        <v>300</v>
      </c>
      <c r="F8" s="2">
        <v>350000</v>
      </c>
    </row>
    <row r="9" spans="2:6" ht="15.75" x14ac:dyDescent="0.25">
      <c r="B9" s="24" t="s">
        <v>42</v>
      </c>
      <c r="C9">
        <v>7</v>
      </c>
      <c r="E9">
        <v>350</v>
      </c>
      <c r="F9" s="2">
        <v>400000</v>
      </c>
    </row>
    <row r="10" spans="2:6" ht="15.75" x14ac:dyDescent="0.25">
      <c r="B10" s="24" t="s">
        <v>45</v>
      </c>
      <c r="C10">
        <v>8</v>
      </c>
      <c r="E10">
        <v>400</v>
      </c>
      <c r="F10" s="2">
        <v>450000</v>
      </c>
    </row>
    <row r="11" spans="2:6" ht="15.75" x14ac:dyDescent="0.25">
      <c r="B11" s="24" t="s">
        <v>50</v>
      </c>
      <c r="C11">
        <v>9</v>
      </c>
      <c r="E11">
        <v>450</v>
      </c>
      <c r="F11" s="2">
        <v>500000</v>
      </c>
    </row>
    <row r="12" spans="2:6" ht="15.75" x14ac:dyDescent="0.25">
      <c r="B12" s="24" t="s">
        <v>46</v>
      </c>
      <c r="C12">
        <v>10</v>
      </c>
      <c r="E12">
        <v>500</v>
      </c>
      <c r="F12" s="2">
        <v>550000</v>
      </c>
    </row>
    <row r="13" spans="2:6" ht="15.75" x14ac:dyDescent="0.25">
      <c r="B13" s="24" t="s">
        <v>52</v>
      </c>
      <c r="E13">
        <v>550</v>
      </c>
      <c r="F13" s="2">
        <v>600000</v>
      </c>
    </row>
    <row r="14" spans="2:6" ht="15.75" x14ac:dyDescent="0.25">
      <c r="B14" s="24" t="s">
        <v>636</v>
      </c>
      <c r="E14">
        <v>600</v>
      </c>
      <c r="F14" s="2">
        <v>650000</v>
      </c>
    </row>
    <row r="15" spans="2:6" ht="15.75" x14ac:dyDescent="0.25">
      <c r="B15" s="24" t="s">
        <v>58</v>
      </c>
      <c r="E15">
        <v>650</v>
      </c>
      <c r="F15" s="2">
        <v>700000</v>
      </c>
    </row>
    <row r="16" spans="2:6" ht="15.75" x14ac:dyDescent="0.25">
      <c r="B16" s="24" t="s">
        <v>64</v>
      </c>
      <c r="E16">
        <v>700</v>
      </c>
      <c r="F16" s="2">
        <v>750000</v>
      </c>
    </row>
    <row r="17" spans="2:6" ht="15.75" x14ac:dyDescent="0.25">
      <c r="B17" s="24" t="s">
        <v>59</v>
      </c>
      <c r="E17">
        <v>750</v>
      </c>
      <c r="F17" s="2">
        <v>800000</v>
      </c>
    </row>
    <row r="18" spans="2:6" ht="15.75" x14ac:dyDescent="0.25">
      <c r="B18" s="24" t="s">
        <v>60</v>
      </c>
      <c r="E18">
        <v>800</v>
      </c>
      <c r="F18" s="2">
        <v>850000</v>
      </c>
    </row>
    <row r="19" spans="2:6" ht="15.75" x14ac:dyDescent="0.25">
      <c r="B19" s="24" t="s">
        <v>61</v>
      </c>
      <c r="E19">
        <v>850</v>
      </c>
      <c r="F19" s="2">
        <v>900000</v>
      </c>
    </row>
    <row r="20" spans="2:6" x14ac:dyDescent="0.25">
      <c r="E20">
        <v>900</v>
      </c>
      <c r="F20" s="2">
        <v>950000</v>
      </c>
    </row>
    <row r="21" spans="2:6" x14ac:dyDescent="0.25">
      <c r="E21">
        <v>950</v>
      </c>
      <c r="F21" s="2">
        <v>1000000</v>
      </c>
    </row>
    <row r="22" spans="2:6" x14ac:dyDescent="0.25">
      <c r="E22">
        <v>1000</v>
      </c>
      <c r="F22" s="2">
        <v>1050000</v>
      </c>
    </row>
    <row r="23" spans="2:6" x14ac:dyDescent="0.25">
      <c r="E23">
        <v>1050</v>
      </c>
      <c r="F23" s="2">
        <v>1100000</v>
      </c>
    </row>
    <row r="24" spans="2:6" x14ac:dyDescent="0.25">
      <c r="E24">
        <v>1100</v>
      </c>
      <c r="F24" s="2">
        <v>1150000</v>
      </c>
    </row>
    <row r="25" spans="2:6" x14ac:dyDescent="0.25">
      <c r="E25">
        <v>1150</v>
      </c>
      <c r="F25" s="2">
        <v>1200000</v>
      </c>
    </row>
    <row r="26" spans="2:6" x14ac:dyDescent="0.25">
      <c r="E26">
        <v>1200</v>
      </c>
      <c r="F26" s="2">
        <v>1250000</v>
      </c>
    </row>
    <row r="27" spans="2:6" x14ac:dyDescent="0.25">
      <c r="E27">
        <v>1250</v>
      </c>
      <c r="F27" s="2">
        <v>1300000</v>
      </c>
    </row>
    <row r="28" spans="2:6" x14ac:dyDescent="0.25">
      <c r="E28">
        <v>1300</v>
      </c>
      <c r="F28" s="2">
        <v>1350000</v>
      </c>
    </row>
    <row r="29" spans="2:6" x14ac:dyDescent="0.25">
      <c r="E29">
        <v>1350</v>
      </c>
      <c r="F29" s="2">
        <v>1400000</v>
      </c>
    </row>
    <row r="30" spans="2:6" x14ac:dyDescent="0.25">
      <c r="E30">
        <v>1400</v>
      </c>
      <c r="F30" s="2">
        <v>1450000</v>
      </c>
    </row>
    <row r="31" spans="2:6" x14ac:dyDescent="0.25">
      <c r="E31">
        <v>1450</v>
      </c>
      <c r="F31" s="2">
        <v>1500000</v>
      </c>
    </row>
    <row r="32" spans="2:6" x14ac:dyDescent="0.25">
      <c r="E32">
        <v>1500</v>
      </c>
      <c r="F32" s="2">
        <v>1550000</v>
      </c>
    </row>
    <row r="33" spans="5:6" x14ac:dyDescent="0.25">
      <c r="E33">
        <v>1550</v>
      </c>
      <c r="F33" s="2">
        <v>1600000</v>
      </c>
    </row>
    <row r="34" spans="5:6" x14ac:dyDescent="0.25">
      <c r="E34">
        <v>1600</v>
      </c>
      <c r="F34" s="2">
        <v>1650000</v>
      </c>
    </row>
    <row r="35" spans="5:6" x14ac:dyDescent="0.25">
      <c r="E35">
        <v>1650</v>
      </c>
      <c r="F35" s="2">
        <v>1700000</v>
      </c>
    </row>
    <row r="36" spans="5:6" x14ac:dyDescent="0.25">
      <c r="E36">
        <v>1700</v>
      </c>
      <c r="F36" s="2">
        <v>1750000</v>
      </c>
    </row>
    <row r="37" spans="5:6" x14ac:dyDescent="0.25">
      <c r="E37">
        <v>1750</v>
      </c>
      <c r="F37" s="2">
        <v>1800000</v>
      </c>
    </row>
    <row r="38" spans="5:6" x14ac:dyDescent="0.25">
      <c r="E38">
        <v>1800</v>
      </c>
      <c r="F38" s="2">
        <v>1850000</v>
      </c>
    </row>
    <row r="39" spans="5:6" x14ac:dyDescent="0.25">
      <c r="E39">
        <v>1850</v>
      </c>
      <c r="F39" s="2">
        <v>1900000</v>
      </c>
    </row>
    <row r="40" spans="5:6" x14ac:dyDescent="0.25">
      <c r="E40">
        <v>1900</v>
      </c>
      <c r="F40" s="2">
        <v>1950000</v>
      </c>
    </row>
    <row r="41" spans="5:6" x14ac:dyDescent="0.25">
      <c r="E41">
        <v>1950</v>
      </c>
      <c r="F41" s="2">
        <v>2000000</v>
      </c>
    </row>
    <row r="42" spans="5:6" x14ac:dyDescent="0.25">
      <c r="E42">
        <v>2000</v>
      </c>
      <c r="F42" s="2">
        <v>2050000</v>
      </c>
    </row>
    <row r="43" spans="5:6" x14ac:dyDescent="0.25">
      <c r="F43" s="2">
        <v>2100000</v>
      </c>
    </row>
    <row r="44" spans="5:6" x14ac:dyDescent="0.25">
      <c r="F44" s="2">
        <v>2150000</v>
      </c>
    </row>
    <row r="45" spans="5:6" x14ac:dyDescent="0.25">
      <c r="F45" s="2">
        <v>2200000</v>
      </c>
    </row>
    <row r="46" spans="5:6" x14ac:dyDescent="0.25">
      <c r="F46" s="2">
        <v>2250000</v>
      </c>
    </row>
    <row r="47" spans="5:6" x14ac:dyDescent="0.25">
      <c r="F47" s="2">
        <v>2300000</v>
      </c>
    </row>
    <row r="48" spans="5:6" x14ac:dyDescent="0.25">
      <c r="F48" s="2">
        <v>2350000</v>
      </c>
    </row>
    <row r="49" spans="6:6" x14ac:dyDescent="0.25">
      <c r="F49" s="2">
        <v>2400000</v>
      </c>
    </row>
    <row r="50" spans="6:6" x14ac:dyDescent="0.25">
      <c r="F50" s="2">
        <v>2450000</v>
      </c>
    </row>
    <row r="51" spans="6:6" x14ac:dyDescent="0.25">
      <c r="F51" s="2">
        <v>2500000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REKAP 2026</vt:lpstr>
      <vt:lpstr>tw1</vt:lpstr>
      <vt:lpstr>Sheet1</vt:lpstr>
      <vt:lpstr>Agustus!Print_Area</vt:lpstr>
      <vt:lpstr>OKtober!Print_Area</vt:lpstr>
      <vt:lpstr>September!Print_Area</vt:lpstr>
      <vt:lpstr>Agustus!Print_Titles</vt:lpstr>
      <vt:lpstr>OKtober!Print_Titles</vt:lpstr>
      <vt:lpstr>September!Print_Titles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RagunanZoo</dc:creator>
  <cp:lastModifiedBy>USER</cp:lastModifiedBy>
  <cp:lastPrinted>2026-10-01T13:10:54Z</cp:lastPrinted>
  <dcterms:created xsi:type="dcterms:W3CDTF">2025-01-02T01:34:44Z</dcterms:created>
  <dcterms:modified xsi:type="dcterms:W3CDTF">2026-10-18T09:57:14Z</dcterms:modified>
</cp:coreProperties>
</file>