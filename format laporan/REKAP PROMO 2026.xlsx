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BC\K    A    R     C    I     S\OPNAME 2026\"/>
    </mc:Choice>
  </mc:AlternateContent>
  <xr:revisionPtr revIDLastSave="0" documentId="13_ncr:1_{0F5DFF37-4634-406F-B547-F66888AB0C3F}" xr6:coauthVersionLast="47" xr6:coauthVersionMax="47" xr10:uidLastSave="{00000000-0000-0000-0000-000000000000}"/>
  <bookViews>
    <workbookView xWindow="-120" yWindow="-120" windowWidth="29040" windowHeight="15720" firstSheet="4" activeTab="10" xr2:uid="{00000000-000D-0000-FFFF-FFFF00000000}"/>
  </bookViews>
  <sheets>
    <sheet name="Januari 26" sheetId="72" r:id="rId1"/>
    <sheet name="Februari 26" sheetId="74" r:id="rId2"/>
    <sheet name="maret 26" sheetId="73" r:id="rId3"/>
    <sheet name="April 26" sheetId="71" r:id="rId4"/>
    <sheet name="Mei 26 " sheetId="79" r:id="rId5"/>
    <sheet name="Mei 26  (2)" sheetId="80" r:id="rId6"/>
    <sheet name="juni" sheetId="77" r:id="rId7"/>
    <sheet name="Juli" sheetId="81" r:id="rId8"/>
    <sheet name="Agustus" sheetId="82" r:id="rId9"/>
    <sheet name="September" sheetId="83" r:id="rId10"/>
    <sheet name="Oktober" sheetId="85" r:id="rId11"/>
    <sheet name="lebaran" sheetId="76" r:id="rId12"/>
    <sheet name="April 26 (2)" sheetId="78" r:id="rId13"/>
    <sheet name="TAHUN 2026" sheetId="38" r:id="rId14"/>
    <sheet name="TW 1" sheetId="70" r:id="rId15"/>
    <sheet name="SURAT" sheetId="55" r:id="rId16"/>
    <sheet name="Sheet3" sheetId="3" r:id="rId17"/>
    <sheet name="absen" sheetId="84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85" l="1"/>
  <c r="I27" i="85"/>
  <c r="H27" i="85"/>
  <c r="G27" i="85"/>
  <c r="F27" i="85"/>
  <c r="G30" i="82"/>
  <c r="J26" i="83"/>
  <c r="I26" i="83"/>
  <c r="H26" i="83"/>
  <c r="G26" i="83"/>
  <c r="F26" i="83"/>
  <c r="F30" i="82"/>
  <c r="J30" i="82"/>
  <c r="I30" i="82"/>
  <c r="H30" i="82"/>
  <c r="J36" i="81"/>
  <c r="J42" i="81" s="1"/>
  <c r="J52" i="81" s="1"/>
  <c r="I36" i="81"/>
  <c r="I42" i="81" s="1"/>
  <c r="I52" i="81" s="1"/>
  <c r="H36" i="81"/>
  <c r="H42" i="81" s="1"/>
  <c r="H52" i="81" s="1"/>
  <c r="G36" i="81"/>
  <c r="G42" i="81" s="1"/>
  <c r="G52" i="81" s="1"/>
  <c r="F36" i="81"/>
  <c r="F42" i="81" s="1"/>
  <c r="F52" i="81" s="1"/>
  <c r="G49" i="79"/>
  <c r="H49" i="79"/>
  <c r="I49" i="79"/>
  <c r="J49" i="79"/>
  <c r="F49" i="79"/>
  <c r="J18" i="80"/>
  <c r="I18" i="80"/>
  <c r="H18" i="80"/>
  <c r="G18" i="80"/>
  <c r="F18" i="80"/>
  <c r="E17" i="78"/>
  <c r="D17" i="78"/>
  <c r="J35" i="77"/>
  <c r="J41" i="77" s="1"/>
  <c r="J49" i="77" s="1"/>
  <c r="I35" i="77"/>
  <c r="H35" i="77"/>
  <c r="G35" i="77"/>
  <c r="G41" i="77" s="1"/>
  <c r="G49" i="77" s="1"/>
  <c r="F35" i="77"/>
  <c r="G33" i="76"/>
  <c r="H33" i="76"/>
  <c r="I33" i="76"/>
  <c r="J33" i="76"/>
  <c r="F41" i="77" l="1"/>
  <c r="I41" i="77"/>
  <c r="I49" i="77" s="1"/>
  <c r="H41" i="77"/>
  <c r="H49" i="77" s="1"/>
  <c r="N16" i="76"/>
  <c r="F33" i="76"/>
  <c r="F49" i="77" l="1"/>
  <c r="J39" i="76"/>
  <c r="J67" i="76" s="1"/>
  <c r="I39" i="76"/>
  <c r="I67" i="76" s="1"/>
  <c r="H39" i="76"/>
  <c r="H67" i="76" s="1"/>
  <c r="G39" i="76"/>
  <c r="G67" i="76" s="1"/>
  <c r="F39" i="76"/>
  <c r="F67" i="76" s="1"/>
  <c r="F73" i="76" s="1"/>
  <c r="F85" i="76" s="1"/>
  <c r="G73" i="76" l="1"/>
  <c r="G85" i="76" s="1"/>
  <c r="J73" i="76"/>
  <c r="J85" i="76" s="1"/>
  <c r="H73" i="76"/>
  <c r="H85" i="76" s="1"/>
  <c r="I73" i="76"/>
  <c r="I85" i="76" s="1"/>
  <c r="J21" i="74"/>
  <c r="I21" i="74"/>
  <c r="H21" i="74"/>
  <c r="G21" i="74"/>
  <c r="F21" i="74"/>
  <c r="J34" i="73"/>
  <c r="J40" i="73" s="1"/>
  <c r="J71" i="73" s="1"/>
  <c r="J77" i="73" s="1"/>
  <c r="J96" i="73" s="1"/>
  <c r="I34" i="73"/>
  <c r="I40" i="73" s="1"/>
  <c r="I71" i="73" s="1"/>
  <c r="I77" i="73" s="1"/>
  <c r="I96" i="73" s="1"/>
  <c r="H34" i="73"/>
  <c r="H40" i="73" s="1"/>
  <c r="H71" i="73" s="1"/>
  <c r="H77" i="73" s="1"/>
  <c r="H96" i="73" s="1"/>
  <c r="G34" i="73"/>
  <c r="G40" i="73" s="1"/>
  <c r="G71" i="73" s="1"/>
  <c r="G77" i="73" s="1"/>
  <c r="G96" i="73" s="1"/>
  <c r="F34" i="73"/>
  <c r="F40" i="73" s="1"/>
  <c r="F71" i="73" s="1"/>
  <c r="F77" i="73" s="1"/>
  <c r="F96" i="73" s="1"/>
  <c r="G29" i="72"/>
  <c r="H29" i="72"/>
  <c r="I29" i="72"/>
  <c r="J29" i="72"/>
  <c r="F29" i="72" l="1"/>
  <c r="J31" i="71"/>
  <c r="I31" i="71"/>
  <c r="H31" i="71"/>
  <c r="G31" i="71"/>
  <c r="F31" i="71"/>
  <c r="J10" i="70"/>
  <c r="G10" i="70"/>
  <c r="E10" i="70"/>
  <c r="C10" i="70"/>
  <c r="H9" i="70"/>
  <c r="F9" i="70"/>
  <c r="D9" i="70"/>
  <c r="I9" i="70" s="1"/>
  <c r="H8" i="70"/>
  <c r="F8" i="70"/>
  <c r="D8" i="70"/>
  <c r="H7" i="70"/>
  <c r="F7" i="70"/>
  <c r="F10" i="70" s="1"/>
  <c r="D7" i="70"/>
  <c r="H10" i="70" l="1"/>
  <c r="D10" i="70"/>
  <c r="I8" i="70"/>
  <c r="I7" i="70"/>
  <c r="I10" i="70" s="1"/>
  <c r="H28" i="55" l="1"/>
  <c r="H34" i="55" s="1"/>
  <c r="H59" i="55" s="1"/>
  <c r="G28" i="55"/>
  <c r="G34" i="55" s="1"/>
  <c r="G59" i="55" s="1"/>
  <c r="F28" i="55"/>
  <c r="F34" i="55" s="1"/>
  <c r="F59" i="55" s="1"/>
  <c r="H9" i="38" l="1"/>
  <c r="H10" i="38"/>
  <c r="H11" i="38"/>
  <c r="H12" i="38"/>
  <c r="H13" i="38"/>
  <c r="H14" i="38"/>
  <c r="H15" i="38"/>
  <c r="H16" i="38"/>
  <c r="H17" i="38"/>
  <c r="H18" i="38"/>
  <c r="H19" i="38"/>
  <c r="F9" i="38"/>
  <c r="F10" i="38"/>
  <c r="F11" i="38"/>
  <c r="F12" i="38"/>
  <c r="F13" i="38"/>
  <c r="F14" i="38"/>
  <c r="F15" i="38"/>
  <c r="F16" i="38"/>
  <c r="F17" i="38"/>
  <c r="F18" i="38"/>
  <c r="F19" i="38"/>
  <c r="D9" i="38"/>
  <c r="D10" i="38"/>
  <c r="D11" i="38"/>
  <c r="D12" i="38"/>
  <c r="D13" i="38"/>
  <c r="D14" i="38"/>
  <c r="D15" i="38"/>
  <c r="D16" i="38"/>
  <c r="D17" i="38"/>
  <c r="D18" i="38"/>
  <c r="D19" i="38"/>
  <c r="H8" i="38"/>
  <c r="F8" i="38"/>
  <c r="D8" i="38"/>
  <c r="E20" i="38"/>
  <c r="G20" i="38"/>
  <c r="J20" i="38"/>
  <c r="C20" i="38"/>
  <c r="I17" i="38" l="1"/>
  <c r="I14" i="38"/>
  <c r="I13" i="38"/>
  <c r="I15" i="38"/>
  <c r="I19" i="38"/>
  <c r="I18" i="38"/>
  <c r="I11" i="38"/>
  <c r="I10" i="38"/>
  <c r="F20" i="38"/>
  <c r="D20" i="38"/>
  <c r="I8" i="38"/>
  <c r="I9" i="38"/>
  <c r="H20" i="38"/>
  <c r="I16" i="38"/>
  <c r="I12" i="38"/>
  <c r="I20" i="38" l="1"/>
</calcChain>
</file>

<file path=xl/sharedStrings.xml><?xml version="1.0" encoding="utf-8"?>
<sst xmlns="http://schemas.openxmlformats.org/spreadsheetml/2006/main" count="1627" uniqueCount="590">
  <si>
    <t>No</t>
  </si>
  <si>
    <t>Nama Produk</t>
  </si>
  <si>
    <t>Harga (Rp)</t>
  </si>
  <si>
    <t>Jumlah hari</t>
  </si>
  <si>
    <t>Jumlah titik</t>
  </si>
  <si>
    <t>Nama Perusahaan</t>
  </si>
  <si>
    <t>Tanggal Event</t>
  </si>
  <si>
    <t>Banner/Umbul2</t>
  </si>
  <si>
    <t>JUMLAH</t>
  </si>
  <si>
    <t>UNIT PENGELOLA TAMAN MARGASATWA RAGUNAN</t>
  </si>
  <si>
    <t>Tanggal           Transfer</t>
  </si>
  <si>
    <t>Pindah</t>
  </si>
  <si>
    <t>BULAN</t>
  </si>
  <si>
    <t>TITIK</t>
  </si>
  <si>
    <t>( RP )</t>
  </si>
  <si>
    <t>EVENT PROMO</t>
  </si>
  <si>
    <t>PENEMPATAN BANNER/UMBUL2</t>
  </si>
  <si>
    <t>UNIT</t>
  </si>
  <si>
    <t>PENEMPATAN SPANDUK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</si>
  <si>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</si>
  <si>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</si>
  <si>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</si>
  <si>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</si>
  <si>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</si>
  <si>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</si>
  <si>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</si>
  <si>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</si>
  <si>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</si>
  <si>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</si>
  <si>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Nopember</t>
  </si>
  <si>
    <t>Desember</t>
  </si>
  <si>
    <t>TOTAL ( RP )</t>
  </si>
  <si>
    <t>Spanduk</t>
  </si>
  <si>
    <t>KETERANGAN</t>
  </si>
  <si>
    <t>Ket</t>
  </si>
  <si>
    <t>895384141231</t>
  </si>
  <si>
    <t>Tanggal          Masuk</t>
  </si>
  <si>
    <t>DAFTAR SURAT MASUK PROMO SAMPLING / SELLING HARI RAYA IDUL FITRI 1446 H</t>
  </si>
  <si>
    <t>Unit Pengelola  Taman Margasatwa  Ragunan</t>
  </si>
  <si>
    <t>Dinas Pertamanan dan Hutan Kota</t>
  </si>
  <si>
    <t>Provinsi DKI Jakarta,</t>
  </si>
  <si>
    <t>Jakarta, 31 Desember 2025</t>
  </si>
  <si>
    <t xml:space="preserve">Kepala Seksi  Pelayanan  dan Informasi </t>
  </si>
  <si>
    <t>Afriana Pulungan, S.Si., M.AP.</t>
  </si>
  <si>
    <t>NIP 197304212007012021</t>
  </si>
  <si>
    <t>DINAS PERTAMANAN DAN HUTAN KOTA</t>
  </si>
  <si>
    <t>Jakarta, 5 November 2025</t>
  </si>
  <si>
    <t>REKAPITULASI DATA PROMO SAMPLING/SALLING TRIWULAN I</t>
  </si>
  <si>
    <t xml:space="preserve">REKAPITULASI DATA PROMO SAMPLING/SALLING </t>
  </si>
  <si>
    <t>TAHUN 2026</t>
  </si>
  <si>
    <t>31 Januari dan 1,7 dan 8 2026</t>
  </si>
  <si>
    <t>Frosty</t>
  </si>
  <si>
    <t>Ice Cream</t>
  </si>
  <si>
    <t>PT. Lynwood</t>
  </si>
  <si>
    <t>Cofee</t>
  </si>
  <si>
    <t>1,2,3,4,10,11,17,18,24,25,31 Januari 2026</t>
  </si>
  <si>
    <t>PT.Bintang Toedjoh</t>
  </si>
  <si>
    <t>Extrajos</t>
  </si>
  <si>
    <t>3,4 januari 2026</t>
  </si>
  <si>
    <t>PT. Semesta Mentari Utama</t>
  </si>
  <si>
    <t>OTG Snack Banded</t>
  </si>
  <si>
    <t>Two Thumbs</t>
  </si>
  <si>
    <t>10,11,16,17,18 Januari 2026</t>
  </si>
  <si>
    <t>Pizza</t>
  </si>
  <si>
    <t>10,11,17,18,24,25,31 Januari &amp; 1,7 Februari 2026</t>
  </si>
  <si>
    <t>CFC</t>
  </si>
  <si>
    <t>10,11,16,17,18,24,25,31 Januari &amp; 1 Februari 2026</t>
  </si>
  <si>
    <t>10,11,17,18,24,25,31 Januari 2026</t>
  </si>
  <si>
    <t>Es Krim Potong Singapur</t>
  </si>
  <si>
    <t>11,16,17,18 Januari 2026</t>
  </si>
  <si>
    <t>1 hari 2 titik</t>
  </si>
  <si>
    <t>Es-Pot Dhroid</t>
  </si>
  <si>
    <t>18,25 Januari &amp; 1,8 Februari 2025</t>
  </si>
  <si>
    <t>PT. Sinar Buah Nusantara</t>
  </si>
  <si>
    <t>Jus</t>
  </si>
  <si>
    <t>18 Januari 2026</t>
  </si>
  <si>
    <t>16,25 Januari 2026</t>
  </si>
  <si>
    <t>PT. Prayatna EO</t>
  </si>
  <si>
    <t>Oishi</t>
  </si>
  <si>
    <t>16,17,18,25,31 Januari 2026</t>
  </si>
  <si>
    <t>PT. FKS Food Sejahtera</t>
  </si>
  <si>
    <t>Taro</t>
  </si>
  <si>
    <t>24,25,31 Januari &amp; 1 Februari 2026</t>
  </si>
  <si>
    <t>BULAN JANUARI 2026</t>
  </si>
  <si>
    <t>DINAS PERTAMANAN DAN HUTAN KOTA PROVINSI DKI JAKARTA</t>
  </si>
  <si>
    <t xml:space="preserve">REKAPITULASI DATA EVENT PROMO SAMPLING / SELLING </t>
  </si>
  <si>
    <t>Pt. Pionerindo Gourmet International</t>
  </si>
  <si>
    <t>Cal Donut</t>
  </si>
  <si>
    <t>7,8,14 dan 15 Februari 2026</t>
  </si>
  <si>
    <t>Suryawan/ Two thumbs</t>
  </si>
  <si>
    <t>Ice Cream Cone</t>
  </si>
  <si>
    <t>Pambudiarto/ Need's</t>
  </si>
  <si>
    <t>Ice Cream Potong</t>
  </si>
  <si>
    <t>7,8,14,15,16 dan 17 Februari 2026</t>
  </si>
  <si>
    <t>2 hr=2 titik</t>
  </si>
  <si>
    <t>1,2,3 dan 4 Januari 2026</t>
  </si>
  <si>
    <t>PT. Dom Pizza Indonesia</t>
  </si>
  <si>
    <t>8,14,15 Februari dan 20,21,22,23,24 Maret 2026</t>
  </si>
  <si>
    <t>BULAN FEBRUARI 2026</t>
  </si>
  <si>
    <t>BULAN MARET 2026</t>
  </si>
  <si>
    <t>PT.Indosat Ooredoo Hutchison</t>
  </si>
  <si>
    <t>1 s.d 6 Januari 2026</t>
  </si>
  <si>
    <t>Penempatan High Gain</t>
  </si>
  <si>
    <t>PKS</t>
  </si>
  <si>
    <t>PT. Marga Nusantara Jaya</t>
  </si>
  <si>
    <t>Get Git</t>
  </si>
  <si>
    <t>PT. Advisindo Artistika/ IRIS</t>
  </si>
  <si>
    <t>Mayora</t>
  </si>
  <si>
    <t>14 -17 Feb 2026</t>
  </si>
  <si>
    <t>PT. Kreasi Pandawa Sakti</t>
  </si>
  <si>
    <t>Ichitan</t>
  </si>
  <si>
    <t>15 Feb, 22,23 Maret 2026</t>
  </si>
  <si>
    <t>PT. Priyatna EO</t>
  </si>
  <si>
    <t>1,7,8 Feb 2026</t>
  </si>
  <si>
    <t xml:space="preserve">Two Thumbs </t>
  </si>
  <si>
    <t>14, 15, 17 Feb 2026</t>
  </si>
  <si>
    <t>14,15,16,17 Feb dan 22-29 Maret 2026</t>
  </si>
  <si>
    <t>Frosty Ice Cream</t>
  </si>
  <si>
    <t>1,7,8,14,15,16,17 Feb 2026</t>
  </si>
  <si>
    <t>4 hari 3 titik</t>
  </si>
  <si>
    <t>PT Hamparan Idea Utama</t>
  </si>
  <si>
    <t>Mom's Recipe Silky Pudding</t>
  </si>
  <si>
    <t>22,23,24,25,26,27,28,29 Maret 2026</t>
  </si>
  <si>
    <t>Domino's Pizza</t>
  </si>
  <si>
    <t>28,29 Maret dan 4,5,11,12,18,19,25 April 2026</t>
  </si>
  <si>
    <t>21,22,23,24,25,26,27,28,29 Maret 2026</t>
  </si>
  <si>
    <t>Es-Pot Dhorid</t>
  </si>
  <si>
    <t>Es Potong</t>
  </si>
  <si>
    <t>25,26,27,28,29 Maret 2026</t>
  </si>
  <si>
    <t>20,21,22,23 dan 24 Maret 2026</t>
  </si>
  <si>
    <t>Titik</t>
  </si>
  <si>
    <t>22 - 28 Maret 2026</t>
  </si>
  <si>
    <t>PT. Pioneerindo Gourmet International</t>
  </si>
  <si>
    <t>Call Donut</t>
  </si>
  <si>
    <t>Wings Chit</t>
  </si>
  <si>
    <t>22 s.d 29 Maret dan 3,4,5 April 2026</t>
  </si>
  <si>
    <t>PT. Domino Kreasi Indonesia</t>
  </si>
  <si>
    <t>22 s.d 27 Maret 2026</t>
  </si>
  <si>
    <t xml:space="preserve">PT. Pacofic Food </t>
  </si>
  <si>
    <t>Smax Ring</t>
  </si>
  <si>
    <t>24 s.d 29 Maret 2026</t>
  </si>
  <si>
    <t>Sayap Ayam Berbalur</t>
  </si>
  <si>
    <t>EO Triplelines</t>
  </si>
  <si>
    <t>KIN Dizzert Milky</t>
  </si>
  <si>
    <t>22 s,d 26 Maret 2026</t>
  </si>
  <si>
    <t>PT. XL Smart Telecom Sejahtera</t>
  </si>
  <si>
    <t>Kartu / Pulsa</t>
  </si>
  <si>
    <t>22 s.d 28 Maret 2026</t>
  </si>
  <si>
    <t>Iso Plus, Mie Sedap, the Lemon Madu</t>
  </si>
  <si>
    <t>MASA LEBARAN 1447 H</t>
  </si>
  <si>
    <t>The Pucuk</t>
  </si>
  <si>
    <t>12,33,34</t>
  </si>
  <si>
    <t>24 s.d 29 Maret dan 5,12,19,26 April 2026</t>
  </si>
  <si>
    <t>PT. Glow Agency</t>
  </si>
  <si>
    <t>Kristalin, The Gelas, Paket Snack Tanggo</t>
  </si>
  <si>
    <t>22 s.d 29 Maret 2026</t>
  </si>
  <si>
    <t>5 hr=4 Titik</t>
  </si>
  <si>
    <t xml:space="preserve">REKAPITULASI DATA PENDAPATAN EVENT PROMO SAMPLING / SELLING </t>
  </si>
  <si>
    <t>2,54,45</t>
  </si>
  <si>
    <t>22,23,24,25,28,29 Maret dan 4,5 April</t>
  </si>
  <si>
    <t>Banner</t>
  </si>
  <si>
    <t>PT. Gastrorama Indonesia</t>
  </si>
  <si>
    <t>Hanasui</t>
  </si>
  <si>
    <t>22 s.d 26 Maret 2026</t>
  </si>
  <si>
    <t>Ice cream Singapore</t>
  </si>
  <si>
    <t>22 s.d 24 maret 2026</t>
  </si>
  <si>
    <t>22-23= 2 Titik</t>
  </si>
  <si>
    <t>CV. Indah Pratama</t>
  </si>
  <si>
    <t>Biscuit Unibis</t>
  </si>
  <si>
    <t>PT. Mou Milk Bar</t>
  </si>
  <si>
    <t>Susu Mou</t>
  </si>
  <si>
    <t>Milkita Candy</t>
  </si>
  <si>
    <t>22 s.d 23 Maret 2026</t>
  </si>
  <si>
    <t>PT. Ultra Sakti</t>
  </si>
  <si>
    <t>Freshcare</t>
  </si>
  <si>
    <t>22 s.d 25 Maret 2026</t>
  </si>
  <si>
    <t>Banner 1 titik</t>
  </si>
  <si>
    <t>PT. Indosat Ooredoo Hutchison</t>
  </si>
  <si>
    <t>MBTS</t>
  </si>
  <si>
    <t>14 s.d 29 Maret 2026</t>
  </si>
  <si>
    <t>Pino Ice Cream</t>
  </si>
  <si>
    <t>Kekurangan Banner</t>
  </si>
  <si>
    <t xml:space="preserve">PT. Manohara Asri </t>
  </si>
  <si>
    <t>Mayasi</t>
  </si>
  <si>
    <t>Cimory</t>
  </si>
  <si>
    <t>PT. Pionerindo Gourmet International</t>
  </si>
  <si>
    <t>CV. Jaya Abadi</t>
  </si>
  <si>
    <t>Regal</t>
  </si>
  <si>
    <t>Pizza Hut Delivery</t>
  </si>
  <si>
    <t>1 hr = 2 Titik</t>
  </si>
  <si>
    <t xml:space="preserve">Keterangan </t>
  </si>
  <si>
    <t>22 s.d 26,28,29 Maret dan 4,5,11,12,18,19,25 April 2026</t>
  </si>
  <si>
    <t>22 s.d 29 Maret dan 5,12,19,26 April 2026</t>
  </si>
  <si>
    <t xml:space="preserve"> 22 s.d 29 Maret 2026</t>
  </si>
  <si>
    <t>59,63,64</t>
  </si>
  <si>
    <t>PT. Evenindo</t>
  </si>
  <si>
    <t>Bejo</t>
  </si>
  <si>
    <t>23 s.d 25 Maret 2026</t>
  </si>
  <si>
    <t>Bapak Yudha</t>
  </si>
  <si>
    <t>Sosis</t>
  </si>
  <si>
    <t>PT. Fastrata Buana</t>
  </si>
  <si>
    <t>Kapal Api</t>
  </si>
  <si>
    <t>22 dan 23 Maret 2026</t>
  </si>
  <si>
    <t>PT. Mayora Indah</t>
  </si>
  <si>
    <t>22 s.d 29 Maret dan 4,5 April 2026</t>
  </si>
  <si>
    <t>PT. Dua Kelinci</t>
  </si>
  <si>
    <t>Paket Snack dua kelinci</t>
  </si>
  <si>
    <t>22 s,d 27 Maret 2026</t>
  </si>
  <si>
    <t>PT. Dua Komunikasi Indonesia</t>
  </si>
  <si>
    <t>Good Day</t>
  </si>
  <si>
    <t>PT. Komunikasi dua arah</t>
  </si>
  <si>
    <t>Ice Cream Wals</t>
  </si>
  <si>
    <t>Tri Solution</t>
  </si>
  <si>
    <t>Snack Chuba</t>
  </si>
  <si>
    <t>23 s.d 28 Maret 2026</t>
  </si>
  <si>
    <t>Sobisco</t>
  </si>
  <si>
    <t>22 dan 23 maret 2026</t>
  </si>
  <si>
    <t>PT. Pedagang Unggul Indonesia</t>
  </si>
  <si>
    <t>Nescafe RTD</t>
  </si>
  <si>
    <t>PT. Citradimensi Arhali</t>
  </si>
  <si>
    <t>Cedea</t>
  </si>
  <si>
    <t>PT. SOBA Aktivasi Indonesia</t>
  </si>
  <si>
    <t>Kalapa</t>
  </si>
  <si>
    <t>19,22 s.d 29 Maret 2026</t>
  </si>
  <si>
    <t>19,22 s.d 28 Maret 2026</t>
  </si>
  <si>
    <t>19= 1 Titik</t>
  </si>
  <si>
    <t>Nestle ( Bear brand,Milo,Kitkat)</t>
  </si>
  <si>
    <t>Caladine</t>
  </si>
  <si>
    <t>PT. Rekreasi Era Indonesia</t>
  </si>
  <si>
    <t>45 A</t>
  </si>
  <si>
    <t>21-31</t>
  </si>
  <si>
    <t>PT. Trikara Phoenix Kreasi</t>
  </si>
  <si>
    <t>Alphenleibe</t>
  </si>
  <si>
    <t>Kalbe Consumer, Sakatonik Cerebrofort</t>
  </si>
  <si>
    <t>23 s.d 29 Maret 2026</t>
  </si>
  <si>
    <t>PT. Telkomsel</t>
  </si>
  <si>
    <t>Kartu, pulsa</t>
  </si>
  <si>
    <t>Ayam Goreng</t>
  </si>
  <si>
    <t>PT. Barkah Jalu Perkasa</t>
  </si>
  <si>
    <t>PT. International Chemical Industry</t>
  </si>
  <si>
    <t>ABC Alkaline</t>
  </si>
  <si>
    <t>PT. Coca Cola Europacific Partnesr</t>
  </si>
  <si>
    <t>Sprite dan Frestea</t>
  </si>
  <si>
    <t>21 s.d 25 Maret 2026</t>
  </si>
  <si>
    <t>PT. FKS Food</t>
  </si>
  <si>
    <t>23 dan 24 Maret 2026</t>
  </si>
  <si>
    <t>PT. Sanghiang Perkasa</t>
  </si>
  <si>
    <t>26 s.d 29 Maret 2026</t>
  </si>
  <si>
    <t>Fitbar, Hydrococo, Olive Milk</t>
  </si>
  <si>
    <t>Hydrococo</t>
  </si>
  <si>
    <t>28 dan 29 Maret 2026</t>
  </si>
  <si>
    <t>25 dan 26 Maret 2026</t>
  </si>
  <si>
    <t>PT. Pradipta Adhi Cipta</t>
  </si>
  <si>
    <t>OMG</t>
  </si>
  <si>
    <t>PT. Kreasindo Multi Optima</t>
  </si>
  <si>
    <t>Tempo ( 2 Brand )</t>
  </si>
  <si>
    <t>22 s.d 24 Maret 2026</t>
  </si>
  <si>
    <t>Herborist</t>
  </si>
  <si>
    <t>PT. Victoria care Indonesia</t>
  </si>
  <si>
    <t>Bintang Toejuh</t>
  </si>
  <si>
    <t>43 dan 49</t>
  </si>
  <si>
    <t>26 A dan 70</t>
  </si>
  <si>
    <t>43A</t>
  </si>
  <si>
    <t>22,23,24,25,26,27,28,29</t>
  </si>
  <si>
    <t>PT. Anjardi Castro Makmur</t>
  </si>
  <si>
    <t>Larutan Cap Badak</t>
  </si>
  <si>
    <t>Delicute</t>
  </si>
  <si>
    <t>Indomaret</t>
  </si>
  <si>
    <t>Sosis Bakar</t>
  </si>
  <si>
    <t>Momogi</t>
  </si>
  <si>
    <t xml:space="preserve">Ket : </t>
  </si>
  <si>
    <t>Fitbar : 26,27,28 dan 29</t>
  </si>
  <si>
    <t xml:space="preserve">Hydrococo : 22,23,24,28 dan 29 </t>
  </si>
  <si>
    <t>Olive Milk : 22,23,24 dan 25</t>
  </si>
  <si>
    <t>25,26,27: 1 Titik</t>
  </si>
  <si>
    <t>22,24,28,29</t>
  </si>
  <si>
    <t>Jus Antara</t>
  </si>
  <si>
    <t>Penempatan spanduk</t>
  </si>
  <si>
    <t>Penempatan banner Nescafe RTD</t>
  </si>
  <si>
    <t>Penempatan Banner Freshcare</t>
  </si>
  <si>
    <t>PT. Harap Para Mantha</t>
  </si>
  <si>
    <t>The Pucuk Harum</t>
  </si>
  <si>
    <t>27 s.d 29 Maret 2026</t>
  </si>
  <si>
    <t>Penempatan Banner OMG</t>
  </si>
  <si>
    <t>PT.Sanghiang Perkasa</t>
  </si>
  <si>
    <t>Milna</t>
  </si>
  <si>
    <t>Prayatna EO</t>
  </si>
  <si>
    <t>PT. Kobe Boga Utama</t>
  </si>
  <si>
    <t>Snack Bon Cabe</t>
  </si>
  <si>
    <t xml:space="preserve">PT. Indosat </t>
  </si>
  <si>
    <t>IM3 dan Tri</t>
  </si>
  <si>
    <t>PT. Moou Milk Bar</t>
  </si>
  <si>
    <t>Milk</t>
  </si>
  <si>
    <t>28,29 Maret dan 4,5 April 2026</t>
  </si>
  <si>
    <t>PT. Lynwood Coffee</t>
  </si>
  <si>
    <t>Coffe</t>
  </si>
  <si>
    <t>29 Maret dan 4,5,12,19,26 April 2026</t>
  </si>
  <si>
    <t>Tri Solution Management</t>
  </si>
  <si>
    <t>PT. Sumber Karya Pakarindo</t>
  </si>
  <si>
    <t>3,4,5,11,12,18,19,25 dan 26 April 2026</t>
  </si>
  <si>
    <t>4,5,11,12,19,25 dan 26 April 2026</t>
  </si>
  <si>
    <t>3 brand</t>
  </si>
  <si>
    <t xml:space="preserve">Kristalin, The Gelas, Paket Snack </t>
  </si>
  <si>
    <t>22,23,24,25,28,29 Maret dan 4,5 April 2026</t>
  </si>
  <si>
    <t>Jakarta, 2 April 2026</t>
  </si>
  <si>
    <t>19,20, 22 s.d 29 Maret 2026</t>
  </si>
  <si>
    <t>22 s.d 26,28,29 maret 2026</t>
  </si>
  <si>
    <t>22 s.d 26,28,29 Maret 2026</t>
  </si>
  <si>
    <t>22 s.d 24,28,29 maret 2026</t>
  </si>
  <si>
    <t>22 s.d 25,29 Maret 2026</t>
  </si>
  <si>
    <t>BULAN APRIL 2026</t>
  </si>
  <si>
    <t>Es Potong singapore</t>
  </si>
  <si>
    <t>4,5,12,19 dan 26 April 2026</t>
  </si>
  <si>
    <t>4,5 dan 12 April 2026</t>
  </si>
  <si>
    <t>3,4 dan 5 April 2026</t>
  </si>
  <si>
    <t>4 dan 5 April 2026</t>
  </si>
  <si>
    <t>Sosis kentang</t>
  </si>
  <si>
    <t>Sotang AE</t>
  </si>
  <si>
    <t>4,5,11,12,18,19,25 dan 26 April 2026</t>
  </si>
  <si>
    <t>4,5,25,26 April dan 2,3 Mei 2026</t>
  </si>
  <si>
    <t>19,25,26 april dan 2,3,9,10,16,17 Mei 2026</t>
  </si>
  <si>
    <t>19 dan 26 April 2026</t>
  </si>
  <si>
    <t>Sayap Ayam</t>
  </si>
  <si>
    <t>26 April,3,10,17,24 dan 31 Mei 2026</t>
  </si>
  <si>
    <t xml:space="preserve">Frosty </t>
  </si>
  <si>
    <t>3,10,14,24 dan 31 mei 2026</t>
  </si>
  <si>
    <t>PT. Pacific Food Indonesia</t>
  </si>
  <si>
    <t>1 dan 3 Mei 2026</t>
  </si>
  <si>
    <t>1,2,3,9,10,14,15,16,17,23,24,27,28,29,30 dan 31 Mei 2026</t>
  </si>
  <si>
    <t>1,2,3,14,16 dan 17 Mei 2026</t>
  </si>
  <si>
    <t>2,3,9,10,16,17,23,24,30 dan 31 Mei 2026</t>
  </si>
  <si>
    <t>1 s.d 3 Mei 2026</t>
  </si>
  <si>
    <t>1,2,3,9,10,14,16,17,23,24,27,20 dan 31 Mei 2026</t>
  </si>
  <si>
    <t>2,3,10,14,16,17,24,30 dan 31 Mei 2026</t>
  </si>
  <si>
    <t>11,12,18,19,25 dan 26 April 2026</t>
  </si>
  <si>
    <t>PT. Digital Orange</t>
  </si>
  <si>
    <t>Dua Kelinci</t>
  </si>
  <si>
    <t>12,19,26 April dan 3,10 Mei 2026</t>
  </si>
  <si>
    <t>PT. Kurnia promo lestaro</t>
  </si>
  <si>
    <t>Pedlepop</t>
  </si>
  <si>
    <t>Milo Biscuit</t>
  </si>
  <si>
    <t>PT. Trikara Phoenix</t>
  </si>
  <si>
    <t xml:space="preserve"> 01/05/2026</t>
  </si>
  <si>
    <t>PT. Lynwood Coffe</t>
  </si>
  <si>
    <t>Coffee</t>
  </si>
  <si>
    <t>2,3,10,14,16,17,24,30,31 Mei 2026</t>
  </si>
  <si>
    <t>Need's</t>
  </si>
  <si>
    <t>Es Krim Potong Singapore</t>
  </si>
  <si>
    <t>2,3,9, dan 10 Mei 2026</t>
  </si>
  <si>
    <t>PT. Magnum Ice Cream Indonessia</t>
  </si>
  <si>
    <t>Ice Cream Walls</t>
  </si>
  <si>
    <t>2 dan 3 Mei 2026</t>
  </si>
  <si>
    <t>10,14,15,16,17 Mei 2026</t>
  </si>
  <si>
    <t>PT. Kurnia Promo Lestari</t>
  </si>
  <si>
    <t>Padle Pop</t>
  </si>
  <si>
    <t>Tentative ( 100 hr )</t>
  </si>
  <si>
    <t>50 hr = 2</t>
  </si>
  <si>
    <t>9 dan 10 Mei 2026</t>
  </si>
  <si>
    <t>23,24,30,31 Mei dan 6,7,13,14,20 Juni 2026</t>
  </si>
  <si>
    <t xml:space="preserve">Es Krim Potong </t>
  </si>
  <si>
    <t>Mengetahui,</t>
  </si>
  <si>
    <t>Pelapor,</t>
  </si>
  <si>
    <t>Hermawati</t>
  </si>
  <si>
    <t>NIP 198201262010012015</t>
  </si>
  <si>
    <t>Jakarta, 11 Mei 2026</t>
  </si>
  <si>
    <t>Sosis dan kentang</t>
  </si>
  <si>
    <t>16,17,23,24,27,28,30 dan 31 Mei 2026</t>
  </si>
  <si>
    <t>2,3,10 dan 14 Mei 2026</t>
  </si>
  <si>
    <t>PT. Bank UOB Indonesia</t>
  </si>
  <si>
    <t>Kartu Kredit</t>
  </si>
  <si>
    <t>14,15 dan 16 Mei 2026</t>
  </si>
  <si>
    <t>14,16,17,23 dan 24 Mei 2026</t>
  </si>
  <si>
    <t>14,15,16 dan 17 Mei 2026</t>
  </si>
  <si>
    <t>15,16 ,17,23 dan 24 Mei 2026</t>
  </si>
  <si>
    <t>23,24,27,28,30 dan 31 Mei 2026</t>
  </si>
  <si>
    <t>Snack</t>
  </si>
  <si>
    <t>24,30,31 Mei dan 1 ,7 Juni 2026</t>
  </si>
  <si>
    <t>PT. Mayora indah</t>
  </si>
  <si>
    <t>Kalpa</t>
  </si>
  <si>
    <t>31,31 Mei dan 1,6,7,13,14,20,21,28 Juni 2026</t>
  </si>
  <si>
    <t>23 dan 24 Mei 2026</t>
  </si>
  <si>
    <t>Dash EO</t>
  </si>
  <si>
    <t>27,28,29,30,31 Mei dan 1 Juni 2026</t>
  </si>
  <si>
    <t>Tae kae noi</t>
  </si>
  <si>
    <t>PT. Sari melati Kencana</t>
  </si>
  <si>
    <t>30,31 mei dan 1 Juni 2026</t>
  </si>
  <si>
    <t>PT. Trikara Phoenix kreasi</t>
  </si>
  <si>
    <t>Alpenlible</t>
  </si>
  <si>
    <t>28,29,30 dan 31 Mei 2026</t>
  </si>
  <si>
    <t>27,30 dan 31 Mei 2026</t>
  </si>
  <si>
    <t>PT. Aman Food Industri</t>
  </si>
  <si>
    <t>7,14,21 dan 28 Juni 2026</t>
  </si>
  <si>
    <t>1,6,7,13,14,16,20,21,27 dan 28 Juni 2026</t>
  </si>
  <si>
    <t>28,30 dan 31 Mei 2026</t>
  </si>
  <si>
    <t>27 s.d 31 Mei 2026</t>
  </si>
  <si>
    <t>29,.30,31 Mei dan 1 Juni 2026</t>
  </si>
  <si>
    <t>31 Mei dan 1 Juni 2026</t>
  </si>
  <si>
    <t>31 Mei dan 1,6,7,14 Juni 2026</t>
  </si>
  <si>
    <t>PT. Bima Mahkota Nusantara</t>
  </si>
  <si>
    <t xml:space="preserve"> Sweet  Potato</t>
  </si>
  <si>
    <t>1,6,7,13 dan 14 Juni 2026</t>
  </si>
  <si>
    <t>1,6,7,13,14,20,21,27 dan 28 Mei 2026</t>
  </si>
  <si>
    <t>1,6,7,13,14,16,20,21,23,24,25,27,28 dan 30 Juni 2026</t>
  </si>
  <si>
    <t>8 hr=2 titik</t>
  </si>
  <si>
    <t>PT. Vio Jaya Mandiri</t>
  </si>
  <si>
    <t>Risoles</t>
  </si>
  <si>
    <t>1,7,14,21,27,28 Juni 2026</t>
  </si>
  <si>
    <t>1,6 dan 7 Juni 2026</t>
  </si>
  <si>
    <t>1,2,3,9,10,14,15,16,17,23,24,28,29,30 dan 31 Mei 2026</t>
  </si>
  <si>
    <t>1 hr 3 Titik</t>
  </si>
  <si>
    <t>CV. Yudha D. Setiawan</t>
  </si>
  <si>
    <t>1,7,14,21 dan 28 Juni 2026</t>
  </si>
  <si>
    <t>BULAN MEI  2026</t>
  </si>
  <si>
    <t>Jakarta, 2 Juni 2026</t>
  </si>
  <si>
    <t>The Ngaso</t>
  </si>
  <si>
    <t>30 dan 31 Mei 2026</t>
  </si>
  <si>
    <t>Tae Kao Noi</t>
  </si>
  <si>
    <t>6,7 Juni 2026</t>
  </si>
  <si>
    <t>BULAN JUNI 2026</t>
  </si>
  <si>
    <t>PT. Indosakti</t>
  </si>
  <si>
    <t>Kitkat</t>
  </si>
  <si>
    <t>PT. Tangkas Kreasindo Gemilang</t>
  </si>
  <si>
    <t>Hari Susu Nusantara</t>
  </si>
  <si>
    <t>Makanan</t>
  </si>
  <si>
    <t>Jakarta, 4 Mei 2026</t>
  </si>
  <si>
    <t>13,14,16 dan 20 Juni 2026</t>
  </si>
  <si>
    <t>13,14,16,20,21,27 dan 28 Juni 2026</t>
  </si>
  <si>
    <t>PT. Jakarta Boga Utama Sari</t>
  </si>
  <si>
    <t>Tayo Drink</t>
  </si>
  <si>
    <t>13 dan 14 Juni 2026</t>
  </si>
  <si>
    <t>14,16 dan 21 Juni 2026</t>
  </si>
  <si>
    <t>16,20,21,27 dan 28 Juni 2026</t>
  </si>
  <si>
    <t>1,6,7,13,14,16,20,21,22,27 dan 28 Juni 2026</t>
  </si>
  <si>
    <t>CV. Momentum</t>
  </si>
  <si>
    <t>Indomilk</t>
  </si>
  <si>
    <t>26,27,28 Juni 2026</t>
  </si>
  <si>
    <t>PT. Pioneerindo Gourmet Int</t>
  </si>
  <si>
    <t>Taokaenoi</t>
  </si>
  <si>
    <t>20,21 Juni 2026</t>
  </si>
  <si>
    <t>CV.Two thumbs</t>
  </si>
  <si>
    <t>21,27,28 Juni 2026</t>
  </si>
  <si>
    <t>CV. Twu Thumbs</t>
  </si>
  <si>
    <t>22,23,24,25 Juni 2026</t>
  </si>
  <si>
    <t>27 dan 28 Juni 2026</t>
  </si>
  <si>
    <t>2 hr=2 Titik</t>
  </si>
  <si>
    <t>PT. Sari Melati Kencana</t>
  </si>
  <si>
    <t>PT. Advisindo Artistika (IRIS)</t>
  </si>
  <si>
    <t>PT. Cimory</t>
  </si>
  <si>
    <t>27, 28 Juni dan 3,4,5,11 dan 12 Juli 2026</t>
  </si>
  <si>
    <t>PT Macro Sentra Niaga</t>
  </si>
  <si>
    <t>snack</t>
  </si>
  <si>
    <t>27,28 Juni dan 5,12,19 Juli 2026</t>
  </si>
  <si>
    <t xml:space="preserve">Mayora Indah </t>
  </si>
  <si>
    <t>Eyevit Gummy</t>
  </si>
  <si>
    <t>20,21,27 dan 28 Juni 2026</t>
  </si>
  <si>
    <t>28 Juni, 4,5,11 dan 12 Juli 2026</t>
  </si>
  <si>
    <t>Mie Kremez</t>
  </si>
  <si>
    <t>1  s.d 10 Juli 2026</t>
  </si>
  <si>
    <t>PT. sumber Karya Pakarindo</t>
  </si>
  <si>
    <t>1,2,4,5,7,8,9,11,12,18,19,25 dan 26 Juli 2026</t>
  </si>
  <si>
    <t>10 hr = 2 Titik</t>
  </si>
  <si>
    <t>BULAN JULI 2026</t>
  </si>
  <si>
    <t>4,5,11,12 Juli 2026</t>
  </si>
  <si>
    <t>Pizza Hut</t>
  </si>
  <si>
    <t>4 dan 5 Juli 2026</t>
  </si>
  <si>
    <t>PT. Aplus Multi Kreasi</t>
  </si>
  <si>
    <t>Selling samping layanan gojek</t>
  </si>
  <si>
    <t>3,4,5,10,11,12 Juli 2026</t>
  </si>
  <si>
    <t>ada maskot</t>
  </si>
  <si>
    <t>OISHI</t>
  </si>
  <si>
    <t>4,5,11,12, Juli 2026</t>
  </si>
  <si>
    <t>Donat dan Roti</t>
  </si>
  <si>
    <t>4,5,11,12,25,26 Juli dan 1,2 Agustus 2026</t>
  </si>
  <si>
    <t>Teh Pucuk Harum</t>
  </si>
  <si>
    <t>Taro Snack</t>
  </si>
  <si>
    <t>PT. Macrosentra Niaga Boga</t>
  </si>
  <si>
    <t xml:space="preserve">Ice Cream   </t>
  </si>
  <si>
    <t>4,5,7,8,9,10,11,12 Juli 2026</t>
  </si>
  <si>
    <t>CV. Yudha Setiawan</t>
  </si>
  <si>
    <t>Sosis Kentang</t>
  </si>
  <si>
    <t>Ayam sayap berbumbu</t>
  </si>
  <si>
    <t>5,12,19,25,26 Juli 2026</t>
  </si>
  <si>
    <t>PT. Kreasi Era Indonesia</t>
  </si>
  <si>
    <t>10,11,12 Juli 2026</t>
  </si>
  <si>
    <t>11,12,18,19,25 DAN 26 Juli 2026</t>
  </si>
  <si>
    <t>PT. Sakti Rekatama Cipta</t>
  </si>
  <si>
    <t>Paket Madurasa</t>
  </si>
  <si>
    <t>11 dan 12 Juli 2026</t>
  </si>
  <si>
    <t>11,19 dan 26 Juli 2026</t>
  </si>
  <si>
    <t>2 hari 2 titik</t>
  </si>
  <si>
    <t>4Hari 2 titik</t>
  </si>
  <si>
    <t>3 Hari 2 titik</t>
  </si>
  <si>
    <t>Boncabe</t>
  </si>
  <si>
    <t>3,4 dan 5 Juli 2026</t>
  </si>
  <si>
    <t>4,5,11,12,18,19,25,26 Juli dan 1,2 Agustus 2026</t>
  </si>
  <si>
    <t>5,12,19 dan 26Juli 2026</t>
  </si>
  <si>
    <t>Jakarta, 1 Juli 2026</t>
  </si>
  <si>
    <t>PT. Macrosendtra Niaga Boga</t>
  </si>
  <si>
    <t>25,26,30 Juni 2026</t>
  </si>
  <si>
    <t>1,2,3,4,5,7,8,9,1011,12,18,19,25,26 Juli 2026</t>
  </si>
  <si>
    <t>Dominos Pizza</t>
  </si>
  <si>
    <t>PIzza</t>
  </si>
  <si>
    <t>25,26 Juli dan 1,2,8,9,15,16,22, Agustus 2026</t>
  </si>
  <si>
    <t>18,19,25,26 Juli 2026</t>
  </si>
  <si>
    <t>Croco Kopi</t>
  </si>
  <si>
    <t>27,28 Juni dan 4,5,11,12,18,29,25,26 Juli 2026</t>
  </si>
  <si>
    <t>18,19,25 dan 26 Juli 2026</t>
  </si>
  <si>
    <t>The Semesta</t>
  </si>
  <si>
    <t>2,9,16,23 dan 30 Agustus 2026</t>
  </si>
  <si>
    <t>Ice cream</t>
  </si>
  <si>
    <t>Es Potong Dhorid</t>
  </si>
  <si>
    <t>Es ptong Singapore</t>
  </si>
  <si>
    <t>1,2,8 dan 9 Agustus 2026</t>
  </si>
  <si>
    <t>1,2,8,9,15,16,22,23,29 dan 30 Agustus 2026</t>
  </si>
  <si>
    <t>1 dan 2 Agustus 2026</t>
  </si>
  <si>
    <t>8,9,15,16,17,22,23,25,29,30 Agustus 2026</t>
  </si>
  <si>
    <t>1,2 Agustus 2026</t>
  </si>
  <si>
    <t>1,2,8,9,15 dan 16 Agustus 2026</t>
  </si>
  <si>
    <t>Jakarta, 3 Agustus 2026</t>
  </si>
  <si>
    <t>BULAN AGUSTUS 2026</t>
  </si>
  <si>
    <t>1,2,9,16,23,30 Agustus 2026</t>
  </si>
  <si>
    <t>PT. Pioneerindo Gourmet Internasional tbk</t>
  </si>
  <si>
    <t>8,9,15,16,29,30 Agustus dan 5,6 September 2026</t>
  </si>
  <si>
    <t>11 s.d 15 Juli  2026</t>
  </si>
  <si>
    <t>Maskot</t>
  </si>
  <si>
    <t>14 hr : 6 Titik</t>
  </si>
  <si>
    <t>16 s.d 31 Juli dan 1 Agustus 2026</t>
  </si>
  <si>
    <t>9 dan 16 Agustus 2026</t>
  </si>
  <si>
    <t>23,29,30 Agustus dan 5,6,12,13,19,20 September 2026</t>
  </si>
  <si>
    <t>15,16,17,22 dan 23 Agustus 2026</t>
  </si>
  <si>
    <t>15, 16 dan 17 Agustus 2026</t>
  </si>
  <si>
    <t xml:space="preserve">Ice Cream </t>
  </si>
  <si>
    <t>4 hr : 5 titik</t>
  </si>
  <si>
    <t>PT. Sarimelati Kencana</t>
  </si>
  <si>
    <t>16, 17, 22 Agustus 2026 (satu titik) dan 23 Agustus 2026</t>
  </si>
  <si>
    <t>23 dan 30 Agustus 2026</t>
  </si>
  <si>
    <t>1 hr 2 titik</t>
  </si>
  <si>
    <t>22,23 dan 25 Agustus 2026</t>
  </si>
  <si>
    <t>22,23,25,29 dan 30 Agustus 2026</t>
  </si>
  <si>
    <t>25,29 dan 30 Agustus 2026</t>
  </si>
  <si>
    <t>2 hr 2 titik</t>
  </si>
  <si>
    <t>25,29,30 Agustus dan 5,6 September 2026</t>
  </si>
  <si>
    <t>5,6,12,13,19,20,26 dan 27 September 2026</t>
  </si>
  <si>
    <t>1,2,8,9,15,16,17,22,23,25,29 dan 30 Agustus 2026</t>
  </si>
  <si>
    <t>2 hr 3 titik</t>
  </si>
  <si>
    <t>Edukasi</t>
  </si>
  <si>
    <t>Giani</t>
  </si>
  <si>
    <t>B Broun</t>
  </si>
  <si>
    <t>BULAN SEPTEMBER 2026</t>
  </si>
  <si>
    <t>5 dan 6 September 2026</t>
  </si>
  <si>
    <t>PT. Abhil Perkasa Mandiri</t>
  </si>
  <si>
    <t>Chitato</t>
  </si>
  <si>
    <t>5,6,12,13 September 2026</t>
  </si>
  <si>
    <t>PARAF</t>
  </si>
  <si>
    <t>JUMLAH (Rp.)</t>
  </si>
  <si>
    <t>NAMA</t>
  </si>
  <si>
    <t>DAFTAR PARTISIPASI HUT TMR TAHUN 2026</t>
  </si>
  <si>
    <t>12,13,19,20,26 dan 27 September 2026</t>
  </si>
  <si>
    <t>Jakarta, 1 September 2026</t>
  </si>
  <si>
    <t>12, 13 September 2026</t>
  </si>
  <si>
    <t>13 dan 20 September 2026</t>
  </si>
  <si>
    <t>26,27 September dan 3,4,10,11,17,18,24 Okt 2026</t>
  </si>
  <si>
    <t>19,20,26,27 September 2026</t>
  </si>
  <si>
    <t>19 dan 20 September 2026</t>
  </si>
  <si>
    <t>1 Hari 1 titik</t>
  </si>
  <si>
    <t>PT Aman Food Industri</t>
  </si>
  <si>
    <t>4,11,18, 25 Oktober 2026</t>
  </si>
  <si>
    <t>UIN</t>
  </si>
  <si>
    <t>BSI</t>
  </si>
  <si>
    <t>SeaBank</t>
  </si>
  <si>
    <t>12,13,26,27, September 2026 dan 3,4 Oktober 2026</t>
  </si>
  <si>
    <t>6,13,20 dan 27 September 2026</t>
  </si>
  <si>
    <t>26 dan 27 September 2026</t>
  </si>
  <si>
    <t>1 Hr 2 titik</t>
  </si>
  <si>
    <t>Brand</t>
  </si>
  <si>
    <t>3,4,10,11,17,18,24,25 dan 31 Oktober 2026</t>
  </si>
  <si>
    <t>3,4,10,11,17,18,24,25,31 Oktober dan 1 November 2026</t>
  </si>
  <si>
    <t>BULAN OKTOBER 2026</t>
  </si>
  <si>
    <t>Jakarta, 1 Oktober 2026</t>
  </si>
  <si>
    <t>3,4,10 dan 11 Oktober 2026</t>
  </si>
  <si>
    <t>4,10,11,17,18,24 dan 25 Oktober 2026</t>
  </si>
  <si>
    <t>4,11,18 dan 25 Oktober 2025</t>
  </si>
  <si>
    <t>3,4 dan 10 Oktober 2026</t>
  </si>
  <si>
    <t>1 Hr 2 Titik</t>
  </si>
  <si>
    <t>2 Hr 2 Titik</t>
  </si>
  <si>
    <t>3,4,10,11,17 dan 18 Oktober 2026</t>
  </si>
  <si>
    <t>Mayora ( Kalapa )</t>
  </si>
  <si>
    <t>PT. Multi Indocitra, Tbk</t>
  </si>
  <si>
    <t>Poi Poi</t>
  </si>
  <si>
    <t>10 dan 11 Oktober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</si>
</sst>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_);_(@_)"/>
    <numFmt numFmtId="165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sz val="11"/>
      <color rgb="FF9C0006"/>
      <name val="Calibri"/>
      <family val="2"/>
      <charset val="1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9C0006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3" borderId="0" applyNumberFormat="0" applyBorder="0" applyAlignment="0" applyProtection="0"/>
  </cellStyleXfs>
  <cellXfs count="27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2" borderId="2" xfId="0" applyFill="1" applyBorder="1"/>
    <xf numFmtId="0" fontId="3" fillId="0" borderId="2" xfId="0" applyFont="1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7" xfId="0" applyBorder="1"/>
    <xf numFmtId="0" fontId="2" fillId="0" borderId="0" xfId="0" applyFont="1" applyAlignment="1">
      <alignment horizontal="center"/>
    </xf>
    <xf numFmtId="15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15" fontId="0" fillId="2" borderId="1" xfId="0" applyNumberForma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3" fontId="0" fillId="0" borderId="0" xfId="0" applyNumberFormat="1"/>
    <xf numFmtId="0" fontId="0" fillId="0" borderId="0" xfId="0" quotePrefix="1"/>
    <xf numFmtId="0" fontId="0" fillId="0" borderId="1" xfId="0" applyBorder="1" applyAlignment="1">
      <alignment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Continuous"/>
    </xf>
    <xf numFmtId="0" fontId="6" fillId="2" borderId="1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6" fillId="0" borderId="0" xfId="0" applyFont="1"/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14" fontId="6" fillId="0" borderId="5" xfId="0" applyNumberFormat="1" applyFont="1" applyBorder="1" applyAlignment="1">
      <alignment horizontal="center"/>
    </xf>
    <xf numFmtId="0" fontId="6" fillId="2" borderId="15" xfId="0" applyFont="1" applyFill="1" applyBorder="1" applyAlignment="1">
      <alignment horizontal="left" vertical="center" wrapText="1"/>
    </xf>
    <xf numFmtId="0" fontId="6" fillId="2" borderId="16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center"/>
    </xf>
    <xf numFmtId="165" fontId="6" fillId="0" borderId="5" xfId="2" applyNumberFormat="1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14" fontId="6" fillId="0" borderId="11" xfId="0" applyNumberFormat="1" applyFont="1" applyBorder="1" applyAlignment="1">
      <alignment horizontal="center"/>
    </xf>
    <xf numFmtId="0" fontId="6" fillId="2" borderId="12" xfId="0" applyFont="1" applyFill="1" applyBorder="1" applyAlignment="1">
      <alignment horizontal="left" vertical="center" wrapText="1"/>
    </xf>
    <xf numFmtId="0" fontId="6" fillId="0" borderId="11" xfId="0" applyFont="1" applyBorder="1" applyAlignment="1">
      <alignment horizontal="center"/>
    </xf>
    <xf numFmtId="165" fontId="6" fillId="0" borderId="11" xfId="2" applyNumberFormat="1" applyFont="1" applyBorder="1" applyAlignment="1">
      <alignment horizontal="center"/>
    </xf>
    <xf numFmtId="0" fontId="8" fillId="2" borderId="11" xfId="3" applyFont="1" applyFill="1" applyBorder="1" applyAlignment="1">
      <alignment horizontal="center" vertical="center"/>
    </xf>
    <xf numFmtId="14" fontId="6" fillId="2" borderId="11" xfId="0" applyNumberFormat="1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164" fontId="6" fillId="2" borderId="11" xfId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4" fillId="2" borderId="11" xfId="3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1" xfId="3" applyFont="1" applyFill="1" applyBorder="1" applyAlignment="1">
      <alignment horizontal="center" vertical="center" wrapText="1"/>
    </xf>
    <xf numFmtId="164" fontId="4" fillId="2" borderId="11" xfId="3" applyNumberFormat="1" applyFont="1" applyFill="1" applyBorder="1" applyAlignment="1">
      <alignment horizontal="center" vertical="center" wrapText="1"/>
    </xf>
    <xf numFmtId="0" fontId="6" fillId="2" borderId="11" xfId="3" applyFont="1" applyFill="1" applyBorder="1" applyAlignment="1">
      <alignment horizontal="left" vertical="center" wrapText="1"/>
    </xf>
    <xf numFmtId="0" fontId="6" fillId="2" borderId="12" xfId="3" applyFont="1" applyFill="1" applyBorder="1" applyAlignment="1">
      <alignment horizontal="left" vertical="center" wrapText="1"/>
    </xf>
    <xf numFmtId="15" fontId="6" fillId="2" borderId="12" xfId="0" applyNumberFormat="1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center" vertical="center" wrapText="1"/>
    </xf>
    <xf numFmtId="14" fontId="6" fillId="2" borderId="12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1" xfId="0" applyFont="1" applyBorder="1"/>
    <xf numFmtId="0" fontId="6" fillId="0" borderId="12" xfId="0" applyFont="1" applyBorder="1"/>
    <xf numFmtId="0" fontId="7" fillId="0" borderId="2" xfId="0" applyFont="1" applyBorder="1"/>
    <xf numFmtId="0" fontId="6" fillId="0" borderId="1" xfId="0" applyFont="1" applyBorder="1" applyAlignment="1">
      <alignment horizontal="center"/>
    </xf>
    <xf numFmtId="165" fontId="6" fillId="0" borderId="1" xfId="2" applyNumberFormat="1" applyFont="1" applyBorder="1" applyAlignment="1">
      <alignment horizontal="center"/>
    </xf>
    <xf numFmtId="0" fontId="6" fillId="0" borderId="1" xfId="0" applyFont="1" applyBorder="1"/>
    <xf numFmtId="165" fontId="6" fillId="0" borderId="0" xfId="2" applyNumberFormat="1" applyFont="1" applyFill="1" applyBorder="1" applyAlignment="1">
      <alignment horizontal="center"/>
    </xf>
    <xf numFmtId="165" fontId="6" fillId="0" borderId="0" xfId="2" applyNumberFormat="1" applyFont="1"/>
    <xf numFmtId="0" fontId="6" fillId="0" borderId="6" xfId="0" applyFont="1" applyBorder="1" applyAlignment="1">
      <alignment horizontal="center" vertical="center" wrapText="1"/>
    </xf>
    <xf numFmtId="165" fontId="6" fillId="0" borderId="5" xfId="2" applyNumberFormat="1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/>
    </xf>
    <xf numFmtId="165" fontId="6" fillId="2" borderId="11" xfId="2" applyNumberFormat="1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 wrapText="1"/>
    </xf>
    <xf numFmtId="14" fontId="6" fillId="2" borderId="11" xfId="0" applyNumberFormat="1" applyFont="1" applyFill="1" applyBorder="1" applyAlignment="1">
      <alignment horizontal="center"/>
    </xf>
    <xf numFmtId="15" fontId="6" fillId="2" borderId="11" xfId="0" applyNumberFormat="1" applyFont="1" applyFill="1" applyBorder="1" applyAlignment="1">
      <alignment horizontal="left" vertical="center" wrapText="1"/>
    </xf>
    <xf numFmtId="0" fontId="6" fillId="2" borderId="11" xfId="0" applyFont="1" applyFill="1" applyBorder="1"/>
    <xf numFmtId="0" fontId="7" fillId="0" borderId="1" xfId="0" applyFont="1" applyBorder="1" applyAlignment="1">
      <alignment horizontal="center"/>
    </xf>
    <xf numFmtId="43" fontId="7" fillId="0" borderId="1" xfId="2" applyFont="1" applyBorder="1" applyAlignment="1">
      <alignment horizontal="center"/>
    </xf>
    <xf numFmtId="0" fontId="7" fillId="0" borderId="10" xfId="0" applyFont="1" applyBorder="1"/>
    <xf numFmtId="0" fontId="7" fillId="0" borderId="8" xfId="0" applyFont="1" applyBorder="1" applyAlignment="1">
      <alignment horizontal="center"/>
    </xf>
    <xf numFmtId="165" fontId="7" fillId="0" borderId="8" xfId="2" applyNumberFormat="1" applyFont="1" applyBorder="1" applyAlignment="1">
      <alignment horizontal="center"/>
    </xf>
    <xf numFmtId="0" fontId="6" fillId="0" borderId="8" xfId="0" applyFont="1" applyBorder="1"/>
    <xf numFmtId="0" fontId="6" fillId="2" borderId="5" xfId="0" applyFont="1" applyFill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2" borderId="11" xfId="0" applyFont="1" applyFill="1" applyBorder="1" applyAlignment="1">
      <alignment horizontal="left"/>
    </xf>
    <xf numFmtId="15" fontId="6" fillId="2" borderId="11" xfId="0" applyNumberFormat="1" applyFont="1" applyFill="1" applyBorder="1" applyAlignment="1">
      <alignment horizontal="left"/>
    </xf>
    <xf numFmtId="14" fontId="6" fillId="2" borderId="11" xfId="0" applyNumberFormat="1" applyFont="1" applyFill="1" applyBorder="1" applyAlignment="1">
      <alignment horizontal="left" vertical="center" wrapText="1"/>
    </xf>
    <xf numFmtId="15" fontId="6" fillId="2" borderId="19" xfId="0" applyNumberFormat="1" applyFont="1" applyFill="1" applyBorder="1" applyAlignment="1">
      <alignment horizontal="left" vertical="center" wrapText="1"/>
    </xf>
    <xf numFmtId="14" fontId="6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4" fontId="6" fillId="2" borderId="6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4" fontId="6" fillId="2" borderId="2" xfId="1" applyFont="1" applyFill="1" applyBorder="1" applyAlignment="1">
      <alignment horizontal="left" vertical="center" wrapText="1"/>
    </xf>
    <xf numFmtId="164" fontId="6" fillId="2" borderId="1" xfId="1" applyFont="1" applyFill="1" applyBorder="1" applyAlignment="1">
      <alignment horizontal="left"/>
    </xf>
    <xf numFmtId="164" fontId="6" fillId="2" borderId="2" xfId="1" applyFont="1" applyFill="1" applyBorder="1" applyAlignment="1">
      <alignment horizontal="center" vertical="center" wrapText="1"/>
    </xf>
    <xf numFmtId="164" fontId="6" fillId="2" borderId="1" xfId="1" applyFont="1" applyFill="1" applyBorder="1" applyAlignment="1">
      <alignment horizontal="center" vertical="center"/>
    </xf>
    <xf numFmtId="164" fontId="6" fillId="2" borderId="2" xfId="1" applyFont="1" applyFill="1" applyBorder="1" applyAlignment="1"/>
    <xf numFmtId="164" fontId="6" fillId="0" borderId="2" xfId="1" applyFont="1" applyBorder="1" applyAlignment="1"/>
    <xf numFmtId="164" fontId="6" fillId="0" borderId="2" xfId="1" applyFont="1" applyBorder="1" applyAlignment="1">
      <alignment horizontal="center" vertical="center" wrapText="1"/>
    </xf>
    <xf numFmtId="164" fontId="6" fillId="0" borderId="1" xfId="1" applyFont="1" applyBorder="1" applyAlignment="1">
      <alignment horizontal="right"/>
    </xf>
    <xf numFmtId="164" fontId="6" fillId="0" borderId="2" xfId="1" applyFont="1" applyBorder="1" applyAlignment="1">
      <alignment horizontal="left" vertical="center" wrapText="1"/>
    </xf>
    <xf numFmtId="164" fontId="6" fillId="2" borderId="6" xfId="1" applyFont="1" applyFill="1" applyBorder="1" applyAlignment="1">
      <alignment horizontal="left" vertical="center" wrapText="1"/>
    </xf>
    <xf numFmtId="164" fontId="6" fillId="2" borderId="5" xfId="1" applyFont="1" applyFill="1" applyBorder="1" applyAlignment="1">
      <alignment horizontal="left"/>
    </xf>
    <xf numFmtId="164" fontId="6" fillId="2" borderId="6" xfId="1" applyFont="1" applyFill="1" applyBorder="1" applyAlignment="1">
      <alignment horizontal="center" vertical="center" wrapText="1"/>
    </xf>
    <xf numFmtId="164" fontId="6" fillId="2" borderId="5" xfId="1" applyFont="1" applyFill="1" applyBorder="1" applyAlignment="1">
      <alignment horizontal="center" vertical="center"/>
    </xf>
    <xf numFmtId="164" fontId="7" fillId="0" borderId="9" xfId="1" applyFont="1" applyBorder="1" applyAlignment="1"/>
    <xf numFmtId="15" fontId="6" fillId="2" borderId="5" xfId="0" applyNumberFormat="1" applyFont="1" applyFill="1" applyBorder="1" applyAlignment="1">
      <alignment horizontal="left"/>
    </xf>
    <xf numFmtId="43" fontId="6" fillId="0" borderId="0" xfId="2" applyFont="1"/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left"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10" fillId="2" borderId="11" xfId="0" applyFont="1" applyFill="1" applyBorder="1" applyAlignment="1">
      <alignment horizontal="center" vertical="center" wrapText="1"/>
    </xf>
    <xf numFmtId="164" fontId="10" fillId="2" borderId="11" xfId="1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14" fontId="10" fillId="2" borderId="11" xfId="0" applyNumberFormat="1" applyFont="1" applyFill="1" applyBorder="1" applyAlignment="1">
      <alignment horizontal="center" vertical="center" wrapText="1"/>
    </xf>
    <xf numFmtId="0" fontId="11" fillId="2" borderId="11" xfId="3" applyFont="1" applyFill="1" applyBorder="1" applyAlignment="1">
      <alignment horizontal="left" vertical="center" wrapText="1"/>
    </xf>
    <xf numFmtId="0" fontId="11" fillId="2" borderId="12" xfId="0" applyFont="1" applyFill="1" applyBorder="1" applyAlignment="1">
      <alignment horizontal="left" vertical="center" wrapText="1"/>
    </xf>
    <xf numFmtId="0" fontId="11" fillId="2" borderId="11" xfId="3" applyFont="1" applyFill="1" applyBorder="1" applyAlignment="1">
      <alignment horizontal="center" vertical="center" wrapText="1"/>
    </xf>
    <xf numFmtId="164" fontId="11" fillId="2" borderId="11" xfId="3" applyNumberFormat="1" applyFont="1" applyFill="1" applyBorder="1" applyAlignment="1">
      <alignment horizontal="center" vertical="center" wrapText="1"/>
    </xf>
    <xf numFmtId="0" fontId="10" fillId="2" borderId="11" xfId="3" applyFont="1" applyFill="1" applyBorder="1" applyAlignment="1">
      <alignment horizontal="left" vertical="center" wrapText="1"/>
    </xf>
    <xf numFmtId="0" fontId="10" fillId="2" borderId="12" xfId="3" applyFont="1" applyFill="1" applyBorder="1" applyAlignment="1">
      <alignment horizontal="left" vertical="center" wrapText="1"/>
    </xf>
    <xf numFmtId="15" fontId="10" fillId="2" borderId="11" xfId="0" applyNumberFormat="1" applyFont="1" applyFill="1" applyBorder="1" applyAlignment="1">
      <alignment horizontal="left" vertical="center" wrapText="1"/>
    </xf>
    <xf numFmtId="15" fontId="10" fillId="2" borderId="12" xfId="0" applyNumberFormat="1" applyFont="1" applyFill="1" applyBorder="1" applyAlignment="1">
      <alignment horizontal="left" vertical="center" wrapText="1"/>
    </xf>
    <xf numFmtId="0" fontId="10" fillId="2" borderId="12" xfId="0" applyFont="1" applyFill="1" applyBorder="1" applyAlignment="1">
      <alignment horizontal="center" vertical="center" wrapText="1"/>
    </xf>
    <xf numFmtId="14" fontId="10" fillId="2" borderId="12" xfId="0" applyNumberFormat="1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165" fontId="6" fillId="0" borderId="11" xfId="2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4" fontId="10" fillId="0" borderId="11" xfId="0" applyNumberFormat="1" applyFont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/>
    </xf>
    <xf numFmtId="0" fontId="6" fillId="2" borderId="11" xfId="0" applyFont="1" applyFill="1" applyBorder="1" applyAlignment="1">
      <alignment horizontal="left" vertical="center"/>
    </xf>
    <xf numFmtId="165" fontId="6" fillId="2" borderId="11" xfId="2" applyNumberFormat="1" applyFont="1" applyFill="1" applyBorder="1" applyAlignment="1">
      <alignment horizontal="center" vertical="center"/>
    </xf>
    <xf numFmtId="15" fontId="6" fillId="2" borderId="11" xfId="0" applyNumberFormat="1" applyFont="1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2" borderId="11" xfId="0" applyFont="1" applyFill="1" applyBorder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center" vertical="center" wrapText="1"/>
    </xf>
    <xf numFmtId="15" fontId="10" fillId="0" borderId="12" xfId="0" applyNumberFormat="1" applyFont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left" vertical="center"/>
    </xf>
    <xf numFmtId="165" fontId="10" fillId="0" borderId="11" xfId="2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165" fontId="0" fillId="0" borderId="0" xfId="0" applyNumberFormat="1"/>
    <xf numFmtId="165" fontId="6" fillId="0" borderId="11" xfId="2" applyNumberFormat="1" applyFont="1" applyBorder="1" applyAlignment="1">
      <alignment horizontal="center" vertical="center" wrapText="1"/>
    </xf>
    <xf numFmtId="165" fontId="10" fillId="0" borderId="11" xfId="2" applyNumberFormat="1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14" fontId="6" fillId="2" borderId="5" xfId="0" applyNumberFormat="1" applyFont="1" applyFill="1" applyBorder="1" applyAlignment="1">
      <alignment horizontal="center"/>
    </xf>
    <xf numFmtId="165" fontId="6" fillId="2" borderId="5" xfId="2" applyNumberFormat="1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/>
    <xf numFmtId="0" fontId="7" fillId="2" borderId="2" xfId="0" applyFont="1" applyFill="1" applyBorder="1"/>
    <xf numFmtId="0" fontId="6" fillId="2" borderId="1" xfId="0" applyFont="1" applyFill="1" applyBorder="1" applyAlignment="1">
      <alignment horizontal="center"/>
    </xf>
    <xf numFmtId="165" fontId="6" fillId="2" borderId="1" xfId="2" applyNumberFormat="1" applyFont="1" applyFill="1" applyBorder="1" applyAlignment="1">
      <alignment horizontal="center"/>
    </xf>
    <xf numFmtId="0" fontId="6" fillId="2" borderId="1" xfId="0" applyFont="1" applyFill="1" applyBorder="1"/>
    <xf numFmtId="0" fontId="6" fillId="2" borderId="0" xfId="0" applyFont="1" applyFill="1"/>
    <xf numFmtId="165" fontId="6" fillId="2" borderId="0" xfId="2" applyNumberFormat="1" applyFont="1" applyFill="1" applyBorder="1" applyAlignment="1">
      <alignment horizontal="center"/>
    </xf>
    <xf numFmtId="165" fontId="6" fillId="2" borderId="0" xfId="2" applyNumberFormat="1" applyFont="1" applyFill="1"/>
    <xf numFmtId="0" fontId="6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165" fontId="7" fillId="2" borderId="5" xfId="2" applyNumberFormat="1" applyFont="1" applyFill="1" applyBorder="1" applyAlignment="1">
      <alignment horizontal="center" vertical="center" wrapText="1"/>
    </xf>
    <xf numFmtId="165" fontId="6" fillId="2" borderId="11" xfId="2" applyNumberFormat="1" applyFont="1" applyFill="1" applyBorder="1"/>
    <xf numFmtId="0" fontId="7" fillId="2" borderId="1" xfId="0" applyFont="1" applyFill="1" applyBorder="1" applyAlignment="1">
      <alignment horizontal="center"/>
    </xf>
    <xf numFmtId="43" fontId="7" fillId="2" borderId="1" xfId="2" applyFont="1" applyFill="1" applyBorder="1" applyAlignment="1">
      <alignment horizontal="center"/>
    </xf>
    <xf numFmtId="0" fontId="7" fillId="2" borderId="10" xfId="0" applyFont="1" applyFill="1" applyBorder="1"/>
    <xf numFmtId="0" fontId="7" fillId="2" borderId="8" xfId="0" applyFont="1" applyFill="1" applyBorder="1" applyAlignment="1">
      <alignment horizontal="center"/>
    </xf>
    <xf numFmtId="165" fontId="6" fillId="2" borderId="8" xfId="2" applyNumberFormat="1" applyFont="1" applyFill="1" applyBorder="1" applyAlignment="1">
      <alignment horizontal="center"/>
    </xf>
    <xf numFmtId="0" fontId="6" fillId="2" borderId="8" xfId="0" applyFont="1" applyFill="1" applyBorder="1"/>
    <xf numFmtId="165" fontId="10" fillId="0" borderId="5" xfId="2" applyNumberFormat="1" applyFont="1" applyBorder="1" applyAlignment="1">
      <alignment horizontal="center" vertical="center" wrapText="1"/>
    </xf>
    <xf numFmtId="14" fontId="6" fillId="0" borderId="5" xfId="0" applyNumberFormat="1" applyFont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/>
    </xf>
    <xf numFmtId="165" fontId="6" fillId="0" borderId="5" xfId="2" applyNumberFormat="1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15" fontId="6" fillId="2" borderId="20" xfId="0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6" fillId="2" borderId="21" xfId="0" applyFont="1" applyFill="1" applyBorder="1" applyAlignment="1">
      <alignment horizontal="center" vertical="center" wrapText="1"/>
    </xf>
    <xf numFmtId="0" fontId="4" fillId="2" borderId="11" xfId="3" applyFont="1" applyFill="1" applyBorder="1" applyAlignment="1">
      <alignment horizontal="center" vertical="center"/>
    </xf>
    <xf numFmtId="15" fontId="6" fillId="2" borderId="15" xfId="0" applyNumberFormat="1" applyFont="1" applyFill="1" applyBorder="1" applyAlignment="1">
      <alignment horizontal="left" vertical="center" wrapText="1"/>
    </xf>
    <xf numFmtId="0" fontId="6" fillId="2" borderId="15" xfId="3" applyFont="1" applyFill="1" applyBorder="1" applyAlignment="1">
      <alignment horizontal="left" vertical="center"/>
    </xf>
    <xf numFmtId="0" fontId="6" fillId="2" borderId="11" xfId="3" applyFont="1" applyFill="1" applyBorder="1" applyAlignment="1">
      <alignment horizontal="center" vertical="center"/>
    </xf>
    <xf numFmtId="165" fontId="6" fillId="0" borderId="11" xfId="2" applyNumberFormat="1" applyFont="1" applyBorder="1"/>
    <xf numFmtId="164" fontId="6" fillId="2" borderId="20" xfId="1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0" fillId="2" borderId="0" xfId="0" applyFill="1"/>
    <xf numFmtId="0" fontId="6" fillId="2" borderId="20" xfId="0" applyFont="1" applyFill="1" applyBorder="1" applyAlignment="1">
      <alignment horizontal="left" vertical="center" wrapText="1"/>
    </xf>
    <xf numFmtId="14" fontId="6" fillId="2" borderId="23" xfId="0" applyNumberFormat="1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left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10" fillId="2" borderId="11" xfId="0" applyFont="1" applyFill="1" applyBorder="1"/>
    <xf numFmtId="0" fontId="10" fillId="2" borderId="11" xfId="0" applyFont="1" applyFill="1" applyBorder="1" applyAlignment="1">
      <alignment horizontal="center"/>
    </xf>
    <xf numFmtId="15" fontId="6" fillId="0" borderId="11" xfId="0" applyNumberFormat="1" applyFont="1" applyBorder="1" applyAlignment="1">
      <alignment horizontal="left"/>
    </xf>
    <xf numFmtId="165" fontId="6" fillId="4" borderId="11" xfId="2" applyNumberFormat="1" applyFont="1" applyFill="1" applyBorder="1" applyAlignment="1">
      <alignment horizontal="center"/>
    </xf>
    <xf numFmtId="164" fontId="6" fillId="4" borderId="11" xfId="1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left" vertical="center" wrapText="1"/>
    </xf>
    <xf numFmtId="15" fontId="6" fillId="2" borderId="24" xfId="0" applyNumberFormat="1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center" vertical="center" wrapText="1"/>
    </xf>
    <xf numFmtId="164" fontId="6" fillId="2" borderId="22" xfId="1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15" fontId="6" fillId="2" borderId="1" xfId="0" applyNumberFormat="1" applyFont="1" applyFill="1" applyBorder="1" applyAlignment="1">
      <alignment horizontal="left" vertical="center" wrapText="1"/>
    </xf>
    <xf numFmtId="0" fontId="4" fillId="2" borderId="1" xfId="3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15" fontId="6" fillId="2" borderId="11" xfId="0" applyNumberFormat="1" applyFont="1" applyFill="1" applyBorder="1" applyAlignment="1">
      <alignment horizontal="left" vertical="center" wrapText="1"/>
    </xf>
    <xf numFmtId="0" fontId="4" fillId="2" borderId="15" xfId="3" applyFont="1" applyFill="1" applyBorder="1" applyAlignment="1">
      <alignment horizontal="left" vertical="center" wrapText="1"/>
    </xf>
    <xf numFmtId="0" fontId="4" fillId="2" borderId="20" xfId="3" applyFont="1" applyFill="1" applyBorder="1" applyAlignment="1">
      <alignment horizontal="left" vertical="center" wrapText="1"/>
    </xf>
    <xf numFmtId="0" fontId="6" fillId="2" borderId="15" xfId="0" applyFont="1" applyFill="1" applyBorder="1" applyAlignment="1">
      <alignment horizontal="left" vertical="center" wrapText="1"/>
    </xf>
    <xf numFmtId="0" fontId="6" fillId="2" borderId="20" xfId="0" applyFont="1" applyFill="1" applyBorder="1" applyAlignment="1">
      <alignment horizontal="left" vertical="center" wrapText="1"/>
    </xf>
    <xf numFmtId="15" fontId="6" fillId="2" borderId="15" xfId="0" applyNumberFormat="1" applyFont="1" applyFill="1" applyBorder="1" applyAlignment="1">
      <alignment horizontal="left" vertical="center" wrapText="1"/>
    </xf>
    <xf numFmtId="15" fontId="6" fillId="2" borderId="22" xfId="0" applyNumberFormat="1" applyFont="1" applyFill="1" applyBorder="1" applyAlignment="1">
      <alignment horizontal="left" vertical="center" wrapText="1"/>
    </xf>
    <xf numFmtId="15" fontId="6" fillId="2" borderId="20" xfId="0" applyNumberFormat="1" applyFont="1" applyFill="1" applyBorder="1" applyAlignment="1">
      <alignment horizontal="left" vertical="center" wrapText="1"/>
    </xf>
    <xf numFmtId="0" fontId="4" fillId="2" borderId="15" xfId="3" applyFont="1" applyFill="1" applyBorder="1" applyAlignment="1">
      <alignment horizontal="center" vertical="center" wrapText="1"/>
    </xf>
    <xf numFmtId="0" fontId="4" fillId="2" borderId="20" xfId="3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left" vertical="center" wrapText="1"/>
    </xf>
    <xf numFmtId="14" fontId="6" fillId="0" borderId="5" xfId="0" applyNumberFormat="1" applyFont="1" applyBorder="1" applyAlignment="1">
      <alignment horizontal="center" vertical="center"/>
    </xf>
    <xf numFmtId="14" fontId="6" fillId="0" borderId="20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6" fillId="0" borderId="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4" fontId="0" fillId="0" borderId="2" xfId="0" applyNumberForma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</cellXfs>
  <cellStyles count="4">
    <cellStyle name="Bad" xfId="3" builtinId="27"/>
    <cellStyle name="Comma" xfId="2" builtinId="3"/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14</xdr:row>
      <xdr:rowOff>0</xdr:rowOff>
    </xdr:from>
    <xdr:ext cx="2052204" cy="148070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9D88BA9-DE01-4F8D-885D-924BB65FA40D}"/>
            </a:ext>
          </a:extLst>
        </xdr:cNvPr>
        <xdr:cNvSpPr txBox="1"/>
      </xdr:nvSpPr>
      <xdr:spPr>
        <a:xfrm>
          <a:off x="7019925" y="3552825"/>
          <a:ext cx="2052204" cy="14807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D" sz="1100">
              <a:latin typeface="Arial" panose="020B0604020202020204" pitchFamily="34" charset="0"/>
              <a:cs typeface="Arial" panose="020B0604020202020204" pitchFamily="34" charset="0"/>
            </a:rPr>
            <a:t>Pelapor,</a:t>
          </a:r>
        </a:p>
        <a:p>
          <a:pPr algn="ctr"/>
          <a:endParaRPr lang="en-ID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n-ID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n-ID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n-ID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ID" sz="1100">
              <a:latin typeface="Arial" panose="020B0604020202020204" pitchFamily="34" charset="0"/>
              <a:cs typeface="Arial" panose="020B0604020202020204" pitchFamily="34" charset="0"/>
            </a:rPr>
            <a:t>Hermawati</a:t>
          </a:r>
        </a:p>
        <a:p>
          <a:pPr algn="ctr"/>
          <a:r>
            <a:rPr lang="en-ID" sz="1100">
              <a:latin typeface="Arial" panose="020B0604020202020204" pitchFamily="34" charset="0"/>
              <a:cs typeface="Arial" panose="020B0604020202020204" pitchFamily="34" charset="0"/>
            </a:rPr>
            <a:t>Nip</a:t>
          </a:r>
          <a:r>
            <a:rPr lang="en-ID" sz="1100" baseline="0">
              <a:latin typeface="Arial" panose="020B0604020202020204" pitchFamily="34" charset="0"/>
              <a:cs typeface="Arial" panose="020B0604020202020204" pitchFamily="34" charset="0"/>
            </a:rPr>
            <a:t> 198201262010012015</a:t>
          </a:r>
          <a:endParaRPr lang="en-ID" sz="110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ID" sz="1100"/>
        </a:p>
      </xdr:txBody>
    </xdr:sp>
    <xdr:clientData/>
  </xdr:oneCellAnchor>
  <xdr:oneCellAnchor>
    <xdr:from>
      <xdr:col>0</xdr:col>
      <xdr:colOff>0</xdr:colOff>
      <xdr:row>14</xdr:row>
      <xdr:rowOff>0</xdr:rowOff>
    </xdr:from>
    <xdr:ext cx="3125931" cy="142875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1897261-6BA7-4C15-BF25-D29FCCD58095}"/>
            </a:ext>
          </a:extLst>
        </xdr:cNvPr>
        <xdr:cNvSpPr txBox="1"/>
      </xdr:nvSpPr>
      <xdr:spPr>
        <a:xfrm>
          <a:off x="0" y="3552825"/>
          <a:ext cx="3125931" cy="14287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D" sz="1100">
              <a:latin typeface="Arial" panose="020B0604020202020204" pitchFamily="34" charset="0"/>
              <a:cs typeface="Arial" panose="020B0604020202020204" pitchFamily="34" charset="0"/>
            </a:rPr>
            <a:t>Pengelola Promosi dan Pengembangan Usaha</a:t>
          </a:r>
        </a:p>
        <a:p>
          <a:pPr algn="ctr"/>
          <a:endParaRPr lang="en-ID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n-ID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n-ID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n-ID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ID" sz="1100">
              <a:latin typeface="Arial" panose="020B0604020202020204" pitchFamily="34" charset="0"/>
              <a:cs typeface="Arial" panose="020B0604020202020204" pitchFamily="34" charset="0"/>
            </a:rPr>
            <a:t>Tata</a:t>
          </a:r>
        </a:p>
        <a:p>
          <a:pPr algn="ctr"/>
          <a:r>
            <a:rPr lang="en-ID" sz="1100">
              <a:latin typeface="Arial" panose="020B0604020202020204" pitchFamily="34" charset="0"/>
              <a:cs typeface="Arial" panose="020B0604020202020204" pitchFamily="34" charset="0"/>
            </a:rPr>
            <a:t>NIP 197608282007011019</a:t>
          </a:r>
        </a:p>
      </xdr:txBody>
    </xdr:sp>
    <xdr:clientData/>
  </xdr:oneCellAnchor>
  <xdr:oneCellAnchor>
    <xdr:from>
      <xdr:col>3</xdr:col>
      <xdr:colOff>1114425</xdr:colOff>
      <xdr:row>22</xdr:row>
      <xdr:rowOff>0</xdr:rowOff>
    </xdr:from>
    <xdr:ext cx="3800475" cy="197427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BBFBB5F-E2DB-4440-9EA3-CF95BCEB87CA}"/>
            </a:ext>
          </a:extLst>
        </xdr:cNvPr>
        <xdr:cNvSpPr txBox="1"/>
      </xdr:nvSpPr>
      <xdr:spPr>
        <a:xfrm>
          <a:off x="3162300" y="5076825"/>
          <a:ext cx="3800475" cy="19742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D" sz="1100">
              <a:latin typeface="Arial" panose="020B0604020202020204" pitchFamily="34" charset="0"/>
              <a:cs typeface="Arial" panose="020B0604020202020204" pitchFamily="34" charset="0"/>
            </a:rPr>
            <a:t>Mengetahui,</a:t>
          </a:r>
        </a:p>
        <a:p>
          <a:pPr algn="ctr"/>
          <a:r>
            <a:rPr lang="en-ID" sz="1100">
              <a:latin typeface="Arial" panose="020B0604020202020204" pitchFamily="34" charset="0"/>
              <a:cs typeface="Arial" panose="020B0604020202020204" pitchFamily="34" charset="0"/>
            </a:rPr>
            <a:t>Kepala</a:t>
          </a:r>
          <a:r>
            <a:rPr lang="en-ID" sz="1100" baseline="0">
              <a:latin typeface="Arial" panose="020B0604020202020204" pitchFamily="34" charset="0"/>
              <a:cs typeface="Arial" panose="020B0604020202020204" pitchFamily="34" charset="0"/>
            </a:rPr>
            <a:t> Seksi </a:t>
          </a:r>
          <a:r>
            <a:rPr lang="en-ID" sz="1100">
              <a:latin typeface="Arial" panose="020B0604020202020204" pitchFamily="34" charset="0"/>
              <a:cs typeface="Arial" panose="020B0604020202020204" pitchFamily="34" charset="0"/>
            </a:rPr>
            <a:t>Pelayanan dan Informasi</a:t>
          </a:r>
        </a:p>
        <a:p>
          <a:pPr algn="ctr"/>
          <a:r>
            <a:rPr lang="en-ID" sz="1100">
              <a:latin typeface="Arial" panose="020B0604020202020204" pitchFamily="34" charset="0"/>
              <a:cs typeface="Arial" panose="020B0604020202020204" pitchFamily="34" charset="0"/>
            </a:rPr>
            <a:t>Unit Pengelola Taman Margasatwa Ragunan</a:t>
          </a:r>
        </a:p>
        <a:p>
          <a:pPr algn="ctr"/>
          <a:r>
            <a:rPr lang="en-ID" sz="1100">
              <a:latin typeface="Arial" panose="020B0604020202020204" pitchFamily="34" charset="0"/>
              <a:cs typeface="Arial" panose="020B0604020202020204" pitchFamily="34" charset="0"/>
            </a:rPr>
            <a:t>Dinas Pertamanan dan Hutan Kota</a:t>
          </a:r>
        </a:p>
        <a:p>
          <a:pPr algn="ctr"/>
          <a:r>
            <a:rPr lang="en-ID" sz="1100">
              <a:latin typeface="Arial" panose="020B0604020202020204" pitchFamily="34" charset="0"/>
              <a:cs typeface="Arial" panose="020B0604020202020204" pitchFamily="34" charset="0"/>
            </a:rPr>
            <a:t>Provinsi DKI Jakarta,</a:t>
          </a:r>
        </a:p>
        <a:p>
          <a:pPr algn="ctr"/>
          <a:endParaRPr lang="en-ID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n-ID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n-ID" sz="110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n-ID" sz="1100">
              <a:latin typeface="Arial" panose="020B0604020202020204" pitchFamily="34" charset="0"/>
              <a:cs typeface="Arial" panose="020B0604020202020204" pitchFamily="34" charset="0"/>
            </a:rPr>
            <a:t>Afriana Pulungan, S.Si., M.AP.</a:t>
          </a:r>
        </a:p>
        <a:p>
          <a:pPr algn="ctr"/>
          <a:r>
            <a:rPr lang="en-ID" sz="1100">
              <a:latin typeface="Arial" panose="020B0604020202020204" pitchFamily="34" charset="0"/>
              <a:cs typeface="Arial" panose="020B0604020202020204" pitchFamily="34" charset="0"/>
            </a:rPr>
            <a:t>NIP 197304212007012021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EF9C2-CE07-4266-A054-012590C7D181}">
  <dimension ref="A1:K45"/>
  <sheetViews>
    <sheetView showGridLines="0" topLeftCell="A5" zoomScaleNormal="100" workbookViewId="0">
      <selection activeCell="O27" sqref="O27"/>
    </sheetView>
  </sheetViews>
  <sheetFormatPr defaultRowHeight="15" x14ac:dyDescent="0.25"/>
  <cols>
    <col min="1" max="1" width="4.28515625" customWidth="1"/>
    <col min="2" max="2" width="14.5703125" customWidth="1"/>
    <col min="3" max="3" width="37.28515625" customWidth="1"/>
    <col min="4" max="4" width="26.85546875" customWidth="1"/>
    <col min="5" max="5" width="53" customWidth="1"/>
    <col min="6" max="7" width="8" customWidth="1"/>
    <col min="8" max="8" width="9.140625" customWidth="1"/>
    <col min="9" max="9" width="9.85546875" customWidth="1"/>
    <col min="10" max="10" width="18" customWidth="1"/>
    <col min="11" max="11" width="14.140625" customWidth="1"/>
    <col min="17" max="17" width="10.140625" bestFit="1" customWidth="1"/>
    <col min="19" max="19" width="14.28515625" customWidth="1"/>
  </cols>
  <sheetData>
    <row r="1" spans="1:11" ht="18" x14ac:dyDescent="0.25">
      <c r="A1" s="221" t="s">
        <v>85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</row>
    <row r="2" spans="1:11" ht="18" x14ac:dyDescent="0.25">
      <c r="A2" s="221" t="s">
        <v>9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</row>
    <row r="3" spans="1:11" ht="18" x14ac:dyDescent="0.25">
      <c r="A3" s="221" t="s">
        <v>84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</row>
    <row r="4" spans="1:11" ht="18" x14ac:dyDescent="0.25">
      <c r="A4" s="221" t="s">
        <v>83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</row>
    <row r="5" spans="1:11" ht="21" customHeight="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</row>
    <row r="6" spans="1:11" ht="29.25" customHeight="1" x14ac:dyDescent="0.25">
      <c r="A6" s="34" t="s">
        <v>0</v>
      </c>
      <c r="B6" s="34" t="s">
        <v>10</v>
      </c>
      <c r="C6" s="34" t="s">
        <v>5</v>
      </c>
      <c r="D6" s="35" t="s">
        <v>1</v>
      </c>
      <c r="E6" s="35" t="s">
        <v>6</v>
      </c>
      <c r="F6" s="35" t="s">
        <v>3</v>
      </c>
      <c r="G6" s="35" t="s">
        <v>4</v>
      </c>
      <c r="H6" s="35" t="s">
        <v>7</v>
      </c>
      <c r="I6" s="35" t="s">
        <v>32</v>
      </c>
      <c r="J6" s="35" t="s">
        <v>2</v>
      </c>
      <c r="K6" s="36" t="s">
        <v>34</v>
      </c>
    </row>
    <row r="7" spans="1:11" ht="20.100000000000001" customHeight="1" x14ac:dyDescent="0.25">
      <c r="A7" s="37">
        <v>1</v>
      </c>
      <c r="B7" s="38">
        <v>46023</v>
      </c>
      <c r="C7" s="39" t="s">
        <v>51</v>
      </c>
      <c r="D7" s="40" t="s">
        <v>52</v>
      </c>
      <c r="E7" s="88" t="s">
        <v>95</v>
      </c>
      <c r="F7" s="41">
        <v>4</v>
      </c>
      <c r="G7" s="41">
        <v>3</v>
      </c>
      <c r="H7" s="41"/>
      <c r="I7" s="41"/>
      <c r="J7" s="42">
        <v>12000000</v>
      </c>
      <c r="K7" s="43"/>
    </row>
    <row r="8" spans="1:11" ht="20.100000000000001" customHeight="1" x14ac:dyDescent="0.25">
      <c r="A8" s="44">
        <v>2</v>
      </c>
      <c r="B8" s="45">
        <v>46024</v>
      </c>
      <c r="C8" s="31" t="s">
        <v>53</v>
      </c>
      <c r="D8" s="46" t="s">
        <v>54</v>
      </c>
      <c r="E8" s="89" t="s">
        <v>55</v>
      </c>
      <c r="F8" s="47">
        <v>11</v>
      </c>
      <c r="G8" s="47">
        <v>1</v>
      </c>
      <c r="H8" s="47"/>
      <c r="I8" s="47"/>
      <c r="J8" s="48">
        <v>11000000</v>
      </c>
      <c r="K8" s="49"/>
    </row>
    <row r="9" spans="1:11" ht="20.100000000000001" customHeight="1" x14ac:dyDescent="0.25">
      <c r="A9" s="44">
        <v>3</v>
      </c>
      <c r="B9" s="50"/>
      <c r="C9" s="46" t="s">
        <v>56</v>
      </c>
      <c r="D9" s="46" t="s">
        <v>57</v>
      </c>
      <c r="E9" s="31" t="s">
        <v>58</v>
      </c>
      <c r="F9" s="51">
        <v>2</v>
      </c>
      <c r="G9" s="51">
        <v>1</v>
      </c>
      <c r="H9" s="51">
        <v>1</v>
      </c>
      <c r="I9" s="51"/>
      <c r="J9" s="52">
        <v>2200000</v>
      </c>
      <c r="K9" s="53"/>
    </row>
    <row r="10" spans="1:11" ht="20.100000000000001" customHeight="1" x14ac:dyDescent="0.25">
      <c r="A10" s="44">
        <v>4</v>
      </c>
      <c r="B10" s="50"/>
      <c r="C10" s="54" t="s">
        <v>59</v>
      </c>
      <c r="D10" s="55" t="s">
        <v>60</v>
      </c>
      <c r="E10" s="54" t="s">
        <v>58</v>
      </c>
      <c r="F10" s="56">
        <v>2</v>
      </c>
      <c r="G10" s="56">
        <v>1</v>
      </c>
      <c r="H10" s="56"/>
      <c r="I10" s="56"/>
      <c r="J10" s="57">
        <v>2000000</v>
      </c>
      <c r="K10" s="53"/>
    </row>
    <row r="11" spans="1:11" ht="20.100000000000001" customHeight="1" x14ac:dyDescent="0.25">
      <c r="A11" s="44">
        <v>5</v>
      </c>
      <c r="B11" s="50"/>
      <c r="C11" s="54" t="s">
        <v>100</v>
      </c>
      <c r="D11" s="55" t="s">
        <v>102</v>
      </c>
      <c r="E11" s="54" t="s">
        <v>101</v>
      </c>
      <c r="F11" s="56">
        <v>6</v>
      </c>
      <c r="G11" s="56">
        <v>1</v>
      </c>
      <c r="H11" s="56"/>
      <c r="I11" s="56"/>
      <c r="J11" s="57">
        <v>6000000</v>
      </c>
      <c r="K11" s="53"/>
    </row>
    <row r="12" spans="1:11" ht="20.100000000000001" customHeight="1" x14ac:dyDescent="0.25">
      <c r="A12" s="44">
        <v>6</v>
      </c>
      <c r="B12" s="45">
        <v>46029</v>
      </c>
      <c r="C12" s="31" t="s">
        <v>89</v>
      </c>
      <c r="D12" s="80" t="s">
        <v>52</v>
      </c>
      <c r="E12" s="80" t="s">
        <v>62</v>
      </c>
      <c r="F12" s="51">
        <v>5</v>
      </c>
      <c r="G12" s="51">
        <v>1</v>
      </c>
      <c r="H12" s="51">
        <v>1</v>
      </c>
      <c r="I12" s="51"/>
      <c r="J12" s="52">
        <v>5500000</v>
      </c>
      <c r="K12" s="53"/>
    </row>
    <row r="13" spans="1:11" ht="20.100000000000001" customHeight="1" x14ac:dyDescent="0.25">
      <c r="A13" s="44">
        <v>7</v>
      </c>
      <c r="B13" s="45"/>
      <c r="C13" s="31" t="s">
        <v>96</v>
      </c>
      <c r="D13" s="60" t="s">
        <v>63</v>
      </c>
      <c r="E13" s="80" t="s">
        <v>64</v>
      </c>
      <c r="F13" s="61">
        <v>9</v>
      </c>
      <c r="G13" s="61">
        <v>1</v>
      </c>
      <c r="H13" s="61">
        <v>1</v>
      </c>
      <c r="I13" s="61"/>
      <c r="J13" s="52">
        <v>9900000</v>
      </c>
      <c r="K13" s="53"/>
    </row>
    <row r="14" spans="1:11" ht="20.100000000000001" customHeight="1" x14ac:dyDescent="0.25">
      <c r="A14" s="44">
        <v>8</v>
      </c>
      <c r="B14" s="62"/>
      <c r="C14" s="64" t="s">
        <v>86</v>
      </c>
      <c r="D14" s="59" t="s">
        <v>65</v>
      </c>
      <c r="E14" s="80" t="s">
        <v>66</v>
      </c>
      <c r="F14" s="61">
        <v>9</v>
      </c>
      <c r="G14" s="61">
        <v>1</v>
      </c>
      <c r="H14" s="61"/>
      <c r="I14" s="61"/>
      <c r="J14" s="52">
        <v>9000000</v>
      </c>
      <c r="K14" s="53"/>
    </row>
    <row r="15" spans="1:11" ht="20.100000000000001" customHeight="1" x14ac:dyDescent="0.25">
      <c r="A15" s="44">
        <v>9</v>
      </c>
      <c r="B15" s="62"/>
      <c r="C15" s="31" t="s">
        <v>89</v>
      </c>
      <c r="D15" s="80" t="s">
        <v>52</v>
      </c>
      <c r="E15" s="80"/>
      <c r="F15" s="61">
        <v>2</v>
      </c>
      <c r="G15" s="61">
        <v>1</v>
      </c>
      <c r="H15" s="61">
        <v>1</v>
      </c>
      <c r="I15" s="61"/>
      <c r="J15" s="52">
        <v>2200000</v>
      </c>
      <c r="K15" s="53"/>
    </row>
    <row r="16" spans="1:11" ht="20.100000000000001" customHeight="1" x14ac:dyDescent="0.25">
      <c r="A16" s="44">
        <v>10</v>
      </c>
      <c r="B16" s="62">
        <v>46031</v>
      </c>
      <c r="C16" s="63" t="s">
        <v>51</v>
      </c>
      <c r="D16" s="64" t="s">
        <v>52</v>
      </c>
      <c r="E16" s="80" t="s">
        <v>67</v>
      </c>
      <c r="F16" s="61">
        <v>7</v>
      </c>
      <c r="G16" s="61">
        <v>3</v>
      </c>
      <c r="H16" s="61"/>
      <c r="I16" s="61"/>
      <c r="J16" s="52">
        <v>21000000</v>
      </c>
      <c r="K16" s="53"/>
    </row>
    <row r="17" spans="1:11" ht="20.100000000000001" customHeight="1" x14ac:dyDescent="0.25">
      <c r="A17" s="44">
        <v>11</v>
      </c>
      <c r="B17" s="45"/>
      <c r="C17" s="31" t="s">
        <v>91</v>
      </c>
      <c r="D17" s="46" t="s">
        <v>92</v>
      </c>
      <c r="E17" s="80" t="s">
        <v>69</v>
      </c>
      <c r="F17" s="61">
        <v>4</v>
      </c>
      <c r="G17" s="61">
        <v>5</v>
      </c>
      <c r="H17" s="61"/>
      <c r="I17" s="61"/>
      <c r="J17" s="52">
        <v>5000000</v>
      </c>
      <c r="K17" s="53" t="s">
        <v>70</v>
      </c>
    </row>
    <row r="18" spans="1:11" ht="20.100000000000001" customHeight="1" x14ac:dyDescent="0.25">
      <c r="A18" s="44">
        <v>12</v>
      </c>
      <c r="B18" s="45">
        <v>46034</v>
      </c>
      <c r="C18" s="58" t="s">
        <v>71</v>
      </c>
      <c r="D18" s="64" t="s">
        <v>68</v>
      </c>
      <c r="E18" s="59" t="s">
        <v>72</v>
      </c>
      <c r="F18" s="61">
        <v>4</v>
      </c>
      <c r="G18" s="61">
        <v>1</v>
      </c>
      <c r="H18" s="61"/>
      <c r="I18" s="61"/>
      <c r="J18" s="52">
        <v>4000000</v>
      </c>
      <c r="K18" s="53"/>
    </row>
    <row r="19" spans="1:11" ht="20.100000000000001" customHeight="1" x14ac:dyDescent="0.25">
      <c r="A19" s="44">
        <v>13</v>
      </c>
      <c r="B19" s="62">
        <v>46035</v>
      </c>
      <c r="C19" s="46" t="s">
        <v>73</v>
      </c>
      <c r="D19" s="46" t="s">
        <v>74</v>
      </c>
      <c r="E19" s="80" t="s">
        <v>75</v>
      </c>
      <c r="F19" s="61">
        <v>1</v>
      </c>
      <c r="G19" s="61">
        <v>1</v>
      </c>
      <c r="H19" s="61">
        <v>1</v>
      </c>
      <c r="I19" s="61"/>
      <c r="J19" s="52">
        <v>1100000</v>
      </c>
      <c r="K19" s="53"/>
    </row>
    <row r="20" spans="1:11" ht="20.100000000000001" customHeight="1" x14ac:dyDescent="0.25">
      <c r="A20" s="44">
        <v>14</v>
      </c>
      <c r="B20" s="45">
        <v>46036</v>
      </c>
      <c r="C20" s="58" t="s">
        <v>61</v>
      </c>
      <c r="D20" s="59" t="s">
        <v>52</v>
      </c>
      <c r="E20" s="80" t="s">
        <v>76</v>
      </c>
      <c r="F20" s="61">
        <v>2</v>
      </c>
      <c r="G20" s="61">
        <v>1</v>
      </c>
      <c r="H20" s="61"/>
      <c r="I20" s="61">
        <v>1</v>
      </c>
      <c r="J20" s="52">
        <v>2200000</v>
      </c>
      <c r="K20" s="53"/>
    </row>
    <row r="21" spans="1:11" ht="20.100000000000001" customHeight="1" x14ac:dyDescent="0.25">
      <c r="A21" s="44">
        <v>15</v>
      </c>
      <c r="B21" s="62">
        <v>46037</v>
      </c>
      <c r="C21" s="31" t="s">
        <v>77</v>
      </c>
      <c r="D21" s="46" t="s">
        <v>78</v>
      </c>
      <c r="E21" s="80" t="s">
        <v>79</v>
      </c>
      <c r="F21" s="61">
        <v>5</v>
      </c>
      <c r="G21" s="61">
        <v>1</v>
      </c>
      <c r="H21" s="61"/>
      <c r="I21" s="61"/>
      <c r="J21" s="52">
        <v>5000000</v>
      </c>
      <c r="K21" s="53"/>
    </row>
    <row r="22" spans="1:11" ht="20.100000000000001" customHeight="1" x14ac:dyDescent="0.25">
      <c r="A22" s="44">
        <v>16</v>
      </c>
      <c r="B22" s="62"/>
      <c r="C22" s="39" t="s">
        <v>51</v>
      </c>
      <c r="D22" s="40" t="s">
        <v>52</v>
      </c>
      <c r="E22" s="80">
        <v>46038</v>
      </c>
      <c r="F22" s="61">
        <v>1</v>
      </c>
      <c r="G22" s="61">
        <v>3</v>
      </c>
      <c r="H22" s="61"/>
      <c r="I22" s="61"/>
      <c r="J22" s="52">
        <v>3000000</v>
      </c>
      <c r="K22" s="53"/>
    </row>
    <row r="23" spans="1:11" ht="20.100000000000001" customHeight="1" x14ac:dyDescent="0.25">
      <c r="A23" s="44">
        <v>17</v>
      </c>
      <c r="B23" s="45">
        <v>46044</v>
      </c>
      <c r="C23" s="65" t="s">
        <v>80</v>
      </c>
      <c r="D23" s="66" t="s">
        <v>81</v>
      </c>
      <c r="E23" s="80" t="s">
        <v>82</v>
      </c>
      <c r="F23" s="61">
        <v>4</v>
      </c>
      <c r="G23" s="61">
        <v>1</v>
      </c>
      <c r="H23" s="61"/>
      <c r="I23" s="61"/>
      <c r="J23" s="52">
        <v>4000000</v>
      </c>
      <c r="K23" s="53"/>
    </row>
    <row r="24" spans="1:11" ht="20.100000000000001" customHeight="1" x14ac:dyDescent="0.25">
      <c r="A24" s="44">
        <v>18</v>
      </c>
      <c r="B24" s="50">
        <v>46050</v>
      </c>
      <c r="C24" s="31" t="s">
        <v>96</v>
      </c>
      <c r="D24" s="60" t="s">
        <v>63</v>
      </c>
      <c r="E24" s="80" t="s">
        <v>97</v>
      </c>
      <c r="F24" s="61">
        <v>8</v>
      </c>
      <c r="G24" s="61">
        <v>1</v>
      </c>
      <c r="H24" s="61">
        <v>1</v>
      </c>
      <c r="I24" s="61"/>
      <c r="J24" s="52">
        <v>8800000</v>
      </c>
      <c r="K24" s="53" t="s">
        <v>103</v>
      </c>
    </row>
    <row r="25" spans="1:11" ht="20.100000000000001" customHeight="1" x14ac:dyDescent="0.25">
      <c r="A25" s="44">
        <v>19</v>
      </c>
      <c r="B25" s="50">
        <v>46051</v>
      </c>
      <c r="C25" s="64" t="s">
        <v>86</v>
      </c>
      <c r="D25" s="64" t="s">
        <v>87</v>
      </c>
      <c r="E25" s="80" t="s">
        <v>88</v>
      </c>
      <c r="F25" s="51">
        <v>4</v>
      </c>
      <c r="G25" s="51">
        <v>1</v>
      </c>
      <c r="H25" s="51"/>
      <c r="I25" s="51"/>
      <c r="J25" s="48">
        <v>4000000</v>
      </c>
      <c r="K25" s="53"/>
    </row>
    <row r="26" spans="1:11" ht="20.100000000000001" customHeight="1" x14ac:dyDescent="0.25">
      <c r="A26" s="44">
        <v>20</v>
      </c>
      <c r="B26" s="50">
        <v>46052</v>
      </c>
      <c r="C26" s="31" t="s">
        <v>89</v>
      </c>
      <c r="D26" s="80" t="s">
        <v>90</v>
      </c>
      <c r="E26" s="93" t="s">
        <v>50</v>
      </c>
      <c r="F26" s="51">
        <v>4</v>
      </c>
      <c r="G26" s="51">
        <v>1</v>
      </c>
      <c r="H26" s="51">
        <v>1</v>
      </c>
      <c r="I26" s="51"/>
      <c r="J26" s="48">
        <v>4400000</v>
      </c>
      <c r="K26" s="53" t="s">
        <v>103</v>
      </c>
    </row>
    <row r="27" spans="1:11" ht="20.100000000000001" customHeight="1" x14ac:dyDescent="0.25">
      <c r="A27" s="44">
        <v>21</v>
      </c>
      <c r="B27" s="50"/>
      <c r="C27" s="31" t="s">
        <v>91</v>
      </c>
      <c r="D27" s="31" t="s">
        <v>92</v>
      </c>
      <c r="E27" s="93" t="s">
        <v>50</v>
      </c>
      <c r="F27" s="75">
        <v>4</v>
      </c>
      <c r="G27" s="75">
        <v>1</v>
      </c>
      <c r="H27" s="75"/>
      <c r="I27" s="75"/>
      <c r="J27" s="76">
        <v>6000000</v>
      </c>
      <c r="K27" s="53" t="s">
        <v>94</v>
      </c>
    </row>
    <row r="28" spans="1:11" ht="20.100000000000001" customHeight="1" x14ac:dyDescent="0.25">
      <c r="A28" s="44">
        <v>22</v>
      </c>
      <c r="B28" s="45"/>
      <c r="C28" s="64" t="s">
        <v>86</v>
      </c>
      <c r="D28" s="59" t="s">
        <v>65</v>
      </c>
      <c r="E28" s="89" t="s">
        <v>93</v>
      </c>
      <c r="F28" s="47">
        <v>6</v>
      </c>
      <c r="G28" s="47">
        <v>1</v>
      </c>
      <c r="H28" s="47"/>
      <c r="I28" s="47"/>
      <c r="J28" s="48">
        <v>6000000</v>
      </c>
      <c r="K28" s="53"/>
    </row>
    <row r="29" spans="1:11" ht="20.100000000000001" customHeight="1" x14ac:dyDescent="0.25">
      <c r="A29" s="67"/>
      <c r="B29" s="67"/>
      <c r="C29" s="222" t="s">
        <v>8</v>
      </c>
      <c r="D29" s="223"/>
      <c r="E29" s="224"/>
      <c r="F29" s="68">
        <f>SUM(F7:F28)</f>
        <v>104</v>
      </c>
      <c r="G29" s="68">
        <f t="shared" ref="G29:J29" si="0">SUM(G7:G28)</f>
        <v>32</v>
      </c>
      <c r="H29" s="68">
        <f t="shared" si="0"/>
        <v>7</v>
      </c>
      <c r="I29" s="68">
        <f t="shared" si="0"/>
        <v>1</v>
      </c>
      <c r="J29" s="69">
        <f t="shared" si="0"/>
        <v>134300000</v>
      </c>
      <c r="K29" s="70"/>
    </row>
    <row r="30" spans="1:11" ht="15.75" x14ac:dyDescent="0.2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</row>
    <row r="31" spans="1:11" ht="15.75" x14ac:dyDescent="0.25">
      <c r="A31" s="33"/>
      <c r="B31" s="33"/>
      <c r="C31" s="33"/>
      <c r="D31" s="33"/>
      <c r="E31" s="33"/>
      <c r="F31" s="33"/>
      <c r="G31" s="33"/>
      <c r="H31" s="33"/>
      <c r="I31" s="33"/>
      <c r="J31" s="71"/>
      <c r="K31" s="72"/>
    </row>
    <row r="32" spans="1:11" ht="15.75" x14ac:dyDescent="0.2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</row>
    <row r="33" spans="1:11" ht="15.75" x14ac:dyDescent="0.25">
      <c r="A33" s="33"/>
      <c r="B33" s="33"/>
      <c r="C33" s="33"/>
      <c r="D33" s="33"/>
      <c r="E33" s="33"/>
      <c r="F33" s="33"/>
      <c r="G33" s="33"/>
      <c r="H33" s="218"/>
      <c r="I33" s="219"/>
      <c r="J33" s="219"/>
      <c r="K33" s="219"/>
    </row>
    <row r="34" spans="1:11" ht="15.75" x14ac:dyDescent="0.25">
      <c r="A34" s="33"/>
      <c r="B34" s="33"/>
      <c r="C34" s="33"/>
      <c r="D34" s="33"/>
      <c r="E34" s="33"/>
      <c r="F34" s="33"/>
      <c r="G34" s="33"/>
      <c r="H34" s="218"/>
      <c r="I34" s="219"/>
      <c r="J34" s="219"/>
      <c r="K34" s="219"/>
    </row>
    <row r="35" spans="1:11" ht="15.75" x14ac:dyDescent="0.25">
      <c r="A35" s="33"/>
      <c r="B35" s="33"/>
      <c r="C35" s="33"/>
      <c r="D35" s="33"/>
      <c r="E35" s="33"/>
      <c r="F35" s="33"/>
      <c r="G35" s="33"/>
      <c r="H35" s="218"/>
      <c r="I35" s="219"/>
      <c r="J35" s="219"/>
      <c r="K35" s="219"/>
    </row>
    <row r="36" spans="1:11" ht="15.75" x14ac:dyDescent="0.25">
      <c r="A36" s="33"/>
      <c r="B36" s="33"/>
      <c r="C36" s="33"/>
      <c r="D36" s="33"/>
      <c r="E36" s="33"/>
      <c r="F36" s="33"/>
      <c r="G36" s="33"/>
      <c r="H36" s="218"/>
      <c r="I36" s="219"/>
      <c r="J36" s="219"/>
      <c r="K36" s="219"/>
    </row>
    <row r="37" spans="1:11" ht="15.75" x14ac:dyDescent="0.25">
      <c r="A37" s="33"/>
      <c r="B37" s="33"/>
      <c r="C37" s="33"/>
      <c r="D37" s="33"/>
      <c r="E37" s="33"/>
      <c r="F37" s="33"/>
      <c r="G37" s="33"/>
      <c r="H37" s="220"/>
      <c r="I37" s="220"/>
      <c r="J37" s="220"/>
      <c r="K37" s="220"/>
    </row>
    <row r="38" spans="1:11" ht="15.75" x14ac:dyDescent="0.25">
      <c r="A38" s="33"/>
      <c r="B38" s="33"/>
      <c r="C38" s="33"/>
      <c r="D38" s="33"/>
      <c r="E38" s="33"/>
      <c r="F38" s="33"/>
      <c r="G38" s="33"/>
      <c r="H38" s="29"/>
      <c r="I38" s="32"/>
      <c r="J38" s="32"/>
      <c r="K38" s="32"/>
    </row>
    <row r="39" spans="1:11" ht="15.75" x14ac:dyDescent="0.25">
      <c r="A39" s="33"/>
      <c r="B39" s="33"/>
      <c r="C39" s="33"/>
      <c r="D39" s="33"/>
      <c r="E39" s="33"/>
      <c r="F39" s="33"/>
      <c r="G39" s="33"/>
      <c r="H39" s="29"/>
      <c r="I39" s="30"/>
      <c r="J39" s="30"/>
      <c r="K39" s="29"/>
    </row>
    <row r="40" spans="1:11" ht="15.75" x14ac:dyDescent="0.25">
      <c r="A40" s="33"/>
      <c r="B40" s="33"/>
      <c r="C40" s="33"/>
      <c r="D40" s="33"/>
      <c r="E40" s="33"/>
      <c r="F40" s="33"/>
      <c r="G40" s="33"/>
      <c r="H40" s="218"/>
      <c r="I40" s="219"/>
      <c r="J40" s="219"/>
      <c r="K40" s="219"/>
    </row>
    <row r="41" spans="1:11" ht="15.75" x14ac:dyDescent="0.25">
      <c r="A41" s="33"/>
      <c r="B41" s="33"/>
      <c r="C41" s="33"/>
      <c r="D41" s="33"/>
      <c r="E41" s="33"/>
      <c r="F41" s="33"/>
      <c r="G41" s="33"/>
      <c r="H41" s="218"/>
      <c r="I41" s="219"/>
      <c r="J41" s="219"/>
      <c r="K41" s="219"/>
    </row>
    <row r="42" spans="1:11" ht="15.75" x14ac:dyDescent="0.2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</row>
    <row r="43" spans="1:11" ht="15.75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</row>
    <row r="44" spans="1:11" ht="15.75" x14ac:dyDescent="0.25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</row>
    <row r="45" spans="1:11" ht="15.75" x14ac:dyDescent="0.2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</row>
  </sheetData>
  <mergeCells count="12">
    <mergeCell ref="A1:K1"/>
    <mergeCell ref="A2:K2"/>
    <mergeCell ref="C29:E29"/>
    <mergeCell ref="H40:K40"/>
    <mergeCell ref="H41:K41"/>
    <mergeCell ref="A4:K4"/>
    <mergeCell ref="A3:K3"/>
    <mergeCell ref="H33:K33"/>
    <mergeCell ref="H34:K34"/>
    <mergeCell ref="H35:K35"/>
    <mergeCell ref="H36:K36"/>
    <mergeCell ref="H37:K37"/>
  </mergeCells>
  <pageMargins left="0.43307086614173229" right="3.937007874015748E-2" top="0.15748031496062992" bottom="0.15748031496062992" header="0.31496062992125984" footer="0.31496062992125984"/>
  <pageSetup paperSize="122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9B251-92B9-4B42-A160-4B8CCC752E70}">
  <dimension ref="A1:K37"/>
  <sheetViews>
    <sheetView showGridLines="0" zoomScaleNormal="100" workbookViewId="0">
      <selection activeCell="A8" sqref="A8:A20"/>
    </sheetView>
  </sheetViews>
  <sheetFormatPr defaultRowHeight="15" x14ac:dyDescent="0.25"/>
  <cols>
    <col min="1" max="1" width="4.28515625" customWidth="1"/>
    <col min="2" max="2" width="18.140625" customWidth="1"/>
    <col min="3" max="3" width="32.85546875" customWidth="1"/>
    <col min="4" max="4" width="30.42578125" bestFit="1" customWidth="1"/>
    <col min="5" max="5" width="56.5703125" customWidth="1"/>
    <col min="6" max="7" width="8" customWidth="1"/>
    <col min="8" max="8" width="9.140625" customWidth="1"/>
    <col min="9" max="9" width="9.85546875" customWidth="1"/>
    <col min="10" max="10" width="18.7109375" customWidth="1"/>
    <col min="11" max="11" width="14.140625" customWidth="1"/>
    <col min="17" max="17" width="10.140625" bestFit="1" customWidth="1"/>
    <col min="19" max="19" width="14.28515625" customWidth="1"/>
  </cols>
  <sheetData>
    <row r="1" spans="1:11" ht="18" x14ac:dyDescent="0.25">
      <c r="A1" s="221" t="s">
        <v>85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</row>
    <row r="2" spans="1:11" ht="18" x14ac:dyDescent="0.25">
      <c r="A2" s="221" t="s">
        <v>9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</row>
    <row r="3" spans="1:11" ht="18" x14ac:dyDescent="0.25">
      <c r="A3" s="221" t="s">
        <v>84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</row>
    <row r="4" spans="1:11" ht="18" x14ac:dyDescent="0.25">
      <c r="A4" s="221" t="s">
        <v>98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</row>
    <row r="5" spans="1:11" ht="21" customHeight="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</row>
    <row r="6" spans="1:11" ht="29.25" customHeight="1" x14ac:dyDescent="0.25">
      <c r="A6" s="34" t="s">
        <v>0</v>
      </c>
      <c r="B6" s="34" t="s">
        <v>10</v>
      </c>
      <c r="C6" s="34" t="s">
        <v>5</v>
      </c>
      <c r="D6" s="35" t="s">
        <v>1</v>
      </c>
      <c r="E6" s="35" t="s">
        <v>6</v>
      </c>
      <c r="F6" s="35" t="s">
        <v>3</v>
      </c>
      <c r="G6" s="35" t="s">
        <v>4</v>
      </c>
      <c r="H6" s="35" t="s">
        <v>7</v>
      </c>
      <c r="I6" s="35" t="s">
        <v>32</v>
      </c>
      <c r="J6" s="35" t="s">
        <v>2</v>
      </c>
      <c r="K6" s="36" t="s">
        <v>34</v>
      </c>
    </row>
    <row r="7" spans="1:11" ht="18.75" customHeight="1" x14ac:dyDescent="0.25">
      <c r="A7" s="37">
        <v>1</v>
      </c>
      <c r="B7" s="38">
        <v>46057</v>
      </c>
      <c r="C7" s="39" t="s">
        <v>104</v>
      </c>
      <c r="D7" s="40" t="s">
        <v>105</v>
      </c>
      <c r="E7" s="112">
        <v>46061</v>
      </c>
      <c r="F7" s="41">
        <v>1</v>
      </c>
      <c r="G7" s="41">
        <v>1</v>
      </c>
      <c r="H7" s="41"/>
      <c r="I7" s="41"/>
      <c r="J7" s="42">
        <v>1000000</v>
      </c>
      <c r="K7" s="43"/>
    </row>
    <row r="8" spans="1:11" ht="20.100000000000001" customHeight="1" x14ac:dyDescent="0.25">
      <c r="A8" s="44">
        <v>2</v>
      </c>
      <c r="B8" s="45"/>
      <c r="C8" s="31" t="s">
        <v>106</v>
      </c>
      <c r="D8" s="46" t="s">
        <v>107</v>
      </c>
      <c r="E8" s="89" t="s">
        <v>108</v>
      </c>
      <c r="F8" s="47">
        <v>4</v>
      </c>
      <c r="G8" s="47">
        <v>1</v>
      </c>
      <c r="H8" s="47"/>
      <c r="I8" s="47"/>
      <c r="J8" s="48">
        <v>4000000</v>
      </c>
      <c r="K8" s="49"/>
    </row>
    <row r="9" spans="1:11" ht="20.100000000000001" customHeight="1" x14ac:dyDescent="0.25">
      <c r="A9" s="44">
        <v>3</v>
      </c>
      <c r="B9" s="50"/>
      <c r="C9" s="31" t="s">
        <v>106</v>
      </c>
      <c r="D9" s="46" t="s">
        <v>107</v>
      </c>
      <c r="E9" s="31" t="s">
        <v>131</v>
      </c>
      <c r="F9" s="51">
        <v>7</v>
      </c>
      <c r="G9" s="51">
        <v>1</v>
      </c>
      <c r="H9" s="51"/>
      <c r="I9" s="51"/>
      <c r="J9" s="52">
        <v>7000000</v>
      </c>
      <c r="K9" s="53"/>
    </row>
    <row r="10" spans="1:11" ht="20.100000000000001" customHeight="1" x14ac:dyDescent="0.25">
      <c r="A10" s="44">
        <v>4</v>
      </c>
      <c r="B10" s="50">
        <v>46058</v>
      </c>
      <c r="C10" s="54" t="s">
        <v>109</v>
      </c>
      <c r="D10" s="55" t="s">
        <v>110</v>
      </c>
      <c r="E10" s="54" t="s">
        <v>111</v>
      </c>
      <c r="F10" s="56">
        <v>3</v>
      </c>
      <c r="G10" s="56">
        <v>1</v>
      </c>
      <c r="H10" s="56"/>
      <c r="I10" s="56"/>
      <c r="J10" s="57">
        <v>3000000</v>
      </c>
      <c r="K10" s="53"/>
    </row>
    <row r="11" spans="1:11" ht="20.100000000000001" customHeight="1" x14ac:dyDescent="0.25">
      <c r="A11" s="44">
        <v>5</v>
      </c>
      <c r="B11" s="45">
        <v>46059</v>
      </c>
      <c r="C11" s="58" t="s">
        <v>112</v>
      </c>
      <c r="D11" s="59" t="s">
        <v>78</v>
      </c>
      <c r="E11" s="80" t="s">
        <v>113</v>
      </c>
      <c r="F11" s="51">
        <v>3</v>
      </c>
      <c r="G11" s="51">
        <v>1</v>
      </c>
      <c r="H11" s="51"/>
      <c r="I11" s="51"/>
      <c r="J11" s="52">
        <v>3000000</v>
      </c>
      <c r="K11" s="53"/>
    </row>
    <row r="12" spans="1:11" ht="20.100000000000001" customHeight="1" x14ac:dyDescent="0.25">
      <c r="A12" s="44">
        <v>6</v>
      </c>
      <c r="B12" s="79"/>
      <c r="C12" s="46" t="s">
        <v>96</v>
      </c>
      <c r="D12" s="46" t="s">
        <v>123</v>
      </c>
      <c r="E12" s="80" t="s">
        <v>129</v>
      </c>
      <c r="F12" s="61">
        <v>5</v>
      </c>
      <c r="G12" s="61">
        <v>1</v>
      </c>
      <c r="H12" s="61">
        <v>1</v>
      </c>
      <c r="I12" s="61"/>
      <c r="J12" s="52">
        <v>5500000</v>
      </c>
      <c r="K12" s="53"/>
    </row>
    <row r="13" spans="1:11" ht="20.100000000000001" customHeight="1" x14ac:dyDescent="0.25">
      <c r="A13" s="44">
        <v>7</v>
      </c>
      <c r="B13" s="45">
        <v>46065</v>
      </c>
      <c r="C13" s="31" t="s">
        <v>114</v>
      </c>
      <c r="D13" s="60" t="s">
        <v>52</v>
      </c>
      <c r="E13" s="80" t="s">
        <v>115</v>
      </c>
      <c r="F13" s="61">
        <v>3</v>
      </c>
      <c r="G13" s="61">
        <v>1</v>
      </c>
      <c r="H13" s="61">
        <v>1</v>
      </c>
      <c r="I13" s="61"/>
      <c r="J13" s="52">
        <v>3300000</v>
      </c>
      <c r="K13" s="53"/>
    </row>
    <row r="14" spans="1:11" ht="20.100000000000001" customHeight="1" x14ac:dyDescent="0.25">
      <c r="A14" s="44">
        <v>8</v>
      </c>
      <c r="B14" s="62">
        <v>46066</v>
      </c>
      <c r="C14" s="58" t="s">
        <v>112</v>
      </c>
      <c r="D14" s="59" t="s">
        <v>78</v>
      </c>
      <c r="E14" s="80" t="s">
        <v>116</v>
      </c>
      <c r="F14" s="61">
        <v>12</v>
      </c>
      <c r="G14" s="61">
        <v>1</v>
      </c>
      <c r="H14" s="61"/>
      <c r="I14" s="61"/>
      <c r="J14" s="52">
        <v>12000000</v>
      </c>
      <c r="K14" s="53"/>
    </row>
    <row r="15" spans="1:11" ht="20.100000000000001" customHeight="1" x14ac:dyDescent="0.25">
      <c r="A15" s="44">
        <v>9</v>
      </c>
      <c r="B15" s="62">
        <v>46068</v>
      </c>
      <c r="C15" s="63" t="s">
        <v>114</v>
      </c>
      <c r="D15" s="64" t="s">
        <v>52</v>
      </c>
      <c r="E15" s="80">
        <v>46069</v>
      </c>
      <c r="F15" s="61">
        <v>1</v>
      </c>
      <c r="G15" s="61">
        <v>1</v>
      </c>
      <c r="H15" s="61">
        <v>1</v>
      </c>
      <c r="I15" s="61"/>
      <c r="J15" s="52">
        <v>1100000</v>
      </c>
      <c r="K15" s="53"/>
    </row>
    <row r="16" spans="1:11" ht="20.100000000000001" customHeight="1" x14ac:dyDescent="0.25">
      <c r="A16" s="44">
        <v>10</v>
      </c>
      <c r="B16" s="45">
        <v>48</v>
      </c>
      <c r="C16" s="64" t="s">
        <v>117</v>
      </c>
      <c r="D16" s="64" t="s">
        <v>52</v>
      </c>
      <c r="E16" s="80" t="s">
        <v>118</v>
      </c>
      <c r="F16" s="61">
        <v>7</v>
      </c>
      <c r="G16" s="61">
        <v>2</v>
      </c>
      <c r="H16" s="61"/>
      <c r="I16" s="61"/>
      <c r="J16" s="52">
        <v>18000000</v>
      </c>
      <c r="K16" s="53" t="s">
        <v>119</v>
      </c>
    </row>
    <row r="17" spans="1:11" ht="28.5" customHeight="1" x14ac:dyDescent="0.25">
      <c r="A17" s="44">
        <v>11</v>
      </c>
      <c r="B17" s="45">
        <v>46077</v>
      </c>
      <c r="C17" s="58" t="s">
        <v>120</v>
      </c>
      <c r="D17" s="59" t="s">
        <v>121</v>
      </c>
      <c r="E17" s="80" t="s">
        <v>122</v>
      </c>
      <c r="F17" s="61">
        <v>8</v>
      </c>
      <c r="G17" s="61">
        <v>1</v>
      </c>
      <c r="H17" s="61"/>
      <c r="I17" s="61"/>
      <c r="J17" s="52">
        <v>8000000</v>
      </c>
      <c r="K17" s="53"/>
    </row>
    <row r="18" spans="1:11" ht="20.100000000000001" customHeight="1" x14ac:dyDescent="0.25">
      <c r="A18" s="44">
        <v>12</v>
      </c>
      <c r="B18" s="62"/>
      <c r="C18" s="46" t="s">
        <v>96</v>
      </c>
      <c r="D18" s="46" t="s">
        <v>123</v>
      </c>
      <c r="E18" s="80" t="s">
        <v>124</v>
      </c>
      <c r="F18" s="61">
        <v>9</v>
      </c>
      <c r="G18" s="61">
        <v>1</v>
      </c>
      <c r="H18" s="61">
        <v>1</v>
      </c>
      <c r="I18" s="61"/>
      <c r="J18" s="52">
        <v>9900000</v>
      </c>
      <c r="K18" s="53"/>
    </row>
    <row r="19" spans="1:11" ht="20.100000000000001" customHeight="1" x14ac:dyDescent="0.25">
      <c r="A19" s="44">
        <v>13</v>
      </c>
      <c r="B19" s="45">
        <v>46080</v>
      </c>
      <c r="C19" s="31" t="s">
        <v>114</v>
      </c>
      <c r="D19" s="46" t="s">
        <v>52</v>
      </c>
      <c r="E19" s="80" t="s">
        <v>125</v>
      </c>
      <c r="F19" s="61">
        <v>9</v>
      </c>
      <c r="G19" s="61">
        <v>3</v>
      </c>
      <c r="H19" s="61">
        <v>3</v>
      </c>
      <c r="I19" s="61"/>
      <c r="J19" s="52">
        <v>29700000</v>
      </c>
      <c r="K19" s="53"/>
    </row>
    <row r="20" spans="1:11" ht="20.100000000000001" customHeight="1" x14ac:dyDescent="0.25">
      <c r="A20" s="44">
        <v>14</v>
      </c>
      <c r="B20" s="62"/>
      <c r="C20" s="31" t="s">
        <v>126</v>
      </c>
      <c r="D20" s="46" t="s">
        <v>127</v>
      </c>
      <c r="E20" s="80" t="s">
        <v>128</v>
      </c>
      <c r="F20" s="61">
        <v>5</v>
      </c>
      <c r="G20" s="61">
        <v>1</v>
      </c>
      <c r="H20" s="61"/>
      <c r="I20" s="61"/>
      <c r="J20" s="52">
        <v>5000000</v>
      </c>
      <c r="K20" s="53"/>
    </row>
    <row r="21" spans="1:11" ht="20.100000000000001" customHeight="1" x14ac:dyDescent="0.25">
      <c r="A21" s="67"/>
      <c r="B21" s="67"/>
      <c r="C21" s="222" t="s">
        <v>8</v>
      </c>
      <c r="D21" s="223"/>
      <c r="E21" s="224"/>
      <c r="F21" s="68">
        <f>SUM(F7:F20)</f>
        <v>77</v>
      </c>
      <c r="G21" s="68">
        <f>SUM(G7:G20)</f>
        <v>17</v>
      </c>
      <c r="H21" s="68">
        <f>SUM(H7:H20)</f>
        <v>7</v>
      </c>
      <c r="I21" s="68">
        <f>SUM(I7:I20)</f>
        <v>0</v>
      </c>
      <c r="J21" s="69">
        <f>SUM(J7:J20)</f>
        <v>110500000</v>
      </c>
      <c r="K21" s="70"/>
    </row>
    <row r="22" spans="1:11" ht="15.75" x14ac:dyDescent="0.25">
      <c r="A22" s="33"/>
      <c r="B22" s="33"/>
      <c r="C22" s="33"/>
      <c r="D22" s="33"/>
      <c r="E22" s="33"/>
      <c r="F22" s="33"/>
      <c r="G22" s="33"/>
      <c r="H22" s="33"/>
      <c r="I22" s="33"/>
      <c r="J22" s="113">
        <v>110500000</v>
      </c>
      <c r="K22" s="33"/>
    </row>
    <row r="23" spans="1:11" ht="15.75" x14ac:dyDescent="0.25">
      <c r="A23" s="33"/>
      <c r="B23" s="33"/>
      <c r="C23" s="33"/>
      <c r="D23" s="33"/>
      <c r="E23" s="33"/>
      <c r="F23" s="33"/>
      <c r="G23" s="33"/>
      <c r="H23" s="33"/>
      <c r="I23" s="33"/>
      <c r="J23" s="71"/>
      <c r="K23" s="72"/>
    </row>
    <row r="24" spans="1:11" ht="15.75" x14ac:dyDescent="0.25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</row>
    <row r="25" spans="1:11" ht="15.75" x14ac:dyDescent="0.25">
      <c r="A25" s="33"/>
      <c r="B25" s="33"/>
      <c r="C25" s="33"/>
      <c r="D25" s="33"/>
      <c r="E25" s="33"/>
      <c r="F25" s="33"/>
      <c r="G25" s="33"/>
      <c r="H25" s="218" t="s">
        <v>41</v>
      </c>
      <c r="I25" s="219"/>
      <c r="J25" s="219"/>
      <c r="K25" s="219"/>
    </row>
    <row r="26" spans="1:11" ht="15.75" x14ac:dyDescent="0.25">
      <c r="A26" s="33"/>
      <c r="B26" s="33"/>
      <c r="C26" s="33"/>
      <c r="D26" s="33"/>
      <c r="E26" s="33"/>
      <c r="F26" s="33"/>
      <c r="G26" s="33"/>
      <c r="H26" s="218" t="s">
        <v>42</v>
      </c>
      <c r="I26" s="219"/>
      <c r="J26" s="219"/>
      <c r="K26" s="219"/>
    </row>
    <row r="27" spans="1:11" ht="15.75" x14ac:dyDescent="0.25">
      <c r="A27" s="33"/>
      <c r="B27" s="33"/>
      <c r="C27" s="33"/>
      <c r="D27" s="33"/>
      <c r="E27" s="33"/>
      <c r="F27" s="33"/>
      <c r="G27" s="33"/>
      <c r="H27" s="218" t="s">
        <v>38</v>
      </c>
      <c r="I27" s="219"/>
      <c r="J27" s="219"/>
      <c r="K27" s="219"/>
    </row>
    <row r="28" spans="1:11" ht="15.75" x14ac:dyDescent="0.25">
      <c r="A28" s="33"/>
      <c r="B28" s="33"/>
      <c r="C28" s="33"/>
      <c r="D28" s="33"/>
      <c r="E28" s="33"/>
      <c r="F28" s="33"/>
      <c r="G28" s="33"/>
      <c r="H28" s="218" t="s">
        <v>39</v>
      </c>
      <c r="I28" s="219"/>
      <c r="J28" s="219"/>
      <c r="K28" s="219"/>
    </row>
    <row r="29" spans="1:11" ht="15.75" x14ac:dyDescent="0.25">
      <c r="A29" s="33"/>
      <c r="B29" s="33"/>
      <c r="C29" s="33"/>
      <c r="D29" s="33"/>
      <c r="E29" s="33"/>
      <c r="F29" s="33"/>
      <c r="G29" s="33"/>
      <c r="H29" s="220" t="s">
        <v>40</v>
      </c>
      <c r="I29" s="220"/>
      <c r="J29" s="220"/>
      <c r="K29" s="220"/>
    </row>
    <row r="30" spans="1:11" ht="15.75" x14ac:dyDescent="0.25">
      <c r="A30" s="33"/>
      <c r="B30" s="33"/>
      <c r="C30" s="33"/>
      <c r="D30" s="33"/>
      <c r="E30" s="33"/>
      <c r="F30" s="33"/>
      <c r="G30" s="33"/>
      <c r="H30" s="29"/>
      <c r="I30" s="32"/>
      <c r="J30" s="32"/>
      <c r="K30" s="32"/>
    </row>
    <row r="31" spans="1:11" ht="15.75" x14ac:dyDescent="0.25">
      <c r="A31" s="33"/>
      <c r="B31" s="33"/>
      <c r="C31" s="33"/>
      <c r="D31" s="33"/>
      <c r="E31" s="33"/>
      <c r="F31" s="33"/>
      <c r="G31" s="33"/>
      <c r="H31" s="29"/>
      <c r="I31" s="30"/>
      <c r="J31" s="30"/>
      <c r="K31" s="29"/>
    </row>
    <row r="32" spans="1:11" ht="15.75" x14ac:dyDescent="0.25">
      <c r="A32" s="33"/>
      <c r="B32" s="33"/>
      <c r="C32" s="33"/>
      <c r="D32" s="33"/>
      <c r="E32" s="33"/>
      <c r="F32" s="33"/>
      <c r="G32" s="33"/>
      <c r="H32" s="218" t="s">
        <v>43</v>
      </c>
      <c r="I32" s="219"/>
      <c r="J32" s="219"/>
      <c r="K32" s="219"/>
    </row>
    <row r="33" spans="1:11" ht="15.75" x14ac:dyDescent="0.25">
      <c r="A33" s="33"/>
      <c r="B33" s="33"/>
      <c r="C33" s="33"/>
      <c r="D33" s="33"/>
      <c r="E33" s="33"/>
      <c r="F33" s="33"/>
      <c r="G33" s="33"/>
      <c r="H33" s="218" t="s">
        <v>44</v>
      </c>
      <c r="I33" s="219"/>
      <c r="J33" s="219"/>
      <c r="K33" s="219"/>
    </row>
    <row r="34" spans="1:11" ht="15.75" x14ac:dyDescent="0.25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</row>
    <row r="35" spans="1:11" ht="15.75" x14ac:dyDescent="0.2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</row>
    <row r="36" spans="1:11" ht="15.75" x14ac:dyDescent="0.25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</row>
    <row r="37" spans="1:11" ht="15.75" x14ac:dyDescent="0.2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</row>
  </sheetData>
  <mergeCells count="12">
    <mergeCell ref="A1:K1"/>
    <mergeCell ref="A2:K2"/>
    <mergeCell ref="A3:K3"/>
    <mergeCell ref="A4:K4"/>
    <mergeCell ref="C21:E21"/>
    <mergeCell ref="H28:K28"/>
    <mergeCell ref="H29:K29"/>
    <mergeCell ref="H32:K32"/>
    <mergeCell ref="H33:K33"/>
    <mergeCell ref="H25:K25"/>
    <mergeCell ref="H26:K26"/>
    <mergeCell ref="H27:K27"/>
  </mergeCells>
  <pageMargins left="0.23622047244094491" right="3.937007874015748E-2" top="0.15748031496062992" bottom="0.15748031496062992" header="0.31496062992125984" footer="0.31496062992125984"/>
  <pageSetup paperSize="122" scale="80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5AC86-D4A2-4324-B2EC-5417A07E75D0}">
  <dimension ref="A1:K111"/>
  <sheetViews>
    <sheetView showGridLines="0" topLeftCell="A76" zoomScaleNormal="100" workbookViewId="0">
      <selection activeCell="P95" sqref="P95"/>
    </sheetView>
  </sheetViews>
  <sheetFormatPr defaultRowHeight="15" x14ac:dyDescent="0.25"/>
  <cols>
    <col min="1" max="1" width="4.28515625" customWidth="1"/>
    <col min="2" max="2" width="13.7109375" customWidth="1"/>
    <col min="3" max="3" width="37.85546875" customWidth="1"/>
    <col min="4" max="4" width="38.7109375" customWidth="1"/>
    <col min="5" max="5" width="36.7109375" customWidth="1"/>
    <col min="6" max="7" width="8" customWidth="1"/>
    <col min="8" max="8" width="9.140625" customWidth="1"/>
    <col min="9" max="9" width="9.85546875" customWidth="1"/>
    <col min="10" max="10" width="18.85546875" customWidth="1"/>
    <col min="11" max="11" width="14.7109375" customWidth="1"/>
    <col min="17" max="17" width="10.140625" bestFit="1" customWidth="1"/>
    <col min="19" max="19" width="14.28515625" customWidth="1"/>
  </cols>
  <sheetData>
    <row r="1" spans="1:11" ht="18" x14ac:dyDescent="0.25">
      <c r="A1" s="221" t="s">
        <v>85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</row>
    <row r="2" spans="1:11" ht="18" x14ac:dyDescent="0.25">
      <c r="A2" s="221" t="s">
        <v>9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</row>
    <row r="3" spans="1:11" ht="18" x14ac:dyDescent="0.25">
      <c r="A3" s="221" t="s">
        <v>84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</row>
    <row r="4" spans="1:11" ht="18" x14ac:dyDescent="0.25">
      <c r="A4" s="221" t="s">
        <v>99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</row>
    <row r="5" spans="1:11" ht="21" customHeight="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</row>
    <row r="6" spans="1:11" ht="29.25" customHeight="1" x14ac:dyDescent="0.25">
      <c r="A6" s="95" t="s">
        <v>0</v>
      </c>
      <c r="B6" s="95" t="s">
        <v>10</v>
      </c>
      <c r="C6" s="95" t="s">
        <v>5</v>
      </c>
      <c r="D6" s="97" t="s">
        <v>1</v>
      </c>
      <c r="E6" s="97" t="s">
        <v>6</v>
      </c>
      <c r="F6" s="97" t="s">
        <v>3</v>
      </c>
      <c r="G6" s="97" t="s">
        <v>4</v>
      </c>
      <c r="H6" s="97" t="s">
        <v>7</v>
      </c>
      <c r="I6" s="97" t="s">
        <v>32</v>
      </c>
      <c r="J6" s="97" t="s">
        <v>2</v>
      </c>
      <c r="K6" s="160" t="s">
        <v>34</v>
      </c>
    </row>
    <row r="7" spans="1:11" ht="27" customHeight="1" x14ac:dyDescent="0.25">
      <c r="A7" s="161">
        <v>1</v>
      </c>
      <c r="B7" s="162">
        <v>46083</v>
      </c>
      <c r="C7" s="39" t="s">
        <v>132</v>
      </c>
      <c r="D7" s="40" t="s">
        <v>133</v>
      </c>
      <c r="E7" s="159" t="s">
        <v>303</v>
      </c>
      <c r="F7" s="158">
        <v>8</v>
      </c>
      <c r="G7" s="158">
        <v>1</v>
      </c>
      <c r="H7" s="158"/>
      <c r="I7" s="158"/>
      <c r="J7" s="163">
        <v>8000000</v>
      </c>
      <c r="K7" s="164"/>
    </row>
    <row r="8" spans="1:11" ht="18.95" customHeight="1" x14ac:dyDescent="0.25">
      <c r="A8" s="51">
        <v>2</v>
      </c>
      <c r="B8" s="79">
        <v>46085</v>
      </c>
      <c r="C8" s="46" t="s">
        <v>134</v>
      </c>
      <c r="D8" s="46" t="s">
        <v>141</v>
      </c>
      <c r="E8" s="90" t="s">
        <v>135</v>
      </c>
      <c r="F8" s="75">
        <v>11</v>
      </c>
      <c r="G8" s="75">
        <v>2</v>
      </c>
      <c r="H8" s="75"/>
      <c r="I8" s="75"/>
      <c r="J8" s="76">
        <v>22000000</v>
      </c>
      <c r="K8" s="49"/>
    </row>
    <row r="9" spans="1:11" ht="18.95" customHeight="1" x14ac:dyDescent="0.25">
      <c r="A9" s="51">
        <v>3</v>
      </c>
      <c r="B9" s="79"/>
      <c r="C9" s="46" t="s">
        <v>73</v>
      </c>
      <c r="D9" s="46" t="s">
        <v>74</v>
      </c>
      <c r="E9" s="90" t="s">
        <v>155</v>
      </c>
      <c r="F9" s="75">
        <v>8</v>
      </c>
      <c r="G9" s="75">
        <v>1</v>
      </c>
      <c r="H9" s="75">
        <v>1</v>
      </c>
      <c r="I9" s="75"/>
      <c r="J9" s="76">
        <v>8800000</v>
      </c>
      <c r="K9" s="49"/>
    </row>
    <row r="10" spans="1:11" ht="18.95" customHeight="1" x14ac:dyDescent="0.25">
      <c r="A10" s="51">
        <v>4</v>
      </c>
      <c r="B10" s="79"/>
      <c r="C10" s="231" t="s">
        <v>142</v>
      </c>
      <c r="D10" s="46" t="s">
        <v>143</v>
      </c>
      <c r="E10" s="232" t="s">
        <v>144</v>
      </c>
      <c r="F10" s="233">
        <v>5</v>
      </c>
      <c r="G10" s="233">
        <v>1</v>
      </c>
      <c r="H10" s="75"/>
      <c r="I10" s="75"/>
      <c r="J10" s="76">
        <v>5000000</v>
      </c>
      <c r="K10" s="49"/>
    </row>
    <row r="11" spans="1:11" ht="18.95" customHeight="1" x14ac:dyDescent="0.25">
      <c r="A11" s="51">
        <v>5</v>
      </c>
      <c r="B11" s="79">
        <v>46086</v>
      </c>
      <c r="C11" s="231"/>
      <c r="D11" s="46" t="s">
        <v>160</v>
      </c>
      <c r="E11" s="232"/>
      <c r="F11" s="233"/>
      <c r="G11" s="233"/>
      <c r="H11" s="75">
        <v>1</v>
      </c>
      <c r="I11" s="75"/>
      <c r="J11" s="206">
        <v>500000</v>
      </c>
      <c r="K11" s="49"/>
    </row>
    <row r="12" spans="1:11" ht="18.95" customHeight="1" x14ac:dyDescent="0.25">
      <c r="A12" s="51">
        <v>6</v>
      </c>
      <c r="B12" s="79">
        <v>46087</v>
      </c>
      <c r="C12" s="46" t="s">
        <v>145</v>
      </c>
      <c r="D12" s="46" t="s">
        <v>146</v>
      </c>
      <c r="E12" s="90" t="s">
        <v>147</v>
      </c>
      <c r="F12" s="75">
        <v>7</v>
      </c>
      <c r="G12" s="75">
        <v>1</v>
      </c>
      <c r="H12" s="75">
        <v>1</v>
      </c>
      <c r="I12" s="75"/>
      <c r="J12" s="76">
        <v>7700000</v>
      </c>
      <c r="K12" s="49"/>
    </row>
    <row r="13" spans="1:11" ht="18.95" customHeight="1" x14ac:dyDescent="0.25">
      <c r="A13" s="51">
        <v>7</v>
      </c>
      <c r="B13" s="79"/>
      <c r="C13" s="46" t="s">
        <v>161</v>
      </c>
      <c r="D13" s="46" t="s">
        <v>162</v>
      </c>
      <c r="E13" s="90" t="s">
        <v>163</v>
      </c>
      <c r="F13" s="75">
        <v>5</v>
      </c>
      <c r="G13" s="75">
        <v>1</v>
      </c>
      <c r="H13" s="75">
        <v>4</v>
      </c>
      <c r="I13" s="75">
        <v>1</v>
      </c>
      <c r="J13" s="76">
        <v>7350000</v>
      </c>
      <c r="K13" s="49"/>
    </row>
    <row r="14" spans="1:11" ht="18.95" customHeight="1" x14ac:dyDescent="0.25">
      <c r="A14" s="51">
        <v>8</v>
      </c>
      <c r="B14" s="79">
        <v>46088</v>
      </c>
      <c r="C14" s="46" t="s">
        <v>136</v>
      </c>
      <c r="D14" s="46" t="s">
        <v>148</v>
      </c>
      <c r="E14" s="31" t="s">
        <v>137</v>
      </c>
      <c r="F14" s="51">
        <v>6</v>
      </c>
      <c r="G14" s="51">
        <v>3</v>
      </c>
      <c r="H14" s="51">
        <v>2</v>
      </c>
      <c r="I14" s="51">
        <v>1</v>
      </c>
      <c r="J14" s="52">
        <v>19800000</v>
      </c>
      <c r="K14" s="77"/>
    </row>
    <row r="15" spans="1:11" ht="18.95" customHeight="1" x14ac:dyDescent="0.25">
      <c r="A15" s="51">
        <v>9</v>
      </c>
      <c r="B15" s="50"/>
      <c r="C15" s="54" t="s">
        <v>138</v>
      </c>
      <c r="D15" s="55" t="s">
        <v>139</v>
      </c>
      <c r="E15" s="54" t="s">
        <v>140</v>
      </c>
      <c r="F15" s="56">
        <v>6</v>
      </c>
      <c r="G15" s="56">
        <v>1</v>
      </c>
      <c r="H15" s="56"/>
      <c r="I15" s="56"/>
      <c r="J15" s="57">
        <v>6000000</v>
      </c>
      <c r="K15" s="77"/>
    </row>
    <row r="16" spans="1:11" ht="25.5" customHeight="1" x14ac:dyDescent="0.25">
      <c r="A16" s="51">
        <v>10</v>
      </c>
      <c r="B16" s="79">
        <v>46090</v>
      </c>
      <c r="C16" s="58" t="s">
        <v>109</v>
      </c>
      <c r="D16" s="59" t="s">
        <v>110</v>
      </c>
      <c r="E16" s="80" t="s">
        <v>152</v>
      </c>
      <c r="F16" s="51">
        <v>10</v>
      </c>
      <c r="G16" s="51">
        <v>1</v>
      </c>
      <c r="H16" s="51"/>
      <c r="I16" s="51"/>
      <c r="J16" s="52">
        <v>10000000</v>
      </c>
      <c r="K16" s="77"/>
    </row>
    <row r="17" spans="1:11" ht="18.95" customHeight="1" x14ac:dyDescent="0.25">
      <c r="A17" s="51">
        <v>11</v>
      </c>
      <c r="B17" s="79"/>
      <c r="C17" s="31" t="s">
        <v>153</v>
      </c>
      <c r="D17" s="60" t="s">
        <v>302</v>
      </c>
      <c r="E17" s="80" t="s">
        <v>155</v>
      </c>
      <c r="F17" s="61">
        <v>8</v>
      </c>
      <c r="G17" s="61">
        <v>3</v>
      </c>
      <c r="H17" s="61"/>
      <c r="I17" s="61"/>
      <c r="J17" s="52">
        <v>29000000</v>
      </c>
      <c r="K17" s="77" t="s">
        <v>156</v>
      </c>
    </row>
    <row r="18" spans="1:11" ht="18.95" customHeight="1" x14ac:dyDescent="0.25">
      <c r="A18" s="51">
        <v>12</v>
      </c>
      <c r="B18" s="79"/>
      <c r="C18" s="31" t="s">
        <v>264</v>
      </c>
      <c r="D18" s="60" t="s">
        <v>265</v>
      </c>
      <c r="E18" s="80" t="s">
        <v>155</v>
      </c>
      <c r="F18" s="61">
        <v>8</v>
      </c>
      <c r="G18" s="61">
        <v>1</v>
      </c>
      <c r="H18" s="61">
        <v>2</v>
      </c>
      <c r="I18" s="61"/>
      <c r="J18" s="52">
        <v>9600000</v>
      </c>
      <c r="K18" s="77"/>
    </row>
    <row r="19" spans="1:11" ht="18.95" customHeight="1" x14ac:dyDescent="0.25">
      <c r="A19" s="51">
        <v>13</v>
      </c>
      <c r="B19" s="79"/>
      <c r="C19" s="31" t="s">
        <v>264</v>
      </c>
      <c r="D19" s="60" t="s">
        <v>266</v>
      </c>
      <c r="E19" s="80" t="s">
        <v>155</v>
      </c>
      <c r="F19" s="61">
        <v>8</v>
      </c>
      <c r="G19" s="61">
        <v>1</v>
      </c>
      <c r="H19" s="61">
        <v>1</v>
      </c>
      <c r="I19" s="61"/>
      <c r="J19" s="52">
        <v>8800000</v>
      </c>
      <c r="K19" s="77"/>
    </row>
    <row r="20" spans="1:11" ht="18.95" customHeight="1" x14ac:dyDescent="0.25">
      <c r="A20" s="51">
        <v>14</v>
      </c>
      <c r="B20" s="79">
        <v>46091</v>
      </c>
      <c r="C20" s="58" t="s">
        <v>188</v>
      </c>
      <c r="D20" s="59" t="s">
        <v>63</v>
      </c>
      <c r="E20" s="80" t="s">
        <v>155</v>
      </c>
      <c r="F20" s="61">
        <v>9</v>
      </c>
      <c r="G20" s="61">
        <v>1</v>
      </c>
      <c r="H20" s="61">
        <v>1</v>
      </c>
      <c r="I20" s="61"/>
      <c r="J20" s="52">
        <v>9900000</v>
      </c>
      <c r="K20" s="77" t="s">
        <v>189</v>
      </c>
    </row>
    <row r="21" spans="1:11" ht="18.95" customHeight="1" x14ac:dyDescent="0.25">
      <c r="A21" s="51">
        <v>15</v>
      </c>
      <c r="B21" s="62"/>
      <c r="C21" s="31" t="s">
        <v>186</v>
      </c>
      <c r="D21" s="46" t="s">
        <v>187</v>
      </c>
      <c r="E21" s="80" t="s">
        <v>165</v>
      </c>
      <c r="F21" s="61">
        <v>1</v>
      </c>
      <c r="G21" s="61">
        <v>1</v>
      </c>
      <c r="H21" s="61"/>
      <c r="I21" s="61"/>
      <c r="J21" s="52">
        <v>3000000</v>
      </c>
      <c r="K21" s="77"/>
    </row>
    <row r="22" spans="1:11" ht="18.95" customHeight="1" x14ac:dyDescent="0.25">
      <c r="A22" s="51">
        <v>16</v>
      </c>
      <c r="B22" s="79">
        <v>46092</v>
      </c>
      <c r="C22" s="46" t="s">
        <v>91</v>
      </c>
      <c r="D22" s="46" t="s">
        <v>164</v>
      </c>
      <c r="E22" s="80" t="s">
        <v>165</v>
      </c>
      <c r="F22" s="61">
        <v>3</v>
      </c>
      <c r="G22" s="61">
        <v>2</v>
      </c>
      <c r="H22" s="61"/>
      <c r="I22" s="61"/>
      <c r="J22" s="52">
        <v>6000000</v>
      </c>
      <c r="K22" s="77"/>
    </row>
    <row r="23" spans="1:11" ht="18.95" customHeight="1" x14ac:dyDescent="0.25">
      <c r="A23" s="51">
        <v>17</v>
      </c>
      <c r="B23" s="79"/>
      <c r="C23" s="58" t="s">
        <v>185</v>
      </c>
      <c r="D23" s="59" t="s">
        <v>65</v>
      </c>
      <c r="E23" s="80" t="s">
        <v>155</v>
      </c>
      <c r="F23" s="61">
        <v>8</v>
      </c>
      <c r="G23" s="61">
        <v>1</v>
      </c>
      <c r="H23" s="61"/>
      <c r="I23" s="61"/>
      <c r="J23" s="52">
        <v>11000000</v>
      </c>
      <c r="K23" s="77" t="s">
        <v>166</v>
      </c>
    </row>
    <row r="24" spans="1:11" ht="18.95" customHeight="1" x14ac:dyDescent="0.25">
      <c r="A24" s="51">
        <v>18</v>
      </c>
      <c r="B24" s="62"/>
      <c r="C24" s="46" t="s">
        <v>167</v>
      </c>
      <c r="D24" s="46" t="s">
        <v>168</v>
      </c>
      <c r="E24" s="80" t="s">
        <v>165</v>
      </c>
      <c r="F24" s="61">
        <v>3</v>
      </c>
      <c r="G24" s="61">
        <v>1</v>
      </c>
      <c r="H24" s="61">
        <v>2</v>
      </c>
      <c r="I24" s="61"/>
      <c r="J24" s="52">
        <v>3600000</v>
      </c>
      <c r="K24" s="77"/>
    </row>
    <row r="25" spans="1:11" ht="18.95" customHeight="1" x14ac:dyDescent="0.25">
      <c r="A25" s="51">
        <v>19</v>
      </c>
      <c r="B25" s="79"/>
      <c r="C25" s="31" t="s">
        <v>169</v>
      </c>
      <c r="D25" s="46" t="s">
        <v>170</v>
      </c>
      <c r="E25" s="90" t="s">
        <v>163</v>
      </c>
      <c r="F25" s="61">
        <v>5</v>
      </c>
      <c r="G25" s="61">
        <v>1</v>
      </c>
      <c r="H25" s="61"/>
      <c r="I25" s="61">
        <v>1</v>
      </c>
      <c r="J25" s="52">
        <v>5500000</v>
      </c>
      <c r="K25" s="77"/>
    </row>
    <row r="26" spans="1:11" ht="18.95" customHeight="1" x14ac:dyDescent="0.25">
      <c r="A26" s="51">
        <v>20</v>
      </c>
      <c r="B26" s="62"/>
      <c r="C26" s="46" t="s">
        <v>167</v>
      </c>
      <c r="D26" s="46" t="s">
        <v>171</v>
      </c>
      <c r="E26" s="80" t="s">
        <v>172</v>
      </c>
      <c r="F26" s="61">
        <v>3</v>
      </c>
      <c r="G26" s="61">
        <v>1</v>
      </c>
      <c r="H26" s="61">
        <v>4</v>
      </c>
      <c r="I26" s="61">
        <v>1</v>
      </c>
      <c r="J26" s="52">
        <v>4500000</v>
      </c>
      <c r="K26" s="77"/>
    </row>
    <row r="27" spans="1:11" ht="18.95" customHeight="1" x14ac:dyDescent="0.25">
      <c r="A27" s="51">
        <v>21</v>
      </c>
      <c r="B27" s="79"/>
      <c r="C27" s="81" t="s">
        <v>173</v>
      </c>
      <c r="D27" s="165" t="s">
        <v>174</v>
      </c>
      <c r="E27" s="80" t="s">
        <v>175</v>
      </c>
      <c r="F27" s="61">
        <v>4</v>
      </c>
      <c r="G27" s="61">
        <v>2</v>
      </c>
      <c r="H27" s="61">
        <v>2</v>
      </c>
      <c r="I27" s="61">
        <v>1</v>
      </c>
      <c r="J27" s="52">
        <v>9200000</v>
      </c>
      <c r="K27" s="77" t="s">
        <v>176</v>
      </c>
    </row>
    <row r="28" spans="1:11" ht="18.95" customHeight="1" x14ac:dyDescent="0.25">
      <c r="A28" s="51">
        <v>22</v>
      </c>
      <c r="B28" s="62"/>
      <c r="C28" s="46" t="s">
        <v>177</v>
      </c>
      <c r="D28" s="46" t="s">
        <v>178</v>
      </c>
      <c r="E28" s="80" t="s">
        <v>179</v>
      </c>
      <c r="F28" s="61">
        <v>16</v>
      </c>
      <c r="G28" s="61">
        <v>2</v>
      </c>
      <c r="H28" s="61"/>
      <c r="I28" s="61"/>
      <c r="J28" s="52">
        <v>32000000</v>
      </c>
      <c r="K28" s="77"/>
    </row>
    <row r="29" spans="1:11" ht="18.95" customHeight="1" x14ac:dyDescent="0.25">
      <c r="A29" s="51">
        <v>23</v>
      </c>
      <c r="B29" s="79"/>
      <c r="C29" s="46" t="s">
        <v>177</v>
      </c>
      <c r="D29" s="46" t="s">
        <v>146</v>
      </c>
      <c r="E29" s="90" t="s">
        <v>163</v>
      </c>
      <c r="F29" s="75">
        <v>5</v>
      </c>
      <c r="G29" s="75">
        <v>1</v>
      </c>
      <c r="H29" s="75">
        <v>1</v>
      </c>
      <c r="I29" s="75"/>
      <c r="J29" s="76">
        <v>5500000</v>
      </c>
      <c r="K29" s="77"/>
    </row>
    <row r="30" spans="1:11" ht="18.95" customHeight="1" x14ac:dyDescent="0.25">
      <c r="A30" s="51">
        <v>24</v>
      </c>
      <c r="B30" s="62"/>
      <c r="C30" s="46" t="s">
        <v>167</v>
      </c>
      <c r="D30" s="165" t="s">
        <v>180</v>
      </c>
      <c r="E30" s="80" t="s">
        <v>165</v>
      </c>
      <c r="F30" s="61">
        <v>3</v>
      </c>
      <c r="G30" s="61">
        <v>1</v>
      </c>
      <c r="H30" s="61">
        <v>2</v>
      </c>
      <c r="I30" s="61"/>
      <c r="J30" s="52">
        <v>3600000</v>
      </c>
      <c r="K30" s="77"/>
    </row>
    <row r="31" spans="1:11" ht="18.95" customHeight="1" x14ac:dyDescent="0.25">
      <c r="A31" s="51">
        <v>25</v>
      </c>
      <c r="B31" s="51"/>
      <c r="C31" s="31" t="s">
        <v>161</v>
      </c>
      <c r="D31" s="60" t="s">
        <v>181</v>
      </c>
      <c r="E31" s="90" t="s">
        <v>163</v>
      </c>
      <c r="F31" s="51"/>
      <c r="G31" s="51"/>
      <c r="H31" s="51"/>
      <c r="I31" s="61"/>
      <c r="J31" s="207">
        <v>150000</v>
      </c>
      <c r="K31" s="77"/>
    </row>
    <row r="32" spans="1:11" ht="18.95" customHeight="1" x14ac:dyDescent="0.25">
      <c r="A32" s="51">
        <v>26</v>
      </c>
      <c r="B32" s="62"/>
      <c r="C32" s="31" t="s">
        <v>182</v>
      </c>
      <c r="D32" s="60" t="s">
        <v>183</v>
      </c>
      <c r="E32" s="80" t="s">
        <v>155</v>
      </c>
      <c r="F32" s="51">
        <v>8</v>
      </c>
      <c r="G32" s="51">
        <v>1</v>
      </c>
      <c r="H32" s="51">
        <v>1</v>
      </c>
      <c r="I32" s="51"/>
      <c r="J32" s="76">
        <v>8800000</v>
      </c>
      <c r="K32" s="77"/>
    </row>
    <row r="33" spans="1:11" ht="18.95" customHeight="1" x14ac:dyDescent="0.25">
      <c r="A33" s="51">
        <v>27</v>
      </c>
      <c r="B33" s="62"/>
      <c r="C33" s="31" t="s">
        <v>184</v>
      </c>
      <c r="D33" s="46" t="s">
        <v>184</v>
      </c>
      <c r="E33" s="80" t="s">
        <v>165</v>
      </c>
      <c r="F33" s="51">
        <v>3</v>
      </c>
      <c r="G33" s="51">
        <v>1</v>
      </c>
      <c r="H33" s="51"/>
      <c r="I33" s="51"/>
      <c r="J33" s="76">
        <v>3000000</v>
      </c>
      <c r="K33" s="77"/>
    </row>
    <row r="34" spans="1:11" ht="18.95" customHeight="1" x14ac:dyDescent="0.25">
      <c r="A34" s="166"/>
      <c r="B34" s="166"/>
      <c r="C34" s="235" t="s">
        <v>8</v>
      </c>
      <c r="D34" s="236"/>
      <c r="E34" s="237"/>
      <c r="F34" s="167">
        <f>SUM(F7:F33)</f>
        <v>161</v>
      </c>
      <c r="G34" s="167">
        <f>SUM(G7:G33)</f>
        <v>33</v>
      </c>
      <c r="H34" s="167">
        <f>SUM(H7:H33)</f>
        <v>25</v>
      </c>
      <c r="I34" s="167">
        <f>SUM(I7:I33)</f>
        <v>5</v>
      </c>
      <c r="J34" s="168">
        <f>SUM(J7:J33)</f>
        <v>248300000</v>
      </c>
      <c r="K34" s="169"/>
    </row>
    <row r="35" spans="1:11" ht="15.75" x14ac:dyDescent="0.25">
      <c r="A35" s="170"/>
      <c r="B35" s="170"/>
      <c r="C35" s="170"/>
      <c r="D35" s="170"/>
      <c r="E35" s="170"/>
      <c r="F35" s="170"/>
      <c r="G35" s="170"/>
      <c r="H35" s="170"/>
      <c r="I35" s="170"/>
      <c r="J35" s="170"/>
      <c r="K35" s="170"/>
    </row>
    <row r="36" spans="1:11" ht="15.75" x14ac:dyDescent="0.25">
      <c r="A36" s="170"/>
      <c r="B36" s="170"/>
      <c r="C36" s="170"/>
      <c r="D36" s="170"/>
      <c r="E36" s="170"/>
      <c r="F36" s="170"/>
      <c r="G36" s="170"/>
      <c r="H36" s="170"/>
      <c r="I36" s="170"/>
      <c r="J36" s="171"/>
      <c r="K36" s="172"/>
    </row>
    <row r="37" spans="1:11" ht="15.75" x14ac:dyDescent="0.25">
      <c r="A37" s="170"/>
      <c r="B37" s="170"/>
      <c r="C37" s="170"/>
      <c r="D37" s="170"/>
      <c r="E37" s="170"/>
      <c r="F37" s="170"/>
      <c r="G37" s="170"/>
      <c r="H37" s="170"/>
      <c r="I37" s="170"/>
      <c r="J37" s="170"/>
      <c r="K37" s="170"/>
    </row>
    <row r="38" spans="1:11" ht="20.25" customHeight="1" x14ac:dyDescent="0.25">
      <c r="A38" s="170"/>
      <c r="B38" s="170"/>
      <c r="C38" s="170"/>
      <c r="D38" s="170"/>
      <c r="E38" s="170"/>
      <c r="F38" s="170"/>
      <c r="G38" s="170"/>
      <c r="H38" s="170"/>
      <c r="I38" s="170"/>
      <c r="J38" s="170"/>
      <c r="K38" s="170"/>
    </row>
    <row r="39" spans="1:11" ht="30" x14ac:dyDescent="0.25">
      <c r="A39" s="95" t="s">
        <v>0</v>
      </c>
      <c r="B39" s="95" t="s">
        <v>10</v>
      </c>
      <c r="C39" s="95" t="s">
        <v>5</v>
      </c>
      <c r="D39" s="97" t="s">
        <v>1</v>
      </c>
      <c r="E39" s="97" t="s">
        <v>6</v>
      </c>
      <c r="F39" s="97" t="s">
        <v>3</v>
      </c>
      <c r="G39" s="97" t="s">
        <v>4</v>
      </c>
      <c r="H39" s="97" t="s">
        <v>7</v>
      </c>
      <c r="I39" s="97" t="s">
        <v>32</v>
      </c>
      <c r="J39" s="97" t="s">
        <v>2</v>
      </c>
      <c r="K39" s="160" t="s">
        <v>34</v>
      </c>
    </row>
    <row r="40" spans="1:11" ht="18.95" customHeight="1" x14ac:dyDescent="0.25">
      <c r="A40" s="173"/>
      <c r="B40" s="228" t="s">
        <v>11</v>
      </c>
      <c r="C40" s="229"/>
      <c r="D40" s="229"/>
      <c r="E40" s="230"/>
      <c r="F40" s="174">
        <f>SUM(F34)</f>
        <v>161</v>
      </c>
      <c r="G40" s="174">
        <f>SUM(G34)</f>
        <v>33</v>
      </c>
      <c r="H40" s="174">
        <f>SUM(H34)</f>
        <v>25</v>
      </c>
      <c r="I40" s="174">
        <f>SUM(I34)</f>
        <v>5</v>
      </c>
      <c r="J40" s="175">
        <f>SUM(J34)</f>
        <v>248300000</v>
      </c>
      <c r="K40" s="164"/>
    </row>
    <row r="41" spans="1:11" ht="18.95" customHeight="1" x14ac:dyDescent="0.25">
      <c r="A41" s="51">
        <v>28</v>
      </c>
      <c r="B41" s="79">
        <v>46093</v>
      </c>
      <c r="C41" s="58" t="s">
        <v>195</v>
      </c>
      <c r="D41" s="58" t="s">
        <v>196</v>
      </c>
      <c r="E41" s="31" t="s">
        <v>197</v>
      </c>
      <c r="F41" s="51">
        <v>3</v>
      </c>
      <c r="G41" s="51">
        <v>1</v>
      </c>
      <c r="H41" s="51"/>
      <c r="I41" s="51"/>
      <c r="J41" s="76">
        <v>3000000</v>
      </c>
      <c r="K41" s="77"/>
    </row>
    <row r="42" spans="1:11" ht="18.95" customHeight="1" x14ac:dyDescent="0.25">
      <c r="A42" s="51">
        <v>29</v>
      </c>
      <c r="B42" s="79">
        <v>46094</v>
      </c>
      <c r="C42" s="58" t="s">
        <v>198</v>
      </c>
      <c r="D42" s="31" t="s">
        <v>199</v>
      </c>
      <c r="E42" s="31" t="s">
        <v>155</v>
      </c>
      <c r="F42" s="51">
        <v>8</v>
      </c>
      <c r="G42" s="51">
        <v>1</v>
      </c>
      <c r="H42" s="51">
        <v>1</v>
      </c>
      <c r="I42" s="51"/>
      <c r="J42" s="76">
        <v>8800000</v>
      </c>
      <c r="K42" s="77"/>
    </row>
    <row r="43" spans="1:11" ht="18.95" customHeight="1" x14ac:dyDescent="0.25">
      <c r="A43" s="51">
        <v>30</v>
      </c>
      <c r="B43" s="50"/>
      <c r="C43" s="231" t="s">
        <v>200</v>
      </c>
      <c r="D43" s="231" t="s">
        <v>201</v>
      </c>
      <c r="E43" s="231" t="s">
        <v>202</v>
      </c>
      <c r="F43" s="234">
        <v>2</v>
      </c>
      <c r="G43" s="234">
        <v>1</v>
      </c>
      <c r="H43" s="234">
        <v>2</v>
      </c>
      <c r="I43" s="234">
        <v>3</v>
      </c>
      <c r="J43" s="76">
        <v>2400000</v>
      </c>
      <c r="K43" s="77"/>
    </row>
    <row r="44" spans="1:11" ht="18.95" customHeight="1" x14ac:dyDescent="0.25">
      <c r="A44" s="51">
        <v>31</v>
      </c>
      <c r="B44" s="50"/>
      <c r="C44" s="231"/>
      <c r="D44" s="231"/>
      <c r="E44" s="231"/>
      <c r="F44" s="234"/>
      <c r="G44" s="234"/>
      <c r="H44" s="234"/>
      <c r="I44" s="234"/>
      <c r="J44" s="206">
        <v>600000</v>
      </c>
      <c r="K44" s="77"/>
    </row>
    <row r="45" spans="1:11" ht="18.95" customHeight="1" x14ac:dyDescent="0.25">
      <c r="A45" s="51">
        <v>32</v>
      </c>
      <c r="B45" s="50"/>
      <c r="C45" s="31" t="s">
        <v>203</v>
      </c>
      <c r="D45" s="31" t="s">
        <v>222</v>
      </c>
      <c r="E45" s="31" t="s">
        <v>204</v>
      </c>
      <c r="F45" s="51">
        <v>10</v>
      </c>
      <c r="G45" s="51">
        <v>1</v>
      </c>
      <c r="H45" s="51"/>
      <c r="I45" s="51"/>
      <c r="J45" s="52">
        <v>10000000</v>
      </c>
      <c r="K45" s="77"/>
    </row>
    <row r="46" spans="1:11" ht="18.95" customHeight="1" x14ac:dyDescent="0.25">
      <c r="A46" s="51">
        <v>33</v>
      </c>
      <c r="B46" s="50"/>
      <c r="C46" s="31" t="s">
        <v>205</v>
      </c>
      <c r="D46" s="31" t="s">
        <v>206</v>
      </c>
      <c r="E46" s="31" t="s">
        <v>207</v>
      </c>
      <c r="F46" s="51">
        <v>6</v>
      </c>
      <c r="G46" s="51">
        <v>1</v>
      </c>
      <c r="H46" s="51"/>
      <c r="I46" s="51"/>
      <c r="J46" s="76">
        <v>6000000</v>
      </c>
      <c r="K46" s="176"/>
    </row>
    <row r="47" spans="1:11" ht="18.95" customHeight="1" x14ac:dyDescent="0.25">
      <c r="A47" s="51">
        <v>34</v>
      </c>
      <c r="B47" s="79"/>
      <c r="C47" s="31" t="s">
        <v>208</v>
      </c>
      <c r="D47" s="31" t="s">
        <v>209</v>
      </c>
      <c r="E47" s="90" t="s">
        <v>155</v>
      </c>
      <c r="F47" s="75">
        <v>8</v>
      </c>
      <c r="G47" s="75">
        <v>1</v>
      </c>
      <c r="H47" s="75">
        <v>2</v>
      </c>
      <c r="I47" s="75">
        <v>3</v>
      </c>
      <c r="J47" s="76">
        <v>12000000</v>
      </c>
      <c r="K47" s="77"/>
    </row>
    <row r="48" spans="1:11" ht="18.95" customHeight="1" x14ac:dyDescent="0.25">
      <c r="A48" s="51">
        <v>35</v>
      </c>
      <c r="B48" s="50"/>
      <c r="C48" s="31" t="s">
        <v>210</v>
      </c>
      <c r="D48" s="31" t="s">
        <v>211</v>
      </c>
      <c r="E48" s="90" t="s">
        <v>223</v>
      </c>
      <c r="F48" s="75">
        <v>9</v>
      </c>
      <c r="G48" s="75">
        <v>1</v>
      </c>
      <c r="H48" s="75">
        <v>2</v>
      </c>
      <c r="I48" s="75">
        <v>2</v>
      </c>
      <c r="J48" s="76">
        <v>12200000</v>
      </c>
      <c r="K48" s="49"/>
    </row>
    <row r="49" spans="1:11" ht="18.95" customHeight="1" x14ac:dyDescent="0.25">
      <c r="A49" s="51">
        <v>36</v>
      </c>
      <c r="B49" s="50"/>
      <c r="C49" s="31" t="s">
        <v>212</v>
      </c>
      <c r="D49" s="31" t="s">
        <v>213</v>
      </c>
      <c r="E49" s="31" t="s">
        <v>214</v>
      </c>
      <c r="F49" s="51">
        <v>5</v>
      </c>
      <c r="G49" s="51">
        <v>1</v>
      </c>
      <c r="H49" s="51"/>
      <c r="I49" s="51"/>
      <c r="J49" s="52">
        <v>5000000</v>
      </c>
      <c r="K49" s="77"/>
    </row>
    <row r="50" spans="1:11" ht="18.95" customHeight="1" x14ac:dyDescent="0.25">
      <c r="A50" s="51">
        <v>37</v>
      </c>
      <c r="B50" s="50"/>
      <c r="C50" s="54" t="s">
        <v>104</v>
      </c>
      <c r="D50" s="78" t="s">
        <v>215</v>
      </c>
      <c r="E50" s="54" t="s">
        <v>216</v>
      </c>
      <c r="F50" s="56">
        <v>2</v>
      </c>
      <c r="G50" s="56">
        <v>1</v>
      </c>
      <c r="H50" s="56"/>
      <c r="I50" s="56"/>
      <c r="J50" s="57">
        <v>2000000</v>
      </c>
      <c r="K50" s="77"/>
    </row>
    <row r="51" spans="1:11" ht="18.95" customHeight="1" x14ac:dyDescent="0.25">
      <c r="A51" s="51">
        <v>38</v>
      </c>
      <c r="B51" s="79"/>
      <c r="C51" s="58" t="s">
        <v>217</v>
      </c>
      <c r="D51" s="58" t="s">
        <v>218</v>
      </c>
      <c r="E51" s="80" t="s">
        <v>224</v>
      </c>
      <c r="F51" s="51">
        <v>8</v>
      </c>
      <c r="G51" s="51">
        <v>2</v>
      </c>
      <c r="H51" s="51"/>
      <c r="I51" s="51">
        <v>1</v>
      </c>
      <c r="J51" s="52">
        <v>15700000</v>
      </c>
      <c r="K51" s="77" t="s">
        <v>225</v>
      </c>
    </row>
    <row r="52" spans="1:11" ht="18.95" customHeight="1" x14ac:dyDescent="0.25">
      <c r="A52" s="51">
        <v>39</v>
      </c>
      <c r="B52" s="79"/>
      <c r="C52" s="31" t="s">
        <v>228</v>
      </c>
      <c r="D52" s="80" t="s">
        <v>227</v>
      </c>
      <c r="E52" s="80" t="s">
        <v>147</v>
      </c>
      <c r="F52" s="51">
        <v>7</v>
      </c>
      <c r="G52" s="51">
        <v>1</v>
      </c>
      <c r="H52" s="51">
        <v>2</v>
      </c>
      <c r="I52" s="51"/>
      <c r="J52" s="52">
        <v>8400000</v>
      </c>
      <c r="K52" s="77"/>
    </row>
    <row r="53" spans="1:11" ht="18.95" customHeight="1" x14ac:dyDescent="0.25">
      <c r="A53" s="51">
        <v>40</v>
      </c>
      <c r="B53" s="79">
        <v>46095</v>
      </c>
      <c r="C53" s="58" t="s">
        <v>219</v>
      </c>
      <c r="D53" s="58" t="s">
        <v>220</v>
      </c>
      <c r="E53" s="80" t="s">
        <v>155</v>
      </c>
      <c r="F53" s="51">
        <v>8</v>
      </c>
      <c r="G53" s="51">
        <v>1</v>
      </c>
      <c r="H53" s="51">
        <v>2</v>
      </c>
      <c r="I53" s="51"/>
      <c r="J53" s="52">
        <v>9600000</v>
      </c>
      <c r="K53" s="77"/>
    </row>
    <row r="54" spans="1:11" ht="18.95" customHeight="1" x14ac:dyDescent="0.25">
      <c r="A54" s="51">
        <v>41</v>
      </c>
      <c r="B54" s="79">
        <v>46097</v>
      </c>
      <c r="C54" s="31" t="s">
        <v>221</v>
      </c>
      <c r="D54" s="31" t="s">
        <v>226</v>
      </c>
      <c r="E54" s="80" t="s">
        <v>175</v>
      </c>
      <c r="F54" s="51">
        <v>4</v>
      </c>
      <c r="G54" s="51">
        <v>3</v>
      </c>
      <c r="H54" s="51">
        <v>2</v>
      </c>
      <c r="I54" s="51"/>
      <c r="J54" s="52">
        <v>12800000</v>
      </c>
      <c r="K54" s="77" t="s">
        <v>301</v>
      </c>
    </row>
    <row r="55" spans="1:11" ht="18.95" customHeight="1" x14ac:dyDescent="0.25">
      <c r="A55" s="51">
        <v>42</v>
      </c>
      <c r="B55" s="50"/>
      <c r="C55" s="31" t="s">
        <v>231</v>
      </c>
      <c r="D55" s="31" t="s">
        <v>232</v>
      </c>
      <c r="E55" s="80" t="s">
        <v>163</v>
      </c>
      <c r="F55" s="51">
        <v>5</v>
      </c>
      <c r="G55" s="51">
        <v>1</v>
      </c>
      <c r="H55" s="51">
        <v>1</v>
      </c>
      <c r="I55" s="51"/>
      <c r="J55" s="52">
        <v>5500000</v>
      </c>
      <c r="K55" s="77"/>
    </row>
    <row r="56" spans="1:11" ht="27.75" customHeight="1" x14ac:dyDescent="0.25">
      <c r="A56" s="51">
        <v>43</v>
      </c>
      <c r="B56" s="79">
        <v>46098</v>
      </c>
      <c r="C56" s="58" t="s">
        <v>228</v>
      </c>
      <c r="D56" s="58" t="s">
        <v>233</v>
      </c>
      <c r="E56" s="80" t="s">
        <v>234</v>
      </c>
      <c r="F56" s="51">
        <v>7</v>
      </c>
      <c r="G56" s="51">
        <v>1</v>
      </c>
      <c r="H56" s="51"/>
      <c r="I56" s="51"/>
      <c r="J56" s="52">
        <v>8000000</v>
      </c>
      <c r="K56" s="77"/>
    </row>
    <row r="57" spans="1:11" ht="18.95" customHeight="1" x14ac:dyDescent="0.25">
      <c r="A57" s="51">
        <v>44</v>
      </c>
      <c r="B57" s="50"/>
      <c r="C57" s="31" t="s">
        <v>235</v>
      </c>
      <c r="D57" s="31" t="s">
        <v>236</v>
      </c>
      <c r="E57" s="80" t="s">
        <v>155</v>
      </c>
      <c r="F57" s="51">
        <v>8</v>
      </c>
      <c r="G57" s="51">
        <v>1</v>
      </c>
      <c r="H57" s="51">
        <v>3</v>
      </c>
      <c r="I57" s="51"/>
      <c r="J57" s="52">
        <v>10400000</v>
      </c>
      <c r="K57" s="77"/>
    </row>
    <row r="58" spans="1:11" ht="18.95" customHeight="1" x14ac:dyDescent="0.25">
      <c r="A58" s="51">
        <v>45</v>
      </c>
      <c r="B58" s="50"/>
      <c r="C58" s="31" t="s">
        <v>238</v>
      </c>
      <c r="D58" s="31" t="s">
        <v>237</v>
      </c>
      <c r="E58" s="80" t="s">
        <v>155</v>
      </c>
      <c r="F58" s="51">
        <v>8</v>
      </c>
      <c r="G58" s="51">
        <v>1</v>
      </c>
      <c r="H58" s="51"/>
      <c r="I58" s="51"/>
      <c r="J58" s="52">
        <v>8000000</v>
      </c>
      <c r="K58" s="77"/>
    </row>
    <row r="59" spans="1:11" ht="18.95" customHeight="1" x14ac:dyDescent="0.25">
      <c r="A59" s="51">
        <v>46</v>
      </c>
      <c r="B59" s="50"/>
      <c r="C59" s="31" t="s">
        <v>239</v>
      </c>
      <c r="D59" s="31" t="s">
        <v>240</v>
      </c>
      <c r="E59" s="80" t="s">
        <v>216</v>
      </c>
      <c r="F59" s="51">
        <v>2</v>
      </c>
      <c r="G59" s="51">
        <v>1</v>
      </c>
      <c r="H59" s="51">
        <v>2</v>
      </c>
      <c r="I59" s="51"/>
      <c r="J59" s="52">
        <v>2400000</v>
      </c>
      <c r="K59" s="77"/>
    </row>
    <row r="60" spans="1:11" ht="18.95" customHeight="1" x14ac:dyDescent="0.25">
      <c r="A60" s="51">
        <v>47</v>
      </c>
      <c r="B60" s="79"/>
      <c r="C60" s="81" t="s">
        <v>241</v>
      </c>
      <c r="D60" s="81" t="s">
        <v>242</v>
      </c>
      <c r="E60" s="80" t="s">
        <v>243</v>
      </c>
      <c r="F60" s="51">
        <v>5</v>
      </c>
      <c r="G60" s="51">
        <v>1</v>
      </c>
      <c r="H60" s="51">
        <v>1</v>
      </c>
      <c r="I60" s="51"/>
      <c r="J60" s="52">
        <v>10500000</v>
      </c>
      <c r="K60" s="77"/>
    </row>
    <row r="61" spans="1:11" ht="18.95" customHeight="1" x14ac:dyDescent="0.25">
      <c r="A61" s="51">
        <v>48</v>
      </c>
      <c r="B61" s="50"/>
      <c r="C61" s="31" t="s">
        <v>244</v>
      </c>
      <c r="D61" s="31" t="s">
        <v>81</v>
      </c>
      <c r="E61" s="80" t="s">
        <v>245</v>
      </c>
      <c r="F61" s="51">
        <v>2</v>
      </c>
      <c r="G61" s="51">
        <v>1</v>
      </c>
      <c r="H61" s="51"/>
      <c r="I61" s="51"/>
      <c r="J61" s="52">
        <v>2000000</v>
      </c>
      <c r="K61" s="77"/>
    </row>
    <row r="62" spans="1:11" ht="18.95" customHeight="1" x14ac:dyDescent="0.25">
      <c r="A62" s="51">
        <v>49</v>
      </c>
      <c r="B62" s="50"/>
      <c r="C62" s="31" t="s">
        <v>246</v>
      </c>
      <c r="D62" s="31" t="s">
        <v>248</v>
      </c>
      <c r="E62" s="80" t="s">
        <v>247</v>
      </c>
      <c r="F62" s="51">
        <v>4</v>
      </c>
      <c r="G62" s="51"/>
      <c r="H62" s="51"/>
      <c r="I62" s="51"/>
      <c r="J62" s="52">
        <v>11000000</v>
      </c>
      <c r="K62" s="77"/>
    </row>
    <row r="63" spans="1:11" ht="18.95" customHeight="1" x14ac:dyDescent="0.25">
      <c r="A63" s="51">
        <v>50</v>
      </c>
      <c r="B63" s="50"/>
      <c r="C63" s="31" t="s">
        <v>246</v>
      </c>
      <c r="D63" s="58" t="s">
        <v>249</v>
      </c>
      <c r="E63" s="80" t="s">
        <v>250</v>
      </c>
      <c r="F63" s="51">
        <v>2</v>
      </c>
      <c r="G63" s="51">
        <v>1</v>
      </c>
      <c r="H63" s="51"/>
      <c r="I63" s="51"/>
      <c r="J63" s="52">
        <v>2000000</v>
      </c>
      <c r="K63" s="77"/>
    </row>
    <row r="64" spans="1:11" ht="18.95" customHeight="1" x14ac:dyDescent="0.25">
      <c r="A64" s="51">
        <v>51</v>
      </c>
      <c r="B64" s="50"/>
      <c r="C64" s="31" t="s">
        <v>258</v>
      </c>
      <c r="D64" s="31" t="s">
        <v>257</v>
      </c>
      <c r="E64" s="91" t="s">
        <v>245</v>
      </c>
      <c r="F64" s="75">
        <v>2</v>
      </c>
      <c r="G64" s="75">
        <v>1</v>
      </c>
      <c r="H64" s="75"/>
      <c r="I64" s="75"/>
      <c r="J64" s="76">
        <v>2000000</v>
      </c>
      <c r="K64" s="77"/>
    </row>
    <row r="65" spans="1:11" ht="18.95" customHeight="1" x14ac:dyDescent="0.25">
      <c r="A65" s="51">
        <v>52</v>
      </c>
      <c r="B65" s="79">
        <v>46099</v>
      </c>
      <c r="C65" s="31" t="s">
        <v>91</v>
      </c>
      <c r="D65" s="31" t="s">
        <v>164</v>
      </c>
      <c r="E65" s="80" t="s">
        <v>251</v>
      </c>
      <c r="F65" s="51">
        <v>2</v>
      </c>
      <c r="G65" s="51">
        <v>2</v>
      </c>
      <c r="H65" s="51"/>
      <c r="I65" s="51"/>
      <c r="J65" s="52">
        <v>4000000</v>
      </c>
      <c r="K65" s="77"/>
    </row>
    <row r="66" spans="1:11" ht="18.95" customHeight="1" x14ac:dyDescent="0.25">
      <c r="A66" s="51">
        <v>53</v>
      </c>
      <c r="B66" s="51"/>
      <c r="C66" s="31" t="s">
        <v>252</v>
      </c>
      <c r="D66" s="31" t="s">
        <v>253</v>
      </c>
      <c r="E66" s="80" t="s">
        <v>223</v>
      </c>
      <c r="F66" s="51">
        <v>8</v>
      </c>
      <c r="G66" s="51"/>
      <c r="H66" s="51"/>
      <c r="I66" s="51"/>
      <c r="J66" s="52">
        <v>9000000</v>
      </c>
      <c r="K66" s="77"/>
    </row>
    <row r="67" spans="1:11" ht="18.95" customHeight="1" x14ac:dyDescent="0.25">
      <c r="A67" s="51">
        <v>54</v>
      </c>
      <c r="B67" s="50"/>
      <c r="C67" s="81" t="s">
        <v>173</v>
      </c>
      <c r="D67" s="81" t="s">
        <v>279</v>
      </c>
      <c r="E67" s="80" t="s">
        <v>175</v>
      </c>
      <c r="F67" s="51">
        <v>3</v>
      </c>
      <c r="G67" s="51">
        <v>1</v>
      </c>
      <c r="H67" s="51">
        <v>2</v>
      </c>
      <c r="I67" s="51">
        <v>1</v>
      </c>
      <c r="J67" s="76">
        <v>1200000</v>
      </c>
      <c r="K67" s="77"/>
    </row>
    <row r="68" spans="1:11" ht="18.95" customHeight="1" x14ac:dyDescent="0.25">
      <c r="A68" s="51">
        <v>55</v>
      </c>
      <c r="B68" s="50"/>
      <c r="C68" s="81" t="s">
        <v>238</v>
      </c>
      <c r="D68" s="81" t="s">
        <v>277</v>
      </c>
      <c r="E68" s="92" t="s">
        <v>155</v>
      </c>
      <c r="F68" s="51">
        <v>8</v>
      </c>
      <c r="G68" s="51">
        <v>1</v>
      </c>
      <c r="H68" s="51"/>
      <c r="I68" s="51">
        <v>1</v>
      </c>
      <c r="J68" s="206">
        <v>800000</v>
      </c>
      <c r="K68" s="77"/>
    </row>
    <row r="69" spans="1:11" ht="18.95" customHeight="1" x14ac:dyDescent="0.25">
      <c r="A69" s="51">
        <v>56</v>
      </c>
      <c r="B69" s="50"/>
      <c r="C69" s="58" t="s">
        <v>254</v>
      </c>
      <c r="D69" s="58" t="s">
        <v>255</v>
      </c>
      <c r="E69" s="31" t="s">
        <v>256</v>
      </c>
      <c r="F69" s="51">
        <v>3</v>
      </c>
      <c r="G69" s="51">
        <v>2</v>
      </c>
      <c r="H69" s="51">
        <v>1</v>
      </c>
      <c r="I69" s="51"/>
      <c r="J69" s="76">
        <v>6300000</v>
      </c>
      <c r="K69" s="77"/>
    </row>
    <row r="70" spans="1:11" ht="18.95" customHeight="1" x14ac:dyDescent="0.25">
      <c r="A70" s="51">
        <v>57</v>
      </c>
      <c r="B70" s="50"/>
      <c r="C70" s="31" t="s">
        <v>259</v>
      </c>
      <c r="D70" s="31" t="s">
        <v>57</v>
      </c>
      <c r="E70" s="31" t="s">
        <v>155</v>
      </c>
      <c r="F70" s="51">
        <v>8</v>
      </c>
      <c r="G70" s="51">
        <v>1</v>
      </c>
      <c r="H70" s="51">
        <v>1</v>
      </c>
      <c r="I70" s="51"/>
      <c r="J70" s="76">
        <v>8800000</v>
      </c>
      <c r="K70" s="77"/>
    </row>
    <row r="71" spans="1:11" ht="18.95" customHeight="1" x14ac:dyDescent="0.25">
      <c r="A71" s="166"/>
      <c r="B71" s="166"/>
      <c r="C71" s="235" t="s">
        <v>8</v>
      </c>
      <c r="D71" s="236"/>
      <c r="E71" s="237"/>
      <c r="F71" s="177">
        <f>SUM(F40:F70)</f>
        <v>318</v>
      </c>
      <c r="G71" s="177">
        <f>SUM(G40:G70)</f>
        <v>65</v>
      </c>
      <c r="H71" s="177">
        <f>SUM(H40:H70)</f>
        <v>49</v>
      </c>
      <c r="I71" s="177">
        <f>SUM(I40:I70)</f>
        <v>16</v>
      </c>
      <c r="J71" s="178">
        <f>SUM(J40:J70)</f>
        <v>448700000</v>
      </c>
      <c r="K71" s="169"/>
    </row>
    <row r="72" spans="1:11" ht="15.75" x14ac:dyDescent="0.25">
      <c r="A72" s="170"/>
      <c r="B72" s="170"/>
      <c r="C72" s="170"/>
      <c r="D72" s="170"/>
      <c r="E72" s="170"/>
      <c r="F72" s="170"/>
      <c r="G72" s="170"/>
      <c r="H72" s="170"/>
      <c r="I72" s="170"/>
      <c r="J72" s="170"/>
      <c r="K72" s="170"/>
    </row>
    <row r="73" spans="1:11" ht="15.75" x14ac:dyDescent="0.25">
      <c r="A73" s="170"/>
      <c r="B73" s="170"/>
      <c r="C73" s="170"/>
      <c r="D73" s="170"/>
      <c r="E73" s="170"/>
      <c r="F73" s="170"/>
      <c r="G73" s="170"/>
      <c r="H73" s="170"/>
      <c r="I73" s="170"/>
      <c r="J73" s="170"/>
      <c r="K73" s="170"/>
    </row>
    <row r="74" spans="1:11" ht="15.75" x14ac:dyDescent="0.25">
      <c r="A74" s="170"/>
      <c r="B74" s="170"/>
      <c r="C74" s="170"/>
      <c r="D74" s="170"/>
      <c r="E74" s="170"/>
      <c r="F74" s="170"/>
      <c r="G74" s="170"/>
      <c r="H74" s="170"/>
      <c r="I74" s="170"/>
      <c r="J74" s="170"/>
      <c r="K74" s="170"/>
    </row>
    <row r="75" spans="1:11" ht="15.75" x14ac:dyDescent="0.25">
      <c r="A75" s="170"/>
      <c r="B75" s="170"/>
      <c r="C75" s="170"/>
      <c r="D75" s="170"/>
      <c r="E75" s="170"/>
      <c r="F75" s="170"/>
      <c r="G75" s="170"/>
      <c r="H75" s="170"/>
      <c r="I75" s="170"/>
      <c r="J75" s="170"/>
      <c r="K75" s="170"/>
    </row>
    <row r="76" spans="1:11" ht="30" x14ac:dyDescent="0.25">
      <c r="A76" s="95" t="s">
        <v>0</v>
      </c>
      <c r="B76" s="95" t="s">
        <v>10</v>
      </c>
      <c r="C76" s="95" t="s">
        <v>5</v>
      </c>
      <c r="D76" s="97" t="s">
        <v>1</v>
      </c>
      <c r="E76" s="97" t="s">
        <v>6</v>
      </c>
      <c r="F76" s="97" t="s">
        <v>3</v>
      </c>
      <c r="G76" s="97" t="s">
        <v>4</v>
      </c>
      <c r="H76" s="97" t="s">
        <v>7</v>
      </c>
      <c r="I76" s="97" t="s">
        <v>32</v>
      </c>
      <c r="J76" s="97" t="s">
        <v>2</v>
      </c>
      <c r="K76" s="160" t="s">
        <v>34</v>
      </c>
    </row>
    <row r="77" spans="1:11" ht="19.5" customHeight="1" x14ac:dyDescent="0.25">
      <c r="A77" s="173"/>
      <c r="B77" s="228" t="s">
        <v>11</v>
      </c>
      <c r="C77" s="229"/>
      <c r="D77" s="229"/>
      <c r="E77" s="230"/>
      <c r="F77" s="174">
        <f>SUM(F71)</f>
        <v>318</v>
      </c>
      <c r="G77" s="174">
        <f t="shared" ref="G77:J77" si="0">SUM(G71)</f>
        <v>65</v>
      </c>
      <c r="H77" s="174">
        <f t="shared" si="0"/>
        <v>49</v>
      </c>
      <c r="I77" s="174">
        <f t="shared" si="0"/>
        <v>16</v>
      </c>
      <c r="J77" s="175">
        <f t="shared" si="0"/>
        <v>448700000</v>
      </c>
      <c r="K77" s="164"/>
    </row>
    <row r="78" spans="1:11" ht="19.5" customHeight="1" x14ac:dyDescent="0.25">
      <c r="A78" s="51">
        <v>58</v>
      </c>
      <c r="B78" s="79">
        <v>46101</v>
      </c>
      <c r="C78" s="58" t="s">
        <v>217</v>
      </c>
      <c r="D78" s="58" t="s">
        <v>278</v>
      </c>
      <c r="E78" s="80" t="s">
        <v>147</v>
      </c>
      <c r="F78" s="51">
        <v>7</v>
      </c>
      <c r="G78" s="51">
        <v>2</v>
      </c>
      <c r="H78" s="51">
        <v>1</v>
      </c>
      <c r="I78" s="51"/>
      <c r="J78" s="206">
        <v>1400000</v>
      </c>
      <c r="K78" s="77"/>
    </row>
    <row r="79" spans="1:11" ht="19.5" customHeight="1" x14ac:dyDescent="0.25">
      <c r="A79" s="51">
        <v>59</v>
      </c>
      <c r="B79" s="79">
        <v>46104</v>
      </c>
      <c r="C79" s="58" t="s">
        <v>254</v>
      </c>
      <c r="D79" s="58" t="s">
        <v>255</v>
      </c>
      <c r="E79" s="31" t="s">
        <v>251</v>
      </c>
      <c r="F79" s="51">
        <v>2</v>
      </c>
      <c r="G79" s="51">
        <v>2</v>
      </c>
      <c r="H79" s="51">
        <v>1</v>
      </c>
      <c r="I79" s="51"/>
      <c r="J79" s="76">
        <v>4200000</v>
      </c>
      <c r="K79" s="77"/>
    </row>
    <row r="80" spans="1:11" ht="19.5" customHeight="1" x14ac:dyDescent="0.25">
      <c r="A80" s="51">
        <v>60</v>
      </c>
      <c r="B80" s="50"/>
      <c r="C80" s="31" t="s">
        <v>324</v>
      </c>
      <c r="D80" s="31" t="s">
        <v>52</v>
      </c>
      <c r="E80" s="31" t="s">
        <v>155</v>
      </c>
      <c r="F80" s="51">
        <v>8</v>
      </c>
      <c r="G80" s="51">
        <v>5</v>
      </c>
      <c r="H80" s="51"/>
      <c r="I80" s="51"/>
      <c r="J80" s="52">
        <v>40000000</v>
      </c>
      <c r="K80" s="77"/>
    </row>
    <row r="81" spans="1:11" ht="19.5" customHeight="1" x14ac:dyDescent="0.25">
      <c r="A81" s="51">
        <v>61</v>
      </c>
      <c r="B81" s="79">
        <v>46105</v>
      </c>
      <c r="C81" s="31" t="s">
        <v>280</v>
      </c>
      <c r="D81" s="80" t="s">
        <v>281</v>
      </c>
      <c r="E81" s="80" t="s">
        <v>282</v>
      </c>
      <c r="F81" s="51">
        <v>3</v>
      </c>
      <c r="G81" s="51">
        <v>1</v>
      </c>
      <c r="H81" s="51"/>
      <c r="I81" s="51"/>
      <c r="J81" s="76">
        <v>3000000</v>
      </c>
      <c r="K81" s="77"/>
    </row>
    <row r="82" spans="1:11" ht="19.5" customHeight="1" x14ac:dyDescent="0.25">
      <c r="A82" s="51">
        <v>62</v>
      </c>
      <c r="B82" s="50"/>
      <c r="C82" s="31" t="s">
        <v>252</v>
      </c>
      <c r="D82" s="80" t="s">
        <v>283</v>
      </c>
      <c r="E82" s="31" t="s">
        <v>155</v>
      </c>
      <c r="F82" s="51">
        <v>8</v>
      </c>
      <c r="G82" s="51">
        <v>2</v>
      </c>
      <c r="H82" s="51">
        <v>1</v>
      </c>
      <c r="I82" s="51"/>
      <c r="J82" s="206">
        <v>1600000</v>
      </c>
      <c r="K82" s="77"/>
    </row>
    <row r="83" spans="1:11" ht="19.5" customHeight="1" x14ac:dyDescent="0.25">
      <c r="A83" s="51">
        <v>63</v>
      </c>
      <c r="B83" s="79">
        <v>46107</v>
      </c>
      <c r="C83" s="31" t="s">
        <v>284</v>
      </c>
      <c r="D83" s="80" t="s">
        <v>285</v>
      </c>
      <c r="E83" s="80" t="s">
        <v>282</v>
      </c>
      <c r="F83" s="51">
        <v>3</v>
      </c>
      <c r="G83" s="51">
        <v>1</v>
      </c>
      <c r="H83" s="51"/>
      <c r="I83" s="51"/>
      <c r="J83" s="76">
        <v>3000000</v>
      </c>
      <c r="K83" s="77"/>
    </row>
    <row r="84" spans="1:11" ht="19.5" customHeight="1" x14ac:dyDescent="0.25">
      <c r="A84" s="51">
        <v>64</v>
      </c>
      <c r="B84" s="50"/>
      <c r="C84" s="31" t="s">
        <v>286</v>
      </c>
      <c r="D84" s="80" t="s">
        <v>78</v>
      </c>
      <c r="E84" s="80" t="s">
        <v>282</v>
      </c>
      <c r="F84" s="51">
        <v>3</v>
      </c>
      <c r="G84" s="51">
        <v>1</v>
      </c>
      <c r="H84" s="51"/>
      <c r="I84" s="51"/>
      <c r="J84" s="76">
        <v>3000000</v>
      </c>
      <c r="K84" s="77"/>
    </row>
    <row r="85" spans="1:11" ht="19.5" customHeight="1" x14ac:dyDescent="0.25">
      <c r="A85" s="51">
        <v>65</v>
      </c>
      <c r="B85" s="50"/>
      <c r="C85" s="31" t="s">
        <v>91</v>
      </c>
      <c r="D85" s="80" t="s">
        <v>164</v>
      </c>
      <c r="E85" s="80" t="s">
        <v>250</v>
      </c>
      <c r="F85" s="51">
        <v>2</v>
      </c>
      <c r="G85" s="51">
        <v>2</v>
      </c>
      <c r="H85" s="51"/>
      <c r="I85" s="51"/>
      <c r="J85" s="76">
        <v>4000000</v>
      </c>
      <c r="K85" s="77"/>
    </row>
    <row r="86" spans="1:11" ht="19.5" customHeight="1" x14ac:dyDescent="0.25">
      <c r="A86" s="51">
        <v>66</v>
      </c>
      <c r="B86" s="50"/>
      <c r="C86" s="31" t="s">
        <v>287</v>
      </c>
      <c r="D86" s="80" t="s">
        <v>288</v>
      </c>
      <c r="E86" s="80" t="s">
        <v>282</v>
      </c>
      <c r="F86" s="51">
        <v>3</v>
      </c>
      <c r="G86" s="51">
        <v>1</v>
      </c>
      <c r="H86" s="51">
        <v>1</v>
      </c>
      <c r="I86" s="51"/>
      <c r="J86" s="76">
        <v>3300000</v>
      </c>
      <c r="K86" s="77"/>
    </row>
    <row r="87" spans="1:11" ht="19.5" customHeight="1" x14ac:dyDescent="0.25">
      <c r="A87" s="51">
        <v>67</v>
      </c>
      <c r="B87" s="50"/>
      <c r="C87" s="231" t="s">
        <v>289</v>
      </c>
      <c r="D87" s="238" t="s">
        <v>290</v>
      </c>
      <c r="E87" s="238" t="s">
        <v>282</v>
      </c>
      <c r="F87" s="234">
        <v>3</v>
      </c>
      <c r="G87" s="234">
        <v>1</v>
      </c>
      <c r="H87" s="234">
        <v>1</v>
      </c>
      <c r="I87" s="234"/>
      <c r="J87" s="76">
        <v>1100000</v>
      </c>
      <c r="K87" s="77"/>
    </row>
    <row r="88" spans="1:11" ht="19.5" customHeight="1" x14ac:dyDescent="0.25">
      <c r="A88" s="51">
        <v>68</v>
      </c>
      <c r="B88" s="50"/>
      <c r="C88" s="231"/>
      <c r="D88" s="238"/>
      <c r="E88" s="238"/>
      <c r="F88" s="234"/>
      <c r="G88" s="234"/>
      <c r="H88" s="234"/>
      <c r="I88" s="234"/>
      <c r="J88" s="76">
        <v>2200000</v>
      </c>
      <c r="K88" s="77"/>
    </row>
    <row r="89" spans="1:11" ht="19.5" customHeight="1" x14ac:dyDescent="0.25">
      <c r="A89" s="51">
        <v>69</v>
      </c>
      <c r="B89" s="79">
        <v>46108</v>
      </c>
      <c r="C89" s="31" t="s">
        <v>291</v>
      </c>
      <c r="D89" s="80" t="s">
        <v>292</v>
      </c>
      <c r="E89" s="80" t="s">
        <v>250</v>
      </c>
      <c r="F89" s="51">
        <v>2</v>
      </c>
      <c r="G89" s="51">
        <v>1</v>
      </c>
      <c r="H89" s="51">
        <v>1</v>
      </c>
      <c r="I89" s="51"/>
      <c r="J89" s="76">
        <v>2200000</v>
      </c>
      <c r="K89" s="77"/>
    </row>
    <row r="90" spans="1:11" ht="19.5" customHeight="1" x14ac:dyDescent="0.25">
      <c r="A90" s="51">
        <v>70</v>
      </c>
      <c r="B90" s="50"/>
      <c r="C90" s="31" t="s">
        <v>184</v>
      </c>
      <c r="D90" s="31" t="s">
        <v>184</v>
      </c>
      <c r="E90" s="80" t="s">
        <v>293</v>
      </c>
      <c r="F90" s="51">
        <v>4</v>
      </c>
      <c r="G90" s="51">
        <v>1</v>
      </c>
      <c r="H90" s="51"/>
      <c r="I90" s="51"/>
      <c r="J90" s="76">
        <v>4000000</v>
      </c>
      <c r="K90" s="77"/>
    </row>
    <row r="91" spans="1:11" ht="27.75" customHeight="1" x14ac:dyDescent="0.25">
      <c r="A91" s="51">
        <v>71</v>
      </c>
      <c r="B91" s="79">
        <v>46109</v>
      </c>
      <c r="C91" s="31" t="s">
        <v>294</v>
      </c>
      <c r="D91" s="80" t="s">
        <v>295</v>
      </c>
      <c r="E91" s="80" t="s">
        <v>296</v>
      </c>
      <c r="F91" s="51">
        <v>6</v>
      </c>
      <c r="G91" s="51">
        <v>1</v>
      </c>
      <c r="H91" s="51"/>
      <c r="I91" s="51"/>
      <c r="J91" s="76">
        <v>6000000</v>
      </c>
      <c r="K91" s="77"/>
    </row>
    <row r="92" spans="1:11" ht="19.5" customHeight="1" x14ac:dyDescent="0.25">
      <c r="A92" s="51">
        <v>72</v>
      </c>
      <c r="B92" s="79">
        <v>46110</v>
      </c>
      <c r="C92" s="31" t="s">
        <v>297</v>
      </c>
      <c r="D92" s="80" t="s">
        <v>213</v>
      </c>
      <c r="E92" s="80">
        <v>46110</v>
      </c>
      <c r="F92" s="51">
        <v>1</v>
      </c>
      <c r="G92" s="51">
        <v>1</v>
      </c>
      <c r="H92" s="51"/>
      <c r="I92" s="51"/>
      <c r="J92" s="76">
        <v>1000000</v>
      </c>
      <c r="K92" s="77"/>
    </row>
    <row r="93" spans="1:11" ht="25.5" customHeight="1" x14ac:dyDescent="0.25">
      <c r="A93" s="51">
        <v>73</v>
      </c>
      <c r="B93" s="79">
        <v>46112</v>
      </c>
      <c r="C93" s="31" t="s">
        <v>298</v>
      </c>
      <c r="D93" s="80" t="s">
        <v>268</v>
      </c>
      <c r="E93" s="80" t="s">
        <v>299</v>
      </c>
      <c r="F93" s="51">
        <v>9</v>
      </c>
      <c r="G93" s="51">
        <v>1</v>
      </c>
      <c r="H93" s="51"/>
      <c r="I93" s="51"/>
      <c r="J93" s="76">
        <v>9000000</v>
      </c>
      <c r="K93" s="77"/>
    </row>
    <row r="94" spans="1:11" ht="19.5" customHeight="1" x14ac:dyDescent="0.25">
      <c r="A94" s="51">
        <v>74</v>
      </c>
      <c r="B94" s="50"/>
      <c r="C94" s="31" t="s">
        <v>298</v>
      </c>
      <c r="D94" s="80" t="s">
        <v>268</v>
      </c>
      <c r="E94" s="80" t="s">
        <v>300</v>
      </c>
      <c r="F94" s="51">
        <v>7</v>
      </c>
      <c r="G94" s="51">
        <v>1</v>
      </c>
      <c r="H94" s="51"/>
      <c r="I94" s="51"/>
      <c r="J94" s="76">
        <v>7000000</v>
      </c>
      <c r="K94" s="77"/>
    </row>
    <row r="95" spans="1:11" ht="27.75" customHeight="1" x14ac:dyDescent="0.25">
      <c r="A95" s="51">
        <v>75</v>
      </c>
      <c r="B95" s="50"/>
      <c r="C95" s="58" t="s">
        <v>185</v>
      </c>
      <c r="D95" s="59" t="s">
        <v>65</v>
      </c>
      <c r="E95" s="80" t="s">
        <v>299</v>
      </c>
      <c r="F95" s="51">
        <v>9</v>
      </c>
      <c r="G95" s="51">
        <v>1</v>
      </c>
      <c r="H95" s="51"/>
      <c r="I95" s="51"/>
      <c r="J95" s="76">
        <v>9000000</v>
      </c>
      <c r="K95" s="77"/>
    </row>
    <row r="96" spans="1:11" ht="20.100000000000001" customHeight="1" x14ac:dyDescent="0.25">
      <c r="A96" s="179"/>
      <c r="B96" s="179"/>
      <c r="C96" s="225" t="s">
        <v>8</v>
      </c>
      <c r="D96" s="226"/>
      <c r="E96" s="227"/>
      <c r="F96" s="180">
        <f>SUM(F77:F95)</f>
        <v>398</v>
      </c>
      <c r="G96" s="180">
        <f>SUM(G77:G95)</f>
        <v>90</v>
      </c>
      <c r="H96" s="180">
        <f>SUM(H77:H95)</f>
        <v>55</v>
      </c>
      <c r="I96" s="180">
        <f>SUM(I77:I95)</f>
        <v>16</v>
      </c>
      <c r="J96" s="181">
        <f>SUM(J77:J95)</f>
        <v>553700000</v>
      </c>
      <c r="K96" s="182"/>
    </row>
    <row r="97" spans="1:11" ht="15.75" x14ac:dyDescent="0.25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</row>
    <row r="98" spans="1:11" ht="15.75" x14ac:dyDescent="0.25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</row>
    <row r="99" spans="1:11" ht="15.75" x14ac:dyDescent="0.25">
      <c r="A99" s="33"/>
      <c r="B99" s="33"/>
      <c r="C99" s="33"/>
      <c r="D99" s="33"/>
      <c r="E99" s="33"/>
      <c r="F99" s="33"/>
      <c r="G99" s="33"/>
      <c r="H99" s="218" t="s">
        <v>304</v>
      </c>
      <c r="I99" s="219"/>
      <c r="J99" s="219"/>
      <c r="K99" s="219"/>
    </row>
    <row r="100" spans="1:11" ht="15.75" x14ac:dyDescent="0.25">
      <c r="A100" s="33"/>
      <c r="B100" s="33"/>
      <c r="C100" s="33"/>
      <c r="D100" s="33"/>
      <c r="E100" s="33"/>
      <c r="F100" s="33"/>
      <c r="G100" s="33"/>
      <c r="H100" s="218" t="s">
        <v>42</v>
      </c>
      <c r="I100" s="219"/>
      <c r="J100" s="219"/>
      <c r="K100" s="219"/>
    </row>
    <row r="101" spans="1:11" ht="15.75" x14ac:dyDescent="0.25">
      <c r="A101" s="33"/>
      <c r="B101" s="33"/>
      <c r="C101" s="33"/>
      <c r="D101" s="33"/>
      <c r="E101" s="33"/>
      <c r="F101" s="33"/>
      <c r="G101" s="33"/>
      <c r="H101" s="218" t="s">
        <v>38</v>
      </c>
      <c r="I101" s="219"/>
      <c r="J101" s="219"/>
      <c r="K101" s="219"/>
    </row>
    <row r="102" spans="1:11" ht="15.75" x14ac:dyDescent="0.25">
      <c r="A102" s="33"/>
      <c r="B102" s="33"/>
      <c r="C102" s="33"/>
      <c r="D102" s="33"/>
      <c r="E102" s="33"/>
      <c r="F102" s="33"/>
      <c r="G102" s="33"/>
      <c r="H102" s="218" t="s">
        <v>39</v>
      </c>
      <c r="I102" s="219"/>
      <c r="J102" s="219"/>
      <c r="K102" s="219"/>
    </row>
    <row r="103" spans="1:11" ht="15.75" x14ac:dyDescent="0.25">
      <c r="A103" s="33"/>
      <c r="B103" s="33"/>
      <c r="C103" s="33"/>
      <c r="D103" s="33"/>
      <c r="E103" s="33"/>
      <c r="F103" s="33"/>
      <c r="G103" s="33"/>
      <c r="H103" s="220" t="s">
        <v>40</v>
      </c>
      <c r="I103" s="220"/>
      <c r="J103" s="220"/>
      <c r="K103" s="220"/>
    </row>
    <row r="104" spans="1:11" ht="15.75" x14ac:dyDescent="0.25">
      <c r="A104" s="33"/>
      <c r="B104" s="33"/>
      <c r="C104" s="33"/>
      <c r="D104" s="33"/>
      <c r="E104" s="33"/>
      <c r="F104" s="33"/>
      <c r="G104" s="33"/>
      <c r="H104" s="29"/>
      <c r="I104" s="32"/>
      <c r="J104" s="32"/>
      <c r="K104" s="32"/>
    </row>
    <row r="105" spans="1:11" ht="15.75" x14ac:dyDescent="0.25">
      <c r="A105" s="33"/>
      <c r="B105" s="33"/>
      <c r="C105" s="33"/>
      <c r="D105" s="33"/>
      <c r="E105" s="33"/>
      <c r="F105" s="33"/>
      <c r="G105" s="33"/>
      <c r="H105" s="29"/>
      <c r="I105" s="30"/>
      <c r="J105" s="30"/>
      <c r="K105" s="29"/>
    </row>
    <row r="106" spans="1:11" ht="15.75" x14ac:dyDescent="0.25">
      <c r="A106" s="33"/>
      <c r="B106" s="33"/>
      <c r="C106" s="33"/>
      <c r="D106" s="33"/>
      <c r="E106" s="33"/>
      <c r="F106" s="33"/>
      <c r="G106" s="33"/>
      <c r="H106" s="218" t="s">
        <v>43</v>
      </c>
      <c r="I106" s="219"/>
      <c r="J106" s="219"/>
      <c r="K106" s="219"/>
    </row>
    <row r="107" spans="1:11" ht="15.75" x14ac:dyDescent="0.25">
      <c r="A107" s="33"/>
      <c r="B107" s="33"/>
      <c r="C107" s="33"/>
      <c r="D107" s="33"/>
      <c r="E107" s="33"/>
      <c r="F107" s="33"/>
      <c r="G107" s="33"/>
      <c r="H107" s="218" t="s">
        <v>44</v>
      </c>
      <c r="I107" s="219"/>
      <c r="J107" s="219"/>
      <c r="K107" s="219"/>
    </row>
    <row r="108" spans="1:11" ht="15.75" x14ac:dyDescent="0.25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</row>
    <row r="109" spans="1:11" ht="15.75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</row>
    <row r="110" spans="1:11" ht="15.75" x14ac:dyDescent="0.25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</row>
    <row r="111" spans="1:11" ht="15.75" x14ac:dyDescent="0.25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</row>
  </sheetData>
  <mergeCells count="34">
    <mergeCell ref="H87:H88"/>
    <mergeCell ref="I87:I88"/>
    <mergeCell ref="C87:C88"/>
    <mergeCell ref="D87:D88"/>
    <mergeCell ref="E87:E88"/>
    <mergeCell ref="F87:F88"/>
    <mergeCell ref="G87:G88"/>
    <mergeCell ref="H43:H44"/>
    <mergeCell ref="I43:I44"/>
    <mergeCell ref="A1:K1"/>
    <mergeCell ref="A2:K2"/>
    <mergeCell ref="C34:E34"/>
    <mergeCell ref="B40:E40"/>
    <mergeCell ref="C71:E71"/>
    <mergeCell ref="C43:C44"/>
    <mergeCell ref="D43:D44"/>
    <mergeCell ref="E43:E44"/>
    <mergeCell ref="F43:F44"/>
    <mergeCell ref="H106:K106"/>
    <mergeCell ref="H107:K107"/>
    <mergeCell ref="A3:K3"/>
    <mergeCell ref="A4:K4"/>
    <mergeCell ref="C96:E96"/>
    <mergeCell ref="H99:K99"/>
    <mergeCell ref="H100:K100"/>
    <mergeCell ref="H101:K101"/>
    <mergeCell ref="H102:K102"/>
    <mergeCell ref="H103:K103"/>
    <mergeCell ref="B77:E77"/>
    <mergeCell ref="C10:C11"/>
    <mergeCell ref="E10:E11"/>
    <mergeCell ref="F10:F11"/>
    <mergeCell ref="G10:G11"/>
    <mergeCell ref="G43:G44"/>
  </mergeCells>
  <pageMargins left="0.23622047244094491" right="3.937007874015748E-2" top="0.35433070866141736" bottom="0.35433070866141736" header="0.31496062992125984" footer="0.31496062992125984"/>
  <pageSetup paperSize="122" scale="80" orientation="landscape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4022B-736A-4205-B15D-E1AF67772E28}">
  <dimension ref="A1:K45"/>
  <sheetViews>
    <sheetView showGridLines="0" topLeftCell="A19" zoomScaleNormal="100" workbookViewId="0">
      <selection activeCell="O26" sqref="O26"/>
    </sheetView>
  </sheetViews>
  <sheetFormatPr defaultRowHeight="15" x14ac:dyDescent="0.25"/>
  <cols>
    <col min="1" max="1" width="4.28515625" customWidth="1"/>
    <col min="2" max="2" width="14.42578125" customWidth="1"/>
    <col min="3" max="3" width="32.85546875" customWidth="1"/>
    <col min="4" max="4" width="22.5703125" customWidth="1"/>
    <col min="5" max="5" width="54.7109375" customWidth="1"/>
    <col min="6" max="7" width="8" customWidth="1"/>
    <col min="8" max="8" width="9.140625" customWidth="1"/>
    <col min="9" max="9" width="9.85546875" customWidth="1"/>
    <col min="10" max="10" width="18.7109375" customWidth="1"/>
    <col min="11" max="11" width="13.140625" customWidth="1"/>
    <col min="17" max="17" width="10.140625" bestFit="1" customWidth="1"/>
    <col min="19" max="19" width="14.28515625" customWidth="1"/>
  </cols>
  <sheetData>
    <row r="1" spans="1:11" ht="18" x14ac:dyDescent="0.25">
      <c r="A1" s="221" t="s">
        <v>85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</row>
    <row r="2" spans="1:11" ht="18" x14ac:dyDescent="0.25">
      <c r="A2" s="221" t="s">
        <v>9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</row>
    <row r="3" spans="1:11" ht="18" x14ac:dyDescent="0.25">
      <c r="A3" s="221" t="s">
        <v>84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</row>
    <row r="4" spans="1:11" ht="18" x14ac:dyDescent="0.25">
      <c r="A4" s="221" t="s">
        <v>310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</row>
    <row r="5" spans="1:11" ht="21" customHeight="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</row>
    <row r="6" spans="1:11" ht="35.25" customHeight="1" x14ac:dyDescent="0.25">
      <c r="A6" s="34" t="s">
        <v>0</v>
      </c>
      <c r="B6" s="34" t="s">
        <v>10</v>
      </c>
      <c r="C6" s="34" t="s">
        <v>5</v>
      </c>
      <c r="D6" s="35" t="s">
        <v>1</v>
      </c>
      <c r="E6" s="35" t="s">
        <v>6</v>
      </c>
      <c r="F6" s="35" t="s">
        <v>3</v>
      </c>
      <c r="G6" s="35" t="s">
        <v>4</v>
      </c>
      <c r="H6" s="35" t="s">
        <v>7</v>
      </c>
      <c r="I6" s="35" t="s">
        <v>32</v>
      </c>
      <c r="J6" s="35" t="s">
        <v>2</v>
      </c>
      <c r="K6" s="36" t="s">
        <v>34</v>
      </c>
    </row>
    <row r="7" spans="1:11" ht="21" customHeight="1" x14ac:dyDescent="0.25">
      <c r="A7" s="37">
        <v>1</v>
      </c>
      <c r="B7" s="184">
        <v>46113</v>
      </c>
      <c r="C7" s="39" t="s">
        <v>126</v>
      </c>
      <c r="D7" s="40" t="s">
        <v>311</v>
      </c>
      <c r="E7" s="185" t="s">
        <v>312</v>
      </c>
      <c r="F7" s="43">
        <v>5</v>
      </c>
      <c r="G7" s="43">
        <v>1</v>
      </c>
      <c r="H7" s="43"/>
      <c r="I7" s="43"/>
      <c r="J7" s="186">
        <v>5000000</v>
      </c>
      <c r="K7" s="43"/>
    </row>
    <row r="8" spans="1:11" ht="21" customHeight="1" x14ac:dyDescent="0.25">
      <c r="A8" s="44">
        <v>2</v>
      </c>
      <c r="B8" s="184">
        <v>46114</v>
      </c>
      <c r="C8" s="31" t="s">
        <v>91</v>
      </c>
      <c r="D8" s="31" t="s">
        <v>164</v>
      </c>
      <c r="E8" s="138" t="s">
        <v>313</v>
      </c>
      <c r="F8" s="53">
        <v>3</v>
      </c>
      <c r="G8" s="53">
        <v>2</v>
      </c>
      <c r="H8" s="53"/>
      <c r="I8" s="53"/>
      <c r="J8" s="139">
        <v>6000000</v>
      </c>
      <c r="K8" s="49"/>
    </row>
    <row r="9" spans="1:11" ht="21" customHeight="1" x14ac:dyDescent="0.25">
      <c r="A9" s="44">
        <v>3</v>
      </c>
      <c r="B9" s="50"/>
      <c r="C9" s="46" t="s">
        <v>246</v>
      </c>
      <c r="D9" s="46" t="s">
        <v>249</v>
      </c>
      <c r="E9" s="31" t="s">
        <v>314</v>
      </c>
      <c r="F9" s="51">
        <v>3</v>
      </c>
      <c r="G9" s="51">
        <v>1</v>
      </c>
      <c r="H9" s="51"/>
      <c r="I9" s="51"/>
      <c r="J9" s="52">
        <v>3000000</v>
      </c>
      <c r="K9" s="53"/>
    </row>
    <row r="10" spans="1:11" ht="21" customHeight="1" x14ac:dyDescent="0.25">
      <c r="A10" s="44">
        <v>4</v>
      </c>
      <c r="B10" s="50"/>
      <c r="C10" s="54" t="s">
        <v>286</v>
      </c>
      <c r="D10" s="55" t="s">
        <v>78</v>
      </c>
      <c r="E10" s="54" t="s">
        <v>315</v>
      </c>
      <c r="F10" s="56">
        <v>2</v>
      </c>
      <c r="G10" s="56">
        <v>1</v>
      </c>
      <c r="H10" s="56"/>
      <c r="I10" s="56"/>
      <c r="J10" s="57">
        <v>2000000</v>
      </c>
      <c r="K10" s="53"/>
    </row>
    <row r="11" spans="1:11" ht="21" customHeight="1" x14ac:dyDescent="0.25">
      <c r="A11" s="44">
        <v>5</v>
      </c>
      <c r="B11" s="142"/>
      <c r="C11" s="193" t="s">
        <v>317</v>
      </c>
      <c r="D11" s="59" t="s">
        <v>316</v>
      </c>
      <c r="E11" s="192" t="s">
        <v>318</v>
      </c>
      <c r="F11" s="51">
        <v>8</v>
      </c>
      <c r="G11" s="51">
        <v>1</v>
      </c>
      <c r="H11" s="51"/>
      <c r="I11" s="51"/>
      <c r="J11" s="52">
        <v>8000000</v>
      </c>
      <c r="K11" s="53"/>
    </row>
    <row r="12" spans="1:11" ht="31.5" customHeight="1" x14ac:dyDescent="0.25">
      <c r="A12" s="44">
        <v>6</v>
      </c>
      <c r="B12" s="142"/>
      <c r="C12" s="31" t="s">
        <v>132</v>
      </c>
      <c r="D12" s="60" t="s">
        <v>133</v>
      </c>
      <c r="E12" s="80" t="s">
        <v>319</v>
      </c>
      <c r="F12" s="61">
        <v>6</v>
      </c>
      <c r="G12" s="61">
        <v>1</v>
      </c>
      <c r="H12" s="61"/>
      <c r="I12" s="61"/>
      <c r="J12" s="52">
        <v>6000000</v>
      </c>
      <c r="K12" s="53"/>
    </row>
    <row r="13" spans="1:11" ht="21" customHeight="1" x14ac:dyDescent="0.25">
      <c r="A13" s="44">
        <v>7</v>
      </c>
      <c r="B13" s="184">
        <v>46116</v>
      </c>
      <c r="C13" s="58" t="s">
        <v>212</v>
      </c>
      <c r="D13" s="59" t="s">
        <v>213</v>
      </c>
      <c r="E13" s="80">
        <v>46116</v>
      </c>
      <c r="F13" s="61">
        <v>1</v>
      </c>
      <c r="G13" s="61">
        <v>1</v>
      </c>
      <c r="H13" s="61"/>
      <c r="I13" s="61"/>
      <c r="J13" s="52">
        <v>1000000</v>
      </c>
      <c r="K13" s="53"/>
    </row>
    <row r="14" spans="1:11" ht="21" customHeight="1" x14ac:dyDescent="0.25">
      <c r="A14" s="44">
        <v>8</v>
      </c>
      <c r="B14" s="184">
        <v>46120</v>
      </c>
      <c r="C14" s="46" t="s">
        <v>96</v>
      </c>
      <c r="D14" s="46" t="s">
        <v>123</v>
      </c>
      <c r="E14" s="80" t="s">
        <v>320</v>
      </c>
      <c r="F14" s="61">
        <v>9</v>
      </c>
      <c r="G14" s="61">
        <v>1</v>
      </c>
      <c r="H14" s="61">
        <v>1</v>
      </c>
      <c r="I14" s="61"/>
      <c r="J14" s="52">
        <v>9900000</v>
      </c>
      <c r="K14" s="53"/>
    </row>
    <row r="15" spans="1:11" ht="21" customHeight="1" x14ac:dyDescent="0.25">
      <c r="A15" s="44">
        <v>9</v>
      </c>
      <c r="B15" s="184">
        <v>46122</v>
      </c>
      <c r="C15" s="46" t="s">
        <v>114</v>
      </c>
      <c r="D15" s="46" t="s">
        <v>52</v>
      </c>
      <c r="E15" s="80" t="s">
        <v>334</v>
      </c>
      <c r="F15" s="61">
        <v>6</v>
      </c>
      <c r="G15" s="61">
        <v>1</v>
      </c>
      <c r="H15" s="61">
        <v>1</v>
      </c>
      <c r="I15" s="61"/>
      <c r="J15" s="52">
        <v>6600000</v>
      </c>
      <c r="K15" s="53"/>
    </row>
    <row r="16" spans="1:11" ht="21" customHeight="1" x14ac:dyDescent="0.25">
      <c r="A16" s="44">
        <v>10</v>
      </c>
      <c r="B16" s="184"/>
      <c r="C16" s="54" t="s">
        <v>286</v>
      </c>
      <c r="D16" s="55" t="s">
        <v>78</v>
      </c>
      <c r="E16" s="80" t="s">
        <v>334</v>
      </c>
      <c r="F16" s="61">
        <v>6</v>
      </c>
      <c r="G16" s="61">
        <v>1</v>
      </c>
      <c r="H16" s="61"/>
      <c r="I16" s="61"/>
      <c r="J16" s="52">
        <v>6000000</v>
      </c>
      <c r="K16" s="53"/>
    </row>
    <row r="17" spans="1:11" ht="21" customHeight="1" x14ac:dyDescent="0.25">
      <c r="A17" s="44">
        <v>11</v>
      </c>
      <c r="B17" s="184"/>
      <c r="C17" s="46" t="s">
        <v>335</v>
      </c>
      <c r="D17" s="46" t="s">
        <v>336</v>
      </c>
      <c r="E17" s="80" t="s">
        <v>337</v>
      </c>
      <c r="F17" s="61">
        <v>5</v>
      </c>
      <c r="G17" s="61">
        <v>1</v>
      </c>
      <c r="H17" s="61"/>
      <c r="I17" s="61"/>
      <c r="J17" s="52">
        <v>5000000</v>
      </c>
      <c r="K17" s="53"/>
    </row>
    <row r="18" spans="1:11" ht="21" customHeight="1" x14ac:dyDescent="0.25">
      <c r="A18" s="44">
        <v>12</v>
      </c>
      <c r="B18" s="184">
        <v>46129</v>
      </c>
      <c r="C18" s="31" t="s">
        <v>91</v>
      </c>
      <c r="D18" s="31" t="s">
        <v>164</v>
      </c>
      <c r="E18" s="80" t="s">
        <v>321</v>
      </c>
      <c r="F18" s="61">
        <v>4</v>
      </c>
      <c r="G18" s="61">
        <v>1</v>
      </c>
      <c r="H18" s="61"/>
      <c r="I18" s="61"/>
      <c r="J18" s="52">
        <v>4000000</v>
      </c>
      <c r="K18" s="53"/>
    </row>
    <row r="19" spans="1:11" ht="21" customHeight="1" x14ac:dyDescent="0.25">
      <c r="A19" s="44">
        <v>13</v>
      </c>
      <c r="B19" s="184">
        <v>46131</v>
      </c>
      <c r="C19" s="46" t="s">
        <v>134</v>
      </c>
      <c r="D19" s="46" t="s">
        <v>322</v>
      </c>
      <c r="E19" s="80" t="s">
        <v>323</v>
      </c>
      <c r="F19" s="61">
        <v>6</v>
      </c>
      <c r="G19" s="61">
        <v>1</v>
      </c>
      <c r="H19" s="61"/>
      <c r="I19" s="61"/>
      <c r="J19" s="52">
        <v>6000000</v>
      </c>
      <c r="K19" s="53"/>
    </row>
    <row r="20" spans="1:11" ht="21" customHeight="1" x14ac:dyDescent="0.25">
      <c r="A20" s="44">
        <v>14</v>
      </c>
      <c r="B20" s="184">
        <v>46132</v>
      </c>
      <c r="C20" s="31" t="s">
        <v>324</v>
      </c>
      <c r="D20" s="31" t="s">
        <v>52</v>
      </c>
      <c r="E20" s="80" t="s">
        <v>299</v>
      </c>
      <c r="F20" s="61">
        <v>9</v>
      </c>
      <c r="G20" s="61">
        <v>4</v>
      </c>
      <c r="H20" s="61"/>
      <c r="I20" s="61"/>
      <c r="J20" s="52">
        <v>36000000</v>
      </c>
      <c r="K20" s="53"/>
    </row>
    <row r="21" spans="1:11" ht="21" customHeight="1" x14ac:dyDescent="0.25">
      <c r="A21" s="44">
        <v>15</v>
      </c>
      <c r="B21" s="184">
        <v>46133</v>
      </c>
      <c r="C21" s="31" t="s">
        <v>109</v>
      </c>
      <c r="D21" s="46" t="s">
        <v>110</v>
      </c>
      <c r="E21" s="80" t="s">
        <v>325</v>
      </c>
      <c r="F21" s="61">
        <v>5</v>
      </c>
      <c r="G21" s="61">
        <v>1</v>
      </c>
      <c r="H21" s="61"/>
      <c r="I21" s="61"/>
      <c r="J21" s="52">
        <v>5000000</v>
      </c>
      <c r="K21" s="53"/>
    </row>
    <row r="22" spans="1:11" ht="21" customHeight="1" x14ac:dyDescent="0.25">
      <c r="A22" s="44">
        <v>16</v>
      </c>
      <c r="B22" s="184">
        <v>46136</v>
      </c>
      <c r="C22" s="31" t="s">
        <v>326</v>
      </c>
      <c r="D22" s="46" t="s">
        <v>139</v>
      </c>
      <c r="E22" s="80">
        <v>46138</v>
      </c>
      <c r="F22" s="61">
        <v>1</v>
      </c>
      <c r="G22" s="61">
        <v>1</v>
      </c>
      <c r="H22" s="61"/>
      <c r="I22" s="61"/>
      <c r="J22" s="52">
        <v>1000000</v>
      </c>
      <c r="K22" s="53"/>
    </row>
    <row r="23" spans="1:11" ht="21" customHeight="1" x14ac:dyDescent="0.25">
      <c r="A23" s="44">
        <v>17</v>
      </c>
      <c r="B23" s="184">
        <v>46139</v>
      </c>
      <c r="C23" s="146" t="s">
        <v>184</v>
      </c>
      <c r="D23" s="187" t="s">
        <v>184</v>
      </c>
      <c r="E23" s="80" t="s">
        <v>327</v>
      </c>
      <c r="F23" s="61">
        <v>2</v>
      </c>
      <c r="G23" s="61">
        <v>1</v>
      </c>
      <c r="H23" s="61"/>
      <c r="I23" s="61"/>
      <c r="J23" s="52">
        <v>2000000</v>
      </c>
      <c r="K23" s="53"/>
    </row>
    <row r="24" spans="1:11" ht="31.5" customHeight="1" x14ac:dyDescent="0.25">
      <c r="A24" s="44">
        <v>18</v>
      </c>
      <c r="B24" s="62"/>
      <c r="C24" s="58" t="s">
        <v>185</v>
      </c>
      <c r="D24" s="59" t="s">
        <v>65</v>
      </c>
      <c r="E24" s="80" t="s">
        <v>328</v>
      </c>
      <c r="F24" s="61">
        <v>16</v>
      </c>
      <c r="G24" s="61">
        <v>1</v>
      </c>
      <c r="H24" s="61"/>
      <c r="I24" s="61"/>
      <c r="J24" s="52">
        <v>16000000</v>
      </c>
      <c r="K24" s="53"/>
    </row>
    <row r="25" spans="1:11" ht="21" customHeight="1" x14ac:dyDescent="0.25">
      <c r="A25" s="44">
        <v>19</v>
      </c>
      <c r="B25" s="184">
        <v>46140</v>
      </c>
      <c r="C25" s="46" t="s">
        <v>114</v>
      </c>
      <c r="D25" s="46" t="s">
        <v>52</v>
      </c>
      <c r="E25" s="80" t="s">
        <v>329</v>
      </c>
      <c r="F25" s="61">
        <v>6</v>
      </c>
      <c r="G25" s="61">
        <v>1</v>
      </c>
      <c r="H25" s="61">
        <v>1</v>
      </c>
      <c r="I25" s="61"/>
      <c r="J25" s="52">
        <v>6600000</v>
      </c>
      <c r="K25" s="53"/>
    </row>
    <row r="26" spans="1:11" ht="31.5" customHeight="1" x14ac:dyDescent="0.25">
      <c r="A26" s="44">
        <v>20</v>
      </c>
      <c r="B26" s="184">
        <v>46141</v>
      </c>
      <c r="C26" s="31" t="s">
        <v>132</v>
      </c>
      <c r="D26" s="60" t="s">
        <v>133</v>
      </c>
      <c r="E26" s="80" t="s">
        <v>330</v>
      </c>
      <c r="F26" s="61">
        <v>10</v>
      </c>
      <c r="G26" s="61">
        <v>1</v>
      </c>
      <c r="H26" s="61"/>
      <c r="I26" s="61"/>
      <c r="J26" s="52">
        <v>10000000</v>
      </c>
      <c r="K26" s="53"/>
    </row>
    <row r="27" spans="1:11" ht="21" customHeight="1" x14ac:dyDescent="0.25">
      <c r="A27" s="44">
        <v>21</v>
      </c>
      <c r="B27" s="184"/>
      <c r="C27" s="39" t="s">
        <v>126</v>
      </c>
      <c r="D27" s="40" t="s">
        <v>311</v>
      </c>
      <c r="E27" s="138" t="s">
        <v>367</v>
      </c>
      <c r="F27" s="53">
        <v>4</v>
      </c>
      <c r="G27" s="53">
        <v>1</v>
      </c>
      <c r="H27" s="53"/>
      <c r="I27" s="53"/>
      <c r="J27" s="139">
        <v>4000000</v>
      </c>
      <c r="K27" s="53"/>
    </row>
    <row r="28" spans="1:11" ht="21" customHeight="1" x14ac:dyDescent="0.25">
      <c r="A28" s="44">
        <v>22</v>
      </c>
      <c r="B28" s="184">
        <v>46142</v>
      </c>
      <c r="C28" s="31" t="s">
        <v>286</v>
      </c>
      <c r="D28" s="80" t="s">
        <v>78</v>
      </c>
      <c r="E28" s="80" t="s">
        <v>331</v>
      </c>
      <c r="F28" s="61">
        <v>3</v>
      </c>
      <c r="G28" s="61">
        <v>1</v>
      </c>
      <c r="H28" s="61"/>
      <c r="I28" s="61"/>
      <c r="J28" s="52">
        <v>3000000</v>
      </c>
      <c r="K28" s="53"/>
    </row>
    <row r="29" spans="1:11" ht="21" customHeight="1" x14ac:dyDescent="0.25">
      <c r="A29" s="44">
        <v>23</v>
      </c>
      <c r="B29" s="51"/>
      <c r="C29" s="31" t="s">
        <v>298</v>
      </c>
      <c r="D29" s="80" t="s">
        <v>268</v>
      </c>
      <c r="E29" s="31" t="s">
        <v>332</v>
      </c>
      <c r="F29" s="51">
        <v>13</v>
      </c>
      <c r="G29" s="51">
        <v>1</v>
      </c>
      <c r="H29" s="51"/>
      <c r="I29" s="61"/>
      <c r="J29" s="52">
        <v>13000000</v>
      </c>
      <c r="K29" s="53"/>
    </row>
    <row r="30" spans="1:11" ht="21" customHeight="1" x14ac:dyDescent="0.25">
      <c r="A30" s="44">
        <v>24</v>
      </c>
      <c r="B30" s="62"/>
      <c r="C30" s="31" t="s">
        <v>298</v>
      </c>
      <c r="D30" s="80" t="s">
        <v>268</v>
      </c>
      <c r="E30" s="31" t="s">
        <v>333</v>
      </c>
      <c r="F30" s="51">
        <v>9</v>
      </c>
      <c r="G30" s="51">
        <v>1</v>
      </c>
      <c r="H30" s="51"/>
      <c r="I30" s="51"/>
      <c r="J30" s="139">
        <v>9000000</v>
      </c>
      <c r="K30" s="53"/>
    </row>
    <row r="31" spans="1:11" ht="21" customHeight="1" x14ac:dyDescent="0.25">
      <c r="A31" s="67"/>
      <c r="B31" s="67"/>
      <c r="C31" s="222" t="s">
        <v>8</v>
      </c>
      <c r="D31" s="223"/>
      <c r="E31" s="224"/>
      <c r="F31" s="68">
        <f>SUM(F7:F30)</f>
        <v>142</v>
      </c>
      <c r="G31" s="68">
        <f>SUM(G7:G30)</f>
        <v>28</v>
      </c>
      <c r="H31" s="68">
        <f>SUM(H7:H30)</f>
        <v>3</v>
      </c>
      <c r="I31" s="68">
        <f>SUM(I7:I30)</f>
        <v>0</v>
      </c>
      <c r="J31" s="69">
        <f>SUM(J7:J30)</f>
        <v>174100000</v>
      </c>
      <c r="K31" s="70"/>
    </row>
    <row r="32" spans="1:11" ht="15.75" x14ac:dyDescent="0.2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</row>
    <row r="33" spans="1:11" ht="15.75" customHeight="1" x14ac:dyDescent="0.2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</row>
    <row r="34" spans="1:11" ht="15.75" customHeight="1" x14ac:dyDescent="0.25">
      <c r="A34" s="33"/>
      <c r="B34" s="33"/>
      <c r="C34" s="33"/>
      <c r="D34" s="33"/>
      <c r="E34" s="33"/>
      <c r="F34" s="33"/>
      <c r="G34" s="33"/>
      <c r="H34" s="217" t="s">
        <v>424</v>
      </c>
      <c r="I34" s="217"/>
      <c r="J34" s="217"/>
      <c r="K34" s="72"/>
    </row>
    <row r="35" spans="1:11" ht="15.75" customHeight="1" x14ac:dyDescent="0.25">
      <c r="A35" s="33"/>
      <c r="B35" s="217" t="s">
        <v>360</v>
      </c>
      <c r="C35" s="217"/>
      <c r="D35" s="217"/>
      <c r="E35" s="33"/>
      <c r="F35" s="33"/>
      <c r="G35" s="33"/>
      <c r="H35" s="33"/>
      <c r="I35" s="33"/>
      <c r="J35" s="33"/>
      <c r="K35" s="33"/>
    </row>
    <row r="36" spans="1:11" ht="15.75" customHeight="1" x14ac:dyDescent="0.25">
      <c r="A36" s="33"/>
      <c r="B36" s="217" t="s">
        <v>42</v>
      </c>
      <c r="C36" s="217"/>
      <c r="D36" s="217"/>
      <c r="E36" s="33"/>
      <c r="F36" s="33"/>
      <c r="G36" s="33"/>
      <c r="H36" s="218" t="s">
        <v>361</v>
      </c>
      <c r="I36" s="218"/>
      <c r="J36" s="218"/>
      <c r="K36" s="189"/>
    </row>
    <row r="37" spans="1:11" ht="15.75" x14ac:dyDescent="0.25">
      <c r="A37" s="33"/>
      <c r="B37" s="217" t="s">
        <v>38</v>
      </c>
      <c r="C37" s="217"/>
      <c r="D37" s="217"/>
      <c r="E37" s="33"/>
      <c r="F37" s="33"/>
      <c r="G37" s="33"/>
      <c r="H37" s="218"/>
      <c r="I37" s="219"/>
      <c r="J37" s="219"/>
      <c r="K37" s="219"/>
    </row>
    <row r="38" spans="1:11" ht="15.75" x14ac:dyDescent="0.25">
      <c r="A38" s="33"/>
      <c r="B38" s="217" t="s">
        <v>39</v>
      </c>
      <c r="C38" s="217"/>
      <c r="D38" s="217"/>
      <c r="E38" s="33"/>
      <c r="F38" s="33"/>
      <c r="G38" s="33"/>
      <c r="H38" s="218"/>
      <c r="I38" s="219"/>
      <c r="J38" s="219"/>
      <c r="K38" s="219"/>
    </row>
    <row r="39" spans="1:11" ht="15.75" x14ac:dyDescent="0.25">
      <c r="A39" s="33"/>
      <c r="B39" s="217" t="s">
        <v>40</v>
      </c>
      <c r="C39" s="217"/>
      <c r="D39" s="217"/>
      <c r="E39" s="33"/>
      <c r="F39" s="33"/>
      <c r="G39" s="33"/>
      <c r="H39" s="218"/>
      <c r="I39" s="219"/>
      <c r="J39" s="219"/>
      <c r="K39" s="219"/>
    </row>
    <row r="40" spans="1:11" ht="15.75" customHeight="1" x14ac:dyDescent="0.25">
      <c r="A40" s="33"/>
      <c r="B40" s="33"/>
      <c r="C40" s="33"/>
      <c r="D40" s="33"/>
      <c r="E40" s="33"/>
      <c r="F40" s="33"/>
      <c r="G40" s="33"/>
      <c r="H40" s="220"/>
      <c r="I40" s="220"/>
      <c r="J40" s="220"/>
      <c r="K40" s="220"/>
    </row>
    <row r="41" spans="1:11" ht="15.75" customHeight="1" x14ac:dyDescent="0.25">
      <c r="A41" s="33"/>
      <c r="B41" s="33"/>
      <c r="C41" s="33"/>
      <c r="D41" s="33"/>
      <c r="E41" s="33"/>
      <c r="F41" s="33"/>
      <c r="G41" s="33"/>
      <c r="H41" s="29"/>
      <c r="I41" s="30"/>
      <c r="J41" s="30"/>
      <c r="K41" s="29"/>
    </row>
    <row r="42" spans="1:11" ht="15.75" x14ac:dyDescent="0.25">
      <c r="A42" s="33"/>
      <c r="B42" s="217" t="s">
        <v>43</v>
      </c>
      <c r="C42" s="217"/>
      <c r="D42" s="217"/>
      <c r="E42" s="33"/>
      <c r="F42" s="33"/>
      <c r="G42" s="33"/>
      <c r="H42" s="218"/>
      <c r="I42" s="219"/>
      <c r="J42" s="219"/>
      <c r="K42" s="219"/>
    </row>
    <row r="43" spans="1:11" ht="15.75" x14ac:dyDescent="0.25">
      <c r="A43" s="33"/>
      <c r="B43" s="217" t="s">
        <v>44</v>
      </c>
      <c r="C43" s="217"/>
      <c r="D43" s="217"/>
      <c r="E43" s="33"/>
      <c r="F43" s="33"/>
      <c r="G43" s="33"/>
      <c r="H43" s="218" t="s">
        <v>362</v>
      </c>
      <c r="I43" s="218"/>
      <c r="J43" s="218"/>
      <c r="K43" s="189"/>
    </row>
    <row r="44" spans="1:11" ht="15.75" x14ac:dyDescent="0.25">
      <c r="A44" s="33"/>
      <c r="B44" s="33"/>
      <c r="C44" s="33"/>
      <c r="D44" s="33"/>
      <c r="E44" s="33"/>
      <c r="F44" s="33"/>
      <c r="G44" s="33"/>
      <c r="H44" s="217" t="s">
        <v>363</v>
      </c>
      <c r="I44" s="217"/>
      <c r="J44" s="217"/>
      <c r="K44" s="33"/>
    </row>
    <row r="45" spans="1:11" ht="15.75" x14ac:dyDescent="0.2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</row>
  </sheetData>
  <mergeCells count="21">
    <mergeCell ref="H34:J34"/>
    <mergeCell ref="A1:K1"/>
    <mergeCell ref="A2:K2"/>
    <mergeCell ref="C31:E31"/>
    <mergeCell ref="A3:K3"/>
    <mergeCell ref="A4:K4"/>
    <mergeCell ref="B35:D35"/>
    <mergeCell ref="B36:D36"/>
    <mergeCell ref="H36:J36"/>
    <mergeCell ref="B37:D37"/>
    <mergeCell ref="B38:D38"/>
    <mergeCell ref="H38:K38"/>
    <mergeCell ref="H37:K37"/>
    <mergeCell ref="H44:J44"/>
    <mergeCell ref="B39:D39"/>
    <mergeCell ref="H39:K39"/>
    <mergeCell ref="B42:D42"/>
    <mergeCell ref="H42:K42"/>
    <mergeCell ref="B43:D43"/>
    <mergeCell ref="H43:J43"/>
    <mergeCell ref="H40:K40"/>
  </mergeCells>
  <pageMargins left="0.31496062992125984" right="3.937007874015748E-2" top="0.55118110236220474" bottom="0.55118110236220474" header="0.31496062992125984" footer="0.31496062992125984"/>
  <pageSetup paperSize="122" scale="80" orientation="landscape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748B4-5DE8-47BA-A160-3CBBD88188E7}">
  <dimension ref="A1:K63"/>
  <sheetViews>
    <sheetView showGridLines="0" topLeftCell="A42" zoomScaleNormal="100" workbookViewId="0">
      <selection activeCell="A51" sqref="A51:K63"/>
    </sheetView>
  </sheetViews>
  <sheetFormatPr defaultRowHeight="15" x14ac:dyDescent="0.25"/>
  <cols>
    <col min="1" max="1" width="4.28515625" customWidth="1"/>
    <col min="2" max="2" width="13.42578125" customWidth="1"/>
    <col min="3" max="3" width="31.42578125" customWidth="1"/>
    <col min="4" max="4" width="22.5703125" customWidth="1"/>
    <col min="5" max="5" width="55.5703125" customWidth="1"/>
    <col min="6" max="7" width="8" customWidth="1"/>
    <col min="8" max="8" width="9.140625" customWidth="1"/>
    <col min="9" max="9" width="9.85546875" customWidth="1"/>
    <col min="10" max="10" width="18.7109375" customWidth="1"/>
    <col min="11" max="11" width="16.7109375" customWidth="1"/>
    <col min="17" max="17" width="10.140625" bestFit="1" customWidth="1"/>
    <col min="19" max="19" width="14.28515625" customWidth="1"/>
  </cols>
  <sheetData>
    <row r="1" spans="1:11" ht="18" x14ac:dyDescent="0.25">
      <c r="A1" s="221" t="s">
        <v>85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</row>
    <row r="2" spans="1:11" ht="18" x14ac:dyDescent="0.25">
      <c r="A2" s="221" t="s">
        <v>9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</row>
    <row r="3" spans="1:11" ht="18" x14ac:dyDescent="0.25">
      <c r="A3" s="221" t="s">
        <v>84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</row>
    <row r="4" spans="1:11" ht="18" x14ac:dyDescent="0.25">
      <c r="A4" s="221" t="s">
        <v>412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</row>
    <row r="5" spans="1:11" ht="21" customHeight="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</row>
    <row r="6" spans="1:11" ht="29.25" customHeight="1" x14ac:dyDescent="0.25">
      <c r="A6" s="34" t="s">
        <v>0</v>
      </c>
      <c r="B6" s="34" t="s">
        <v>10</v>
      </c>
      <c r="C6" s="34" t="s">
        <v>5</v>
      </c>
      <c r="D6" s="35" t="s">
        <v>1</v>
      </c>
      <c r="E6" s="35" t="s">
        <v>6</v>
      </c>
      <c r="F6" s="35" t="s">
        <v>3</v>
      </c>
      <c r="G6" s="35" t="s">
        <v>4</v>
      </c>
      <c r="H6" s="35" t="s">
        <v>7</v>
      </c>
      <c r="I6" s="35" t="s">
        <v>32</v>
      </c>
      <c r="J6" s="35" t="s">
        <v>2</v>
      </c>
      <c r="K6" s="36" t="s">
        <v>34</v>
      </c>
    </row>
    <row r="7" spans="1:11" ht="19.5" customHeight="1" x14ac:dyDescent="0.25">
      <c r="A7" s="37">
        <v>1</v>
      </c>
      <c r="B7" s="38" t="s">
        <v>342</v>
      </c>
      <c r="C7" s="39" t="s">
        <v>343</v>
      </c>
      <c r="D7" s="40" t="s">
        <v>344</v>
      </c>
      <c r="E7" s="88" t="s">
        <v>345</v>
      </c>
      <c r="F7" s="41">
        <v>9</v>
      </c>
      <c r="G7" s="41">
        <v>1</v>
      </c>
      <c r="H7" s="41"/>
      <c r="I7" s="41"/>
      <c r="J7" s="42">
        <v>9000000</v>
      </c>
      <c r="K7" s="43"/>
    </row>
    <row r="8" spans="1:11" ht="30.75" customHeight="1" x14ac:dyDescent="0.25">
      <c r="A8" s="44">
        <v>2</v>
      </c>
      <c r="B8" s="45"/>
      <c r="C8" s="31" t="s">
        <v>346</v>
      </c>
      <c r="D8" s="46" t="s">
        <v>347</v>
      </c>
      <c r="E8" s="89" t="s">
        <v>348</v>
      </c>
      <c r="F8" s="47">
        <v>4</v>
      </c>
      <c r="G8" s="47">
        <v>1</v>
      </c>
      <c r="H8" s="47"/>
      <c r="I8" s="47"/>
      <c r="J8" s="48">
        <v>6000000</v>
      </c>
      <c r="K8" s="194" t="s">
        <v>70</v>
      </c>
    </row>
    <row r="9" spans="1:11" ht="31.5" customHeight="1" x14ac:dyDescent="0.25">
      <c r="A9" s="44">
        <v>3</v>
      </c>
      <c r="B9" s="50"/>
      <c r="C9" s="46" t="s">
        <v>349</v>
      </c>
      <c r="D9" s="46" t="s">
        <v>350</v>
      </c>
      <c r="E9" s="31" t="s">
        <v>351</v>
      </c>
      <c r="F9" s="51">
        <v>2</v>
      </c>
      <c r="G9" s="51">
        <v>1</v>
      </c>
      <c r="H9" s="51">
        <v>3</v>
      </c>
      <c r="I9" s="51"/>
      <c r="J9" s="52">
        <v>2600000</v>
      </c>
      <c r="K9" s="53"/>
    </row>
    <row r="10" spans="1:11" ht="20.100000000000001" customHeight="1" x14ac:dyDescent="0.25">
      <c r="A10" s="44">
        <v>4</v>
      </c>
      <c r="B10" s="38">
        <v>46148</v>
      </c>
      <c r="C10" s="241" t="s">
        <v>114</v>
      </c>
      <c r="D10" s="241" t="s">
        <v>52</v>
      </c>
      <c r="E10" s="239" t="s">
        <v>352</v>
      </c>
      <c r="F10" s="246">
        <v>5</v>
      </c>
      <c r="G10" s="246">
        <v>1</v>
      </c>
      <c r="H10" s="56"/>
      <c r="I10" s="56"/>
      <c r="J10" s="57">
        <v>4950000</v>
      </c>
      <c r="K10" s="53"/>
    </row>
    <row r="11" spans="1:11" ht="20.100000000000001" customHeight="1" x14ac:dyDescent="0.25">
      <c r="A11" s="44">
        <v>5</v>
      </c>
      <c r="B11" s="45"/>
      <c r="C11" s="242"/>
      <c r="D11" s="242"/>
      <c r="E11" s="240"/>
      <c r="F11" s="247"/>
      <c r="G11" s="247"/>
      <c r="H11" s="51"/>
      <c r="I11" s="51"/>
      <c r="J11" s="207">
        <v>550000</v>
      </c>
      <c r="K11" s="53"/>
    </row>
    <row r="12" spans="1:11" ht="20.100000000000001" customHeight="1" x14ac:dyDescent="0.25">
      <c r="A12" s="44">
        <v>6</v>
      </c>
      <c r="B12" s="45"/>
      <c r="C12" s="241" t="s">
        <v>353</v>
      </c>
      <c r="D12" s="243" t="s">
        <v>354</v>
      </c>
      <c r="E12" s="243" t="s">
        <v>355</v>
      </c>
      <c r="F12" s="61">
        <v>50</v>
      </c>
      <c r="G12" s="61">
        <v>1</v>
      </c>
      <c r="H12" s="61"/>
      <c r="I12" s="61"/>
      <c r="J12" s="52">
        <v>50000000</v>
      </c>
      <c r="K12" s="53"/>
    </row>
    <row r="13" spans="1:11" ht="20.100000000000001" customHeight="1" x14ac:dyDescent="0.25">
      <c r="A13" s="44">
        <v>7</v>
      </c>
      <c r="B13" s="62"/>
      <c r="C13" s="248"/>
      <c r="D13" s="244"/>
      <c r="E13" s="244"/>
      <c r="F13" s="61">
        <v>50</v>
      </c>
      <c r="G13" s="61">
        <v>1</v>
      </c>
      <c r="H13" s="61"/>
      <c r="I13" s="61"/>
      <c r="J13" s="52">
        <v>50000000</v>
      </c>
      <c r="K13" s="53"/>
    </row>
    <row r="14" spans="1:11" ht="20.100000000000001" customHeight="1" x14ac:dyDescent="0.25">
      <c r="A14" s="44">
        <v>8</v>
      </c>
      <c r="B14" s="62"/>
      <c r="C14" s="242"/>
      <c r="D14" s="245"/>
      <c r="E14" s="245"/>
      <c r="F14" s="61">
        <v>100</v>
      </c>
      <c r="G14" s="61">
        <v>1</v>
      </c>
      <c r="H14" s="61">
        <v>1</v>
      </c>
      <c r="I14" s="61">
        <v>1</v>
      </c>
      <c r="J14" s="52">
        <v>30000000</v>
      </c>
      <c r="K14" s="53" t="s">
        <v>356</v>
      </c>
    </row>
    <row r="15" spans="1:11" ht="20.100000000000001" customHeight="1" x14ac:dyDescent="0.25">
      <c r="A15" s="44">
        <v>9</v>
      </c>
      <c r="B15" s="38">
        <v>46149</v>
      </c>
      <c r="C15" s="46" t="s">
        <v>96</v>
      </c>
      <c r="D15" s="46" t="s">
        <v>123</v>
      </c>
      <c r="E15" s="188" t="s">
        <v>358</v>
      </c>
      <c r="F15" s="61">
        <v>9</v>
      </c>
      <c r="G15" s="61">
        <v>1</v>
      </c>
      <c r="H15" s="61">
        <v>1</v>
      </c>
      <c r="I15" s="61"/>
      <c r="J15" s="52">
        <v>9900000</v>
      </c>
      <c r="K15" s="53"/>
    </row>
    <row r="16" spans="1:11" ht="20.100000000000001" customHeight="1" x14ac:dyDescent="0.25">
      <c r="A16" s="44">
        <v>10</v>
      </c>
      <c r="B16" s="38">
        <v>46150</v>
      </c>
      <c r="C16" s="54" t="s">
        <v>286</v>
      </c>
      <c r="D16" s="55" t="s">
        <v>78</v>
      </c>
      <c r="E16" s="80" t="s">
        <v>357</v>
      </c>
      <c r="F16" s="61">
        <v>2</v>
      </c>
      <c r="G16" s="61">
        <v>1</v>
      </c>
      <c r="H16" s="61"/>
      <c r="I16" s="61"/>
      <c r="J16" s="52">
        <v>2000000</v>
      </c>
      <c r="K16" s="53"/>
    </row>
    <row r="17" spans="1:11" ht="28.5" customHeight="1" x14ac:dyDescent="0.25">
      <c r="A17" s="44">
        <v>11</v>
      </c>
      <c r="B17" s="38">
        <v>46151</v>
      </c>
      <c r="C17" s="58" t="s">
        <v>231</v>
      </c>
      <c r="D17" s="59" t="s">
        <v>340</v>
      </c>
      <c r="E17" s="80">
        <v>46152</v>
      </c>
      <c r="F17" s="61">
        <v>1</v>
      </c>
      <c r="G17" s="61">
        <v>1</v>
      </c>
      <c r="H17" s="61">
        <v>3</v>
      </c>
      <c r="I17" s="61"/>
      <c r="J17" s="52">
        <v>1300000</v>
      </c>
      <c r="K17" s="53"/>
    </row>
    <row r="18" spans="1:11" ht="20.100000000000001" customHeight="1" x14ac:dyDescent="0.25">
      <c r="A18" s="44">
        <v>12</v>
      </c>
      <c r="B18" s="38">
        <v>46153</v>
      </c>
      <c r="C18" s="46" t="s">
        <v>368</v>
      </c>
      <c r="D18" s="46" t="s">
        <v>369</v>
      </c>
      <c r="E18" s="80" t="s">
        <v>370</v>
      </c>
      <c r="F18" s="61">
        <v>3</v>
      </c>
      <c r="G18" s="61">
        <v>1</v>
      </c>
      <c r="H18" s="61"/>
      <c r="I18" s="61"/>
      <c r="J18" s="52">
        <v>3000000</v>
      </c>
      <c r="K18" s="53"/>
    </row>
    <row r="19" spans="1:11" ht="20.100000000000001" customHeight="1" x14ac:dyDescent="0.25">
      <c r="A19" s="44">
        <v>13</v>
      </c>
      <c r="B19" s="38">
        <v>46154</v>
      </c>
      <c r="C19" s="39" t="s">
        <v>126</v>
      </c>
      <c r="D19" s="40" t="s">
        <v>311</v>
      </c>
      <c r="E19" s="80" t="s">
        <v>371</v>
      </c>
      <c r="F19" s="61">
        <v>5</v>
      </c>
      <c r="G19" s="61">
        <v>1</v>
      </c>
      <c r="H19" s="61"/>
      <c r="I19" s="61"/>
      <c r="J19" s="52">
        <v>5000000</v>
      </c>
      <c r="K19" s="53"/>
    </row>
    <row r="20" spans="1:11" ht="20.100000000000001" customHeight="1" x14ac:dyDescent="0.25">
      <c r="A20" s="44">
        <v>14</v>
      </c>
      <c r="B20" s="38">
        <v>46155</v>
      </c>
      <c r="C20" s="39" t="s">
        <v>280</v>
      </c>
      <c r="D20" s="40" t="s">
        <v>150</v>
      </c>
      <c r="E20" s="80" t="s">
        <v>372</v>
      </c>
      <c r="F20" s="61">
        <v>4</v>
      </c>
      <c r="G20" s="61">
        <v>1</v>
      </c>
      <c r="H20" s="61"/>
      <c r="I20" s="61"/>
      <c r="J20" s="52">
        <v>4000000</v>
      </c>
      <c r="K20" s="53"/>
    </row>
    <row r="21" spans="1:11" ht="20.100000000000001" customHeight="1" x14ac:dyDescent="0.25">
      <c r="A21" s="44">
        <v>15</v>
      </c>
      <c r="B21" s="38"/>
      <c r="C21" s="54" t="s">
        <v>286</v>
      </c>
      <c r="D21" s="55" t="s">
        <v>78</v>
      </c>
      <c r="E21" s="80" t="s">
        <v>372</v>
      </c>
      <c r="F21" s="61">
        <v>4</v>
      </c>
      <c r="G21" s="61">
        <v>1</v>
      </c>
      <c r="H21" s="61"/>
      <c r="I21" s="61"/>
      <c r="J21" s="52">
        <v>4000000</v>
      </c>
      <c r="K21" s="53"/>
    </row>
    <row r="22" spans="1:11" ht="32.25" customHeight="1" x14ac:dyDescent="0.25">
      <c r="A22" s="44">
        <v>16</v>
      </c>
      <c r="B22" s="184">
        <v>46156</v>
      </c>
      <c r="C22" s="31" t="s">
        <v>346</v>
      </c>
      <c r="D22" s="46" t="s">
        <v>347</v>
      </c>
      <c r="E22" s="80" t="s">
        <v>373</v>
      </c>
      <c r="F22" s="61">
        <v>5</v>
      </c>
      <c r="G22" s="61">
        <v>1</v>
      </c>
      <c r="H22" s="61"/>
      <c r="I22" s="61"/>
      <c r="J22" s="52">
        <v>6000000</v>
      </c>
      <c r="K22" s="53" t="s">
        <v>70</v>
      </c>
    </row>
    <row r="23" spans="1:11" ht="20.100000000000001" customHeight="1" x14ac:dyDescent="0.25">
      <c r="A23" s="44">
        <v>17</v>
      </c>
      <c r="B23" s="38">
        <v>46157</v>
      </c>
      <c r="C23" s="31" t="s">
        <v>317</v>
      </c>
      <c r="D23" s="46" t="s">
        <v>365</v>
      </c>
      <c r="E23" s="80" t="s">
        <v>366</v>
      </c>
      <c r="F23" s="61">
        <v>8</v>
      </c>
      <c r="G23" s="61">
        <v>1</v>
      </c>
      <c r="H23" s="61">
        <v>1</v>
      </c>
      <c r="I23" s="61"/>
      <c r="J23" s="52">
        <v>8800000</v>
      </c>
      <c r="K23" s="53"/>
    </row>
    <row r="24" spans="1:11" ht="20.100000000000001" customHeight="1" x14ac:dyDescent="0.25">
      <c r="A24" s="44">
        <v>18</v>
      </c>
      <c r="B24" s="38">
        <v>46163</v>
      </c>
      <c r="C24" s="31" t="s">
        <v>114</v>
      </c>
      <c r="D24" s="46" t="s">
        <v>52</v>
      </c>
      <c r="E24" s="80" t="s">
        <v>374</v>
      </c>
      <c r="F24" s="61">
        <v>6</v>
      </c>
      <c r="G24" s="61">
        <v>2</v>
      </c>
      <c r="H24" s="61">
        <v>1</v>
      </c>
      <c r="I24" s="61"/>
      <c r="J24" s="52">
        <v>13200000</v>
      </c>
      <c r="K24" s="53"/>
    </row>
    <row r="25" spans="1:11" ht="20.100000000000001" customHeight="1" x14ac:dyDescent="0.25">
      <c r="A25" s="44">
        <v>19</v>
      </c>
      <c r="B25" s="38">
        <v>46164</v>
      </c>
      <c r="C25" s="65" t="s">
        <v>205</v>
      </c>
      <c r="D25" s="66" t="s">
        <v>375</v>
      </c>
      <c r="E25" s="80" t="s">
        <v>376</v>
      </c>
      <c r="F25" s="61">
        <v>5</v>
      </c>
      <c r="G25" s="61">
        <v>1</v>
      </c>
      <c r="H25" s="61"/>
      <c r="I25" s="61"/>
      <c r="J25" s="52">
        <v>5000000</v>
      </c>
      <c r="K25" s="53"/>
    </row>
    <row r="26" spans="1:11" ht="20.100000000000001" customHeight="1" x14ac:dyDescent="0.25">
      <c r="A26" s="44">
        <v>20</v>
      </c>
      <c r="B26" s="62"/>
      <c r="C26" s="64" t="s">
        <v>377</v>
      </c>
      <c r="D26" s="64" t="s">
        <v>378</v>
      </c>
      <c r="E26" s="80" t="s">
        <v>379</v>
      </c>
      <c r="F26" s="61">
        <v>10</v>
      </c>
      <c r="G26" s="61">
        <v>1</v>
      </c>
      <c r="H26" s="61"/>
      <c r="I26" s="61"/>
      <c r="J26" s="52">
        <v>10000000</v>
      </c>
      <c r="K26" s="53"/>
    </row>
    <row r="27" spans="1:11" ht="20.25" customHeight="1" x14ac:dyDescent="0.25">
      <c r="A27" s="44">
        <v>21</v>
      </c>
      <c r="B27" s="62"/>
      <c r="C27" s="54" t="s">
        <v>286</v>
      </c>
      <c r="D27" s="55" t="s">
        <v>78</v>
      </c>
      <c r="E27" s="80" t="s">
        <v>380</v>
      </c>
      <c r="F27" s="61">
        <v>2</v>
      </c>
      <c r="G27" s="61">
        <v>1</v>
      </c>
      <c r="H27" s="61"/>
      <c r="I27" s="61"/>
      <c r="J27" s="52">
        <v>2000000</v>
      </c>
      <c r="K27" s="53"/>
    </row>
    <row r="28" spans="1:11" ht="24" customHeight="1" x14ac:dyDescent="0.25">
      <c r="A28" s="44">
        <v>22</v>
      </c>
      <c r="B28" s="62"/>
      <c r="C28" s="46" t="s">
        <v>381</v>
      </c>
      <c r="D28" s="46" t="s">
        <v>383</v>
      </c>
      <c r="E28" s="80" t="s">
        <v>382</v>
      </c>
      <c r="F28" s="61">
        <v>6</v>
      </c>
      <c r="G28" s="61">
        <v>1</v>
      </c>
      <c r="H28" s="61"/>
      <c r="I28" s="61"/>
      <c r="J28" s="52">
        <v>6000000</v>
      </c>
      <c r="K28" s="53"/>
    </row>
    <row r="29" spans="1:11" ht="20.100000000000001" customHeight="1" x14ac:dyDescent="0.25">
      <c r="A29" s="44">
        <v>23</v>
      </c>
      <c r="B29" s="38">
        <v>46166</v>
      </c>
      <c r="C29" s="46" t="s">
        <v>384</v>
      </c>
      <c r="D29" s="46" t="s">
        <v>63</v>
      </c>
      <c r="E29" s="89" t="s">
        <v>385</v>
      </c>
      <c r="F29" s="47">
        <v>3</v>
      </c>
      <c r="G29" s="47">
        <v>1</v>
      </c>
      <c r="H29" s="47"/>
      <c r="I29" s="47"/>
      <c r="J29" s="48">
        <v>3300000</v>
      </c>
      <c r="K29" s="53"/>
    </row>
    <row r="30" spans="1:11" ht="20.100000000000001" customHeight="1" x14ac:dyDescent="0.25">
      <c r="A30" s="44">
        <v>24</v>
      </c>
      <c r="B30" s="38">
        <v>46167</v>
      </c>
      <c r="C30" s="39" t="s">
        <v>126</v>
      </c>
      <c r="D30" s="40" t="s">
        <v>311</v>
      </c>
      <c r="E30" s="80" t="s">
        <v>389</v>
      </c>
      <c r="F30" s="61">
        <v>3</v>
      </c>
      <c r="G30" s="61">
        <v>1</v>
      </c>
      <c r="H30" s="61"/>
      <c r="I30" s="61"/>
      <c r="J30" s="52">
        <v>3000000</v>
      </c>
      <c r="K30" s="53"/>
    </row>
    <row r="31" spans="1:11" ht="20.100000000000001" customHeight="1" x14ac:dyDescent="0.25">
      <c r="A31" s="44">
        <v>25</v>
      </c>
      <c r="B31" s="51"/>
      <c r="C31" s="31" t="s">
        <v>390</v>
      </c>
      <c r="D31" s="60" t="s">
        <v>414</v>
      </c>
      <c r="E31" s="31" t="s">
        <v>391</v>
      </c>
      <c r="F31" s="51">
        <v>4</v>
      </c>
      <c r="G31" s="51">
        <v>1</v>
      </c>
      <c r="H31" s="51"/>
      <c r="I31" s="61"/>
      <c r="J31" s="52">
        <v>4000000</v>
      </c>
      <c r="K31" s="53"/>
    </row>
    <row r="32" spans="1:11" ht="20.100000000000001" customHeight="1" x14ac:dyDescent="0.25">
      <c r="A32" s="44">
        <v>26</v>
      </c>
      <c r="B32" s="62"/>
      <c r="C32" s="31" t="s">
        <v>386</v>
      </c>
      <c r="D32" s="60" t="s">
        <v>387</v>
      </c>
      <c r="E32" s="31" t="s">
        <v>388</v>
      </c>
      <c r="F32" s="51">
        <v>1</v>
      </c>
      <c r="G32" s="51">
        <v>1</v>
      </c>
      <c r="H32" s="51">
        <v>1</v>
      </c>
      <c r="I32" s="51"/>
      <c r="J32" s="48">
        <v>4400000</v>
      </c>
      <c r="K32" s="53"/>
    </row>
    <row r="33" spans="1:11" ht="27" customHeight="1" x14ac:dyDescent="0.25">
      <c r="A33" s="44">
        <v>27</v>
      </c>
      <c r="B33" s="62"/>
      <c r="C33" s="31" t="s">
        <v>132</v>
      </c>
      <c r="D33" s="46" t="s">
        <v>65</v>
      </c>
      <c r="E33" s="80" t="s">
        <v>392</v>
      </c>
      <c r="F33" s="51">
        <v>10</v>
      </c>
      <c r="G33" s="51">
        <v>1</v>
      </c>
      <c r="H33" s="51"/>
      <c r="I33" s="51"/>
      <c r="J33" s="48">
        <v>10000000</v>
      </c>
      <c r="K33" s="53"/>
    </row>
    <row r="34" spans="1:11" ht="19.5" customHeight="1" x14ac:dyDescent="0.25">
      <c r="A34" s="44">
        <v>28</v>
      </c>
      <c r="B34" s="45">
        <v>46168</v>
      </c>
      <c r="C34" s="46" t="s">
        <v>368</v>
      </c>
      <c r="D34" s="46" t="s">
        <v>369</v>
      </c>
      <c r="E34" s="31" t="s">
        <v>393</v>
      </c>
      <c r="F34" s="51">
        <v>3</v>
      </c>
      <c r="G34" s="51">
        <v>1</v>
      </c>
      <c r="H34" s="51"/>
      <c r="I34" s="51"/>
      <c r="J34" s="48">
        <v>3000000</v>
      </c>
      <c r="K34" s="53"/>
    </row>
    <row r="35" spans="1:11" ht="19.5" customHeight="1" x14ac:dyDescent="0.25">
      <c r="A35" s="44">
        <v>29</v>
      </c>
      <c r="B35" s="62"/>
      <c r="C35" s="54" t="s">
        <v>286</v>
      </c>
      <c r="D35" s="55" t="s">
        <v>78</v>
      </c>
      <c r="E35" s="31" t="s">
        <v>394</v>
      </c>
      <c r="F35" s="51">
        <v>5</v>
      </c>
      <c r="G35" s="51">
        <v>1</v>
      </c>
      <c r="H35" s="51"/>
      <c r="I35" s="51"/>
      <c r="J35" s="48">
        <v>5000000</v>
      </c>
      <c r="K35" s="53"/>
    </row>
    <row r="36" spans="1:11" ht="19.5" customHeight="1" x14ac:dyDescent="0.25">
      <c r="A36" s="44">
        <v>30</v>
      </c>
      <c r="B36" s="50"/>
      <c r="C36" s="31" t="s">
        <v>280</v>
      </c>
      <c r="D36" s="46" t="s">
        <v>150</v>
      </c>
      <c r="E36" s="31" t="s">
        <v>395</v>
      </c>
      <c r="F36" s="51">
        <v>4</v>
      </c>
      <c r="G36" s="51">
        <v>1</v>
      </c>
      <c r="H36" s="51"/>
      <c r="I36" s="51"/>
      <c r="J36" s="48">
        <v>4000000</v>
      </c>
      <c r="K36" s="53"/>
    </row>
    <row r="37" spans="1:11" ht="19.5" customHeight="1" x14ac:dyDescent="0.25">
      <c r="A37" s="44">
        <v>31</v>
      </c>
      <c r="B37" s="50"/>
      <c r="C37" s="54" t="s">
        <v>286</v>
      </c>
      <c r="D37" s="55" t="s">
        <v>78</v>
      </c>
      <c r="E37" s="80">
        <v>46174</v>
      </c>
      <c r="F37" s="51">
        <v>1</v>
      </c>
      <c r="G37" s="51">
        <v>1</v>
      </c>
      <c r="H37" s="51"/>
      <c r="I37" s="51"/>
      <c r="J37" s="48">
        <v>1000000</v>
      </c>
      <c r="K37" s="53"/>
    </row>
    <row r="38" spans="1:11" ht="19.5" customHeight="1" x14ac:dyDescent="0.25">
      <c r="A38" s="44">
        <v>32</v>
      </c>
      <c r="B38" s="45">
        <v>46170</v>
      </c>
      <c r="C38" s="31" t="s">
        <v>184</v>
      </c>
      <c r="D38" s="46" t="s">
        <v>184</v>
      </c>
      <c r="E38" s="80" t="s">
        <v>396</v>
      </c>
      <c r="F38" s="51">
        <v>2</v>
      </c>
      <c r="G38" s="51">
        <v>1</v>
      </c>
      <c r="H38" s="51"/>
      <c r="I38" s="51"/>
      <c r="J38" s="52">
        <v>2000000</v>
      </c>
      <c r="K38" s="53"/>
    </row>
    <row r="39" spans="1:11" ht="30" customHeight="1" x14ac:dyDescent="0.25">
      <c r="A39" s="44">
        <v>33</v>
      </c>
      <c r="B39" s="142">
        <v>46171</v>
      </c>
      <c r="C39" s="31" t="s">
        <v>346</v>
      </c>
      <c r="D39" s="46" t="s">
        <v>347</v>
      </c>
      <c r="E39" s="31" t="s">
        <v>397</v>
      </c>
      <c r="F39" s="51">
        <v>6</v>
      </c>
      <c r="G39" s="51">
        <v>1</v>
      </c>
      <c r="H39" s="51"/>
      <c r="I39" s="51"/>
      <c r="J39" s="48">
        <v>6000000</v>
      </c>
      <c r="K39" s="195"/>
    </row>
    <row r="40" spans="1:11" ht="20.100000000000001" customHeight="1" x14ac:dyDescent="0.25">
      <c r="A40" s="44">
        <v>34</v>
      </c>
      <c r="B40" s="45">
        <v>46171</v>
      </c>
      <c r="C40" s="31" t="s">
        <v>398</v>
      </c>
      <c r="D40" s="31" t="s">
        <v>399</v>
      </c>
      <c r="E40" s="90" t="s">
        <v>415</v>
      </c>
      <c r="F40" s="75">
        <v>2</v>
      </c>
      <c r="G40" s="75">
        <v>1</v>
      </c>
      <c r="H40" s="75"/>
      <c r="I40" s="75"/>
      <c r="J40" s="76">
        <v>2000000</v>
      </c>
      <c r="K40" s="77"/>
    </row>
    <row r="41" spans="1:11" ht="20.100000000000001" customHeight="1" x14ac:dyDescent="0.25">
      <c r="A41" s="44">
        <v>35</v>
      </c>
      <c r="B41" s="50"/>
      <c r="C41" s="31" t="s">
        <v>126</v>
      </c>
      <c r="D41" s="46" t="s">
        <v>311</v>
      </c>
      <c r="E41" s="90" t="s">
        <v>400</v>
      </c>
      <c r="F41" s="75">
        <v>5</v>
      </c>
      <c r="G41" s="75">
        <v>1</v>
      </c>
      <c r="H41" s="75"/>
      <c r="I41" s="75"/>
      <c r="J41" s="76">
        <v>5000000</v>
      </c>
      <c r="K41" s="49"/>
    </row>
    <row r="42" spans="1:11" ht="30" customHeight="1" x14ac:dyDescent="0.25">
      <c r="A42" s="44">
        <v>36</v>
      </c>
      <c r="B42" s="50"/>
      <c r="C42" s="31" t="s">
        <v>132</v>
      </c>
      <c r="D42" s="31" t="s">
        <v>133</v>
      </c>
      <c r="E42" s="31" t="s">
        <v>401</v>
      </c>
      <c r="F42" s="51">
        <v>9</v>
      </c>
      <c r="G42" s="51">
        <v>1</v>
      </c>
      <c r="H42" s="51"/>
      <c r="I42" s="51"/>
      <c r="J42" s="52">
        <v>9000000</v>
      </c>
      <c r="K42" s="77"/>
    </row>
    <row r="43" spans="1:11" ht="20.100000000000001" customHeight="1" x14ac:dyDescent="0.25">
      <c r="A43" s="44">
        <v>37</v>
      </c>
      <c r="B43" s="45">
        <v>46172</v>
      </c>
      <c r="C43" s="31" t="s">
        <v>298</v>
      </c>
      <c r="D43" s="80" t="s">
        <v>268</v>
      </c>
      <c r="E43" s="54" t="s">
        <v>402</v>
      </c>
      <c r="F43" s="56">
        <v>14</v>
      </c>
      <c r="G43" s="56">
        <v>1</v>
      </c>
      <c r="H43" s="56"/>
      <c r="I43" s="56"/>
      <c r="J43" s="57">
        <v>22000000</v>
      </c>
      <c r="K43" s="77" t="s">
        <v>403</v>
      </c>
    </row>
    <row r="44" spans="1:11" ht="20.100000000000001" customHeight="1" x14ac:dyDescent="0.25">
      <c r="A44" s="44">
        <v>38</v>
      </c>
      <c r="B44" s="79"/>
      <c r="C44" s="58" t="s">
        <v>404</v>
      </c>
      <c r="D44" s="58" t="s">
        <v>405</v>
      </c>
      <c r="E44" s="80" t="s">
        <v>396</v>
      </c>
      <c r="F44" s="51">
        <v>2</v>
      </c>
      <c r="G44" s="51">
        <v>1</v>
      </c>
      <c r="H44" s="51">
        <v>1</v>
      </c>
      <c r="I44" s="51"/>
      <c r="J44" s="52">
        <v>2200000</v>
      </c>
      <c r="K44" s="77"/>
    </row>
    <row r="45" spans="1:11" ht="28.5" customHeight="1" x14ac:dyDescent="0.25">
      <c r="A45" s="44">
        <v>39</v>
      </c>
      <c r="B45" s="45">
        <v>46173</v>
      </c>
      <c r="C45" s="31" t="s">
        <v>343</v>
      </c>
      <c r="D45" s="80" t="s">
        <v>344</v>
      </c>
      <c r="E45" s="80" t="s">
        <v>406</v>
      </c>
      <c r="F45" s="51">
        <v>6</v>
      </c>
      <c r="G45" s="51">
        <v>1</v>
      </c>
      <c r="H45" s="51"/>
      <c r="I45" s="51"/>
      <c r="J45" s="52">
        <v>6000000</v>
      </c>
      <c r="K45" s="77"/>
    </row>
    <row r="46" spans="1:11" ht="20.100000000000001" customHeight="1" x14ac:dyDescent="0.25">
      <c r="A46" s="44">
        <v>40</v>
      </c>
      <c r="B46" s="50"/>
      <c r="C46" s="31" t="s">
        <v>114</v>
      </c>
      <c r="D46" s="46" t="s">
        <v>52</v>
      </c>
      <c r="E46" s="80" t="s">
        <v>407</v>
      </c>
      <c r="F46" s="51">
        <v>3</v>
      </c>
      <c r="G46" s="51">
        <v>1</v>
      </c>
      <c r="H46" s="51"/>
      <c r="I46" s="51"/>
      <c r="J46" s="52">
        <v>6600000</v>
      </c>
      <c r="K46" s="77"/>
    </row>
    <row r="47" spans="1:11" ht="32.25" customHeight="1" x14ac:dyDescent="0.25">
      <c r="A47" s="44">
        <v>41</v>
      </c>
      <c r="B47" s="50"/>
      <c r="C47" s="31" t="s">
        <v>324</v>
      </c>
      <c r="D47" s="31" t="s">
        <v>52</v>
      </c>
      <c r="E47" s="80" t="s">
        <v>408</v>
      </c>
      <c r="F47" s="51">
        <v>15</v>
      </c>
      <c r="G47" s="51">
        <v>4</v>
      </c>
      <c r="H47" s="51"/>
      <c r="I47" s="51"/>
      <c r="J47" s="52">
        <v>59000000</v>
      </c>
      <c r="K47" s="77" t="s">
        <v>409</v>
      </c>
    </row>
    <row r="48" spans="1:11" ht="20.100000000000001" customHeight="1" x14ac:dyDescent="0.25">
      <c r="A48" s="44">
        <v>42</v>
      </c>
      <c r="B48" s="50"/>
      <c r="C48" s="31" t="s">
        <v>410</v>
      </c>
      <c r="D48" s="31" t="s">
        <v>316</v>
      </c>
      <c r="E48" s="80" t="s">
        <v>411</v>
      </c>
      <c r="F48" s="51">
        <v>5</v>
      </c>
      <c r="G48" s="51">
        <v>1</v>
      </c>
      <c r="H48" s="51"/>
      <c r="I48" s="51">
        <v>1</v>
      </c>
      <c r="J48" s="52">
        <v>5500000</v>
      </c>
      <c r="K48" s="77"/>
    </row>
    <row r="49" spans="1:11" ht="20.100000000000001" customHeight="1" x14ac:dyDescent="0.25">
      <c r="A49" s="67"/>
      <c r="B49" s="67"/>
      <c r="C49" s="222" t="s">
        <v>8</v>
      </c>
      <c r="D49" s="223"/>
      <c r="E49" s="224"/>
      <c r="F49" s="82">
        <f>SUM(F7:F48)</f>
        <v>393</v>
      </c>
      <c r="G49" s="82">
        <f t="shared" ref="G49:J49" si="0">SUM(G7:G48)</f>
        <v>45</v>
      </c>
      <c r="H49" s="82">
        <f t="shared" si="0"/>
        <v>12</v>
      </c>
      <c r="I49" s="82">
        <f t="shared" si="0"/>
        <v>2</v>
      </c>
      <c r="J49" s="83">
        <f t="shared" si="0"/>
        <v>396300000</v>
      </c>
      <c r="K49" s="70"/>
    </row>
    <row r="50" spans="1:11" ht="15.75" x14ac:dyDescent="0.25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</row>
    <row r="51" spans="1:11" ht="15.75" x14ac:dyDescent="0.2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</row>
    <row r="52" spans="1:11" ht="15.75" customHeight="1" x14ac:dyDescent="0.25">
      <c r="A52" s="33"/>
      <c r="B52" s="33"/>
      <c r="C52" s="33"/>
      <c r="D52" s="33"/>
      <c r="E52" s="33"/>
      <c r="F52" s="33"/>
      <c r="G52" s="33"/>
      <c r="H52" s="217" t="s">
        <v>413</v>
      </c>
      <c r="I52" s="217"/>
      <c r="J52" s="217"/>
      <c r="K52" s="72"/>
    </row>
    <row r="53" spans="1:11" ht="15.75" customHeight="1" x14ac:dyDescent="0.25">
      <c r="A53" s="33"/>
      <c r="B53" s="217" t="s">
        <v>360</v>
      </c>
      <c r="C53" s="217"/>
      <c r="D53" s="217"/>
      <c r="E53" s="33"/>
      <c r="F53" s="33"/>
      <c r="G53" s="33"/>
      <c r="H53" s="33"/>
      <c r="I53" s="33"/>
      <c r="J53" s="33"/>
      <c r="K53" s="33"/>
    </row>
    <row r="54" spans="1:11" ht="15.75" customHeight="1" x14ac:dyDescent="0.25">
      <c r="A54" s="33"/>
      <c r="B54" s="217" t="s">
        <v>42</v>
      </c>
      <c r="C54" s="217"/>
      <c r="D54" s="217"/>
      <c r="E54" s="33"/>
      <c r="F54" s="33"/>
      <c r="G54" s="33"/>
      <c r="H54" s="218" t="s">
        <v>361</v>
      </c>
      <c r="I54" s="218"/>
      <c r="J54" s="218"/>
      <c r="K54" s="189"/>
    </row>
    <row r="55" spans="1:11" ht="15.75" customHeight="1" x14ac:dyDescent="0.25">
      <c r="A55" s="33"/>
      <c r="B55" s="217" t="s">
        <v>38</v>
      </c>
      <c r="C55" s="217"/>
      <c r="D55" s="217"/>
      <c r="E55" s="33"/>
      <c r="F55" s="33"/>
      <c r="G55" s="33"/>
      <c r="H55" s="218"/>
      <c r="I55" s="219"/>
      <c r="J55" s="219"/>
      <c r="K55" s="219"/>
    </row>
    <row r="56" spans="1:11" ht="15.75" x14ac:dyDescent="0.25">
      <c r="A56" s="33"/>
      <c r="B56" s="217" t="s">
        <v>39</v>
      </c>
      <c r="C56" s="217"/>
      <c r="D56" s="217"/>
      <c r="E56" s="33"/>
      <c r="F56" s="33"/>
      <c r="G56" s="33"/>
      <c r="H56" s="218"/>
      <c r="I56" s="219"/>
      <c r="J56" s="219"/>
      <c r="K56" s="219"/>
    </row>
    <row r="57" spans="1:11" ht="15.75" x14ac:dyDescent="0.25">
      <c r="A57" s="33"/>
      <c r="B57" s="217" t="s">
        <v>40</v>
      </c>
      <c r="C57" s="217"/>
      <c r="D57" s="217"/>
      <c r="E57" s="33"/>
      <c r="F57" s="33"/>
      <c r="G57" s="33"/>
      <c r="H57" s="218"/>
      <c r="I57" s="219"/>
      <c r="J57" s="219"/>
      <c r="K57" s="219"/>
    </row>
    <row r="58" spans="1:11" ht="15.75" x14ac:dyDescent="0.25">
      <c r="A58" s="33"/>
      <c r="B58" s="33"/>
      <c r="C58" s="33"/>
      <c r="D58" s="33"/>
      <c r="E58" s="33"/>
      <c r="F58" s="33"/>
      <c r="G58" s="33"/>
      <c r="H58" s="220"/>
      <c r="I58" s="220"/>
      <c r="J58" s="220"/>
      <c r="K58" s="220"/>
    </row>
    <row r="59" spans="1:11" ht="15.75" customHeight="1" x14ac:dyDescent="0.25">
      <c r="A59" s="33"/>
      <c r="B59" s="33"/>
      <c r="C59" s="33"/>
      <c r="D59" s="33"/>
      <c r="E59" s="33"/>
      <c r="F59" s="33"/>
      <c r="G59" s="33"/>
      <c r="H59" s="29"/>
      <c r="I59" s="30"/>
      <c r="J59" s="30"/>
      <c r="K59" s="29"/>
    </row>
    <row r="60" spans="1:11" ht="15.75" x14ac:dyDescent="0.25">
      <c r="A60" s="33"/>
      <c r="B60" s="217" t="s">
        <v>43</v>
      </c>
      <c r="C60" s="217"/>
      <c r="D60" s="217"/>
      <c r="E60" s="33"/>
      <c r="F60" s="33"/>
      <c r="G60" s="33"/>
      <c r="H60" s="218"/>
      <c r="I60" s="219"/>
      <c r="J60" s="219"/>
      <c r="K60" s="219"/>
    </row>
    <row r="61" spans="1:11" ht="15.75" x14ac:dyDescent="0.25">
      <c r="A61" s="33"/>
      <c r="B61" s="217" t="s">
        <v>44</v>
      </c>
      <c r="C61" s="217"/>
      <c r="D61" s="217"/>
      <c r="E61" s="33"/>
      <c r="F61" s="33"/>
      <c r="G61" s="33"/>
      <c r="H61" s="218" t="s">
        <v>362</v>
      </c>
      <c r="I61" s="218"/>
      <c r="J61" s="218"/>
      <c r="K61" s="189"/>
    </row>
    <row r="62" spans="1:11" ht="15.75" x14ac:dyDescent="0.25">
      <c r="A62" s="33"/>
      <c r="B62" s="33"/>
      <c r="C62" s="33"/>
      <c r="D62" s="33"/>
      <c r="E62" s="33"/>
      <c r="F62" s="33"/>
      <c r="G62" s="33"/>
      <c r="H62" s="217" t="s">
        <v>363</v>
      </c>
      <c r="I62" s="217"/>
      <c r="J62" s="217"/>
      <c r="K62" s="33"/>
    </row>
    <row r="63" spans="1:11" ht="15.75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</row>
  </sheetData>
  <mergeCells count="29">
    <mergeCell ref="H52:J52"/>
    <mergeCell ref="B53:D53"/>
    <mergeCell ref="B54:D54"/>
    <mergeCell ref="A1:K1"/>
    <mergeCell ref="A2:K2"/>
    <mergeCell ref="A3:K3"/>
    <mergeCell ref="A4:K4"/>
    <mergeCell ref="E10:E11"/>
    <mergeCell ref="D10:D11"/>
    <mergeCell ref="C10:C11"/>
    <mergeCell ref="E12:E14"/>
    <mergeCell ref="F10:F11"/>
    <mergeCell ref="G10:G11"/>
    <mergeCell ref="C49:E49"/>
    <mergeCell ref="D12:D14"/>
    <mergeCell ref="C12:C14"/>
    <mergeCell ref="H54:J54"/>
    <mergeCell ref="B55:D55"/>
    <mergeCell ref="B56:D56"/>
    <mergeCell ref="B57:D57"/>
    <mergeCell ref="H57:K57"/>
    <mergeCell ref="H55:K55"/>
    <mergeCell ref="H56:K56"/>
    <mergeCell ref="H62:J62"/>
    <mergeCell ref="H58:K58"/>
    <mergeCell ref="B60:D60"/>
    <mergeCell ref="H60:K60"/>
    <mergeCell ref="B61:D61"/>
    <mergeCell ref="H61:J61"/>
  </mergeCells>
  <pageMargins left="0.23622047244094491" right="3.937007874015748E-2" top="0.55118110236220474" bottom="0.55118110236220474" header="0.31496062992125984" footer="0.31496062992125984"/>
  <pageSetup paperSize="122" scale="8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9269B-F3E7-441D-A531-7D29BF3415BC}">
  <dimension ref="A1:K35"/>
  <sheetViews>
    <sheetView showGridLines="0" topLeftCell="A9" zoomScaleNormal="100" workbookViewId="0">
      <selection activeCell="P21" sqref="P21"/>
    </sheetView>
  </sheetViews>
  <sheetFormatPr defaultRowHeight="15" x14ac:dyDescent="0.25"/>
  <cols>
    <col min="1" max="1" width="4.28515625" customWidth="1"/>
    <col min="2" max="2" width="13.42578125" customWidth="1"/>
    <col min="3" max="3" width="29.7109375" customWidth="1"/>
    <col min="4" max="4" width="20.5703125" customWidth="1"/>
    <col min="5" max="5" width="47" customWidth="1"/>
    <col min="6" max="7" width="8" customWidth="1"/>
    <col min="8" max="8" width="9.140625" customWidth="1"/>
    <col min="9" max="9" width="9.85546875" customWidth="1"/>
    <col min="10" max="10" width="18.7109375" customWidth="1"/>
    <col min="11" max="11" width="16.5703125" customWidth="1"/>
    <col min="17" max="17" width="10.140625" bestFit="1" customWidth="1"/>
    <col min="19" max="19" width="14.28515625" customWidth="1"/>
  </cols>
  <sheetData>
    <row r="1" spans="1:11" ht="18" x14ac:dyDescent="0.25">
      <c r="A1" s="221" t="s">
        <v>85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</row>
    <row r="2" spans="1:11" ht="18" x14ac:dyDescent="0.25">
      <c r="A2" s="221" t="s">
        <v>9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</row>
    <row r="3" spans="1:11" ht="18" x14ac:dyDescent="0.25">
      <c r="A3" s="221" t="s">
        <v>84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</row>
    <row r="4" spans="1:11" ht="18" x14ac:dyDescent="0.25">
      <c r="A4" s="221" t="s">
        <v>98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</row>
    <row r="5" spans="1:11" ht="21" customHeight="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</row>
    <row r="6" spans="1:11" ht="29.25" customHeight="1" x14ac:dyDescent="0.25">
      <c r="A6" s="34" t="s">
        <v>0</v>
      </c>
      <c r="B6" s="34" t="s">
        <v>10</v>
      </c>
      <c r="C6" s="34" t="s">
        <v>5</v>
      </c>
      <c r="D6" s="35" t="s">
        <v>1</v>
      </c>
      <c r="E6" s="35" t="s">
        <v>6</v>
      </c>
      <c r="F6" s="35" t="s">
        <v>3</v>
      </c>
      <c r="G6" s="35" t="s">
        <v>4</v>
      </c>
      <c r="H6" s="35" t="s">
        <v>7</v>
      </c>
      <c r="I6" s="35" t="s">
        <v>32</v>
      </c>
      <c r="J6" s="35" t="s">
        <v>2</v>
      </c>
      <c r="K6" s="36" t="s">
        <v>34</v>
      </c>
    </row>
    <row r="7" spans="1:11" ht="18.75" customHeight="1" x14ac:dyDescent="0.25">
      <c r="A7" s="37">
        <v>1</v>
      </c>
      <c r="B7" s="38" t="s">
        <v>342</v>
      </c>
      <c r="C7" s="39" t="s">
        <v>343</v>
      </c>
      <c r="D7" s="40" t="s">
        <v>344</v>
      </c>
      <c r="E7" s="88" t="s">
        <v>345</v>
      </c>
      <c r="F7" s="41">
        <v>9</v>
      </c>
      <c r="G7" s="41">
        <v>1</v>
      </c>
      <c r="H7" s="41"/>
      <c r="I7" s="41"/>
      <c r="J7" s="42">
        <v>9000000</v>
      </c>
      <c r="K7" s="43"/>
    </row>
    <row r="8" spans="1:11" ht="18.75" customHeight="1" x14ac:dyDescent="0.25">
      <c r="A8" s="44">
        <v>2</v>
      </c>
      <c r="B8" s="45"/>
      <c r="C8" s="31" t="s">
        <v>346</v>
      </c>
      <c r="D8" s="46" t="s">
        <v>359</v>
      </c>
      <c r="E8" s="89" t="s">
        <v>348</v>
      </c>
      <c r="F8" s="47">
        <v>4</v>
      </c>
      <c r="G8" s="47">
        <v>1</v>
      </c>
      <c r="H8" s="47"/>
      <c r="I8" s="47"/>
      <c r="J8" s="48">
        <v>6000000</v>
      </c>
      <c r="K8" s="191" t="s">
        <v>70</v>
      </c>
    </row>
    <row r="9" spans="1:11" ht="31.5" customHeight="1" x14ac:dyDescent="0.25">
      <c r="A9" s="44">
        <v>3</v>
      </c>
      <c r="B9" s="50"/>
      <c r="C9" s="46" t="s">
        <v>349</v>
      </c>
      <c r="D9" s="46" t="s">
        <v>350</v>
      </c>
      <c r="E9" s="31" t="s">
        <v>351</v>
      </c>
      <c r="F9" s="51">
        <v>2</v>
      </c>
      <c r="G9" s="51">
        <v>1</v>
      </c>
      <c r="H9" s="51">
        <v>3</v>
      </c>
      <c r="I9" s="51"/>
      <c r="J9" s="52">
        <v>2600000</v>
      </c>
      <c r="K9" s="53"/>
    </row>
    <row r="10" spans="1:11" ht="20.100000000000001" customHeight="1" x14ac:dyDescent="0.25">
      <c r="A10" s="44">
        <v>4</v>
      </c>
      <c r="B10" s="249">
        <v>46148</v>
      </c>
      <c r="C10" s="241" t="s">
        <v>114</v>
      </c>
      <c r="D10" s="241" t="s">
        <v>52</v>
      </c>
      <c r="E10" s="239" t="s">
        <v>352</v>
      </c>
      <c r="F10" s="246">
        <v>5</v>
      </c>
      <c r="G10" s="246">
        <v>1</v>
      </c>
      <c r="H10" s="56"/>
      <c r="I10" s="56"/>
      <c r="J10" s="57">
        <v>4950000</v>
      </c>
      <c r="K10" s="53"/>
    </row>
    <row r="11" spans="1:11" ht="20.100000000000001" customHeight="1" x14ac:dyDescent="0.25">
      <c r="A11" s="44">
        <v>5</v>
      </c>
      <c r="B11" s="250"/>
      <c r="C11" s="242"/>
      <c r="D11" s="242"/>
      <c r="E11" s="240"/>
      <c r="F11" s="247"/>
      <c r="G11" s="247"/>
      <c r="H11" s="51"/>
      <c r="I11" s="51"/>
      <c r="J11" s="52">
        <v>550000</v>
      </c>
      <c r="K11" s="53"/>
    </row>
    <row r="12" spans="1:11" ht="20.100000000000001" customHeight="1" x14ac:dyDescent="0.25">
      <c r="A12" s="44">
        <v>6</v>
      </c>
      <c r="B12" s="45"/>
      <c r="C12" s="241" t="s">
        <v>353</v>
      </c>
      <c r="D12" s="243" t="s">
        <v>354</v>
      </c>
      <c r="E12" s="243" t="s">
        <v>355</v>
      </c>
      <c r="F12" s="61">
        <v>50</v>
      </c>
      <c r="G12" s="61">
        <v>1</v>
      </c>
      <c r="H12" s="61"/>
      <c r="I12" s="61"/>
      <c r="J12" s="52">
        <v>50000000</v>
      </c>
      <c r="K12" s="53"/>
    </row>
    <row r="13" spans="1:11" ht="20.100000000000001" customHeight="1" x14ac:dyDescent="0.25">
      <c r="A13" s="44">
        <v>7</v>
      </c>
      <c r="B13" s="62"/>
      <c r="C13" s="248"/>
      <c r="D13" s="244"/>
      <c r="E13" s="244"/>
      <c r="F13" s="61">
        <v>50</v>
      </c>
      <c r="G13" s="61">
        <v>1</v>
      </c>
      <c r="H13" s="61"/>
      <c r="I13" s="61"/>
      <c r="J13" s="52">
        <v>50000000</v>
      </c>
      <c r="K13" s="53"/>
    </row>
    <row r="14" spans="1:11" ht="20.100000000000001" customHeight="1" x14ac:dyDescent="0.25">
      <c r="A14" s="44">
        <v>8</v>
      </c>
      <c r="B14" s="62"/>
      <c r="C14" s="242"/>
      <c r="D14" s="245"/>
      <c r="E14" s="245"/>
      <c r="F14" s="61">
        <v>100</v>
      </c>
      <c r="G14" s="61">
        <v>1</v>
      </c>
      <c r="H14" s="61">
        <v>1</v>
      </c>
      <c r="I14" s="61"/>
      <c r="J14" s="52">
        <v>30000000</v>
      </c>
      <c r="K14" s="53" t="s">
        <v>356</v>
      </c>
    </row>
    <row r="15" spans="1:11" ht="20.100000000000001" customHeight="1" x14ac:dyDescent="0.25">
      <c r="A15" s="44">
        <v>9</v>
      </c>
      <c r="B15" s="38">
        <v>46149</v>
      </c>
      <c r="C15" s="46" t="s">
        <v>96</v>
      </c>
      <c r="D15" s="46" t="s">
        <v>123</v>
      </c>
      <c r="E15" s="188" t="s">
        <v>358</v>
      </c>
      <c r="F15" s="61">
        <v>9</v>
      </c>
      <c r="G15" s="61">
        <v>1</v>
      </c>
      <c r="H15" s="61">
        <v>1</v>
      </c>
      <c r="I15" s="61"/>
      <c r="J15" s="52">
        <v>9900000</v>
      </c>
      <c r="K15" s="53"/>
    </row>
    <row r="16" spans="1:11" ht="20.100000000000001" customHeight="1" x14ac:dyDescent="0.25">
      <c r="A16" s="44">
        <v>11</v>
      </c>
      <c r="B16" s="38">
        <v>46150</v>
      </c>
      <c r="C16" s="54" t="s">
        <v>286</v>
      </c>
      <c r="D16" s="55" t="s">
        <v>78</v>
      </c>
      <c r="E16" s="80" t="s">
        <v>357</v>
      </c>
      <c r="F16" s="61">
        <v>2</v>
      </c>
      <c r="G16" s="61">
        <v>1</v>
      </c>
      <c r="H16" s="61"/>
      <c r="I16" s="61"/>
      <c r="J16" s="52">
        <v>2000000</v>
      </c>
      <c r="K16" s="53"/>
    </row>
    <row r="17" spans="1:11" ht="18.75" customHeight="1" x14ac:dyDescent="0.25">
      <c r="A17" s="44">
        <v>12</v>
      </c>
      <c r="B17" s="38">
        <v>46151</v>
      </c>
      <c r="C17" s="58" t="s">
        <v>231</v>
      </c>
      <c r="D17" s="59" t="s">
        <v>340</v>
      </c>
      <c r="E17" s="80">
        <v>46152</v>
      </c>
      <c r="F17" s="61">
        <v>1</v>
      </c>
      <c r="G17" s="61">
        <v>1</v>
      </c>
      <c r="H17" s="61">
        <v>3</v>
      </c>
      <c r="I17" s="61"/>
      <c r="J17" s="52">
        <v>1300000</v>
      </c>
      <c r="K17" s="53"/>
    </row>
    <row r="18" spans="1:11" ht="20.100000000000001" customHeight="1" x14ac:dyDescent="0.25">
      <c r="A18" s="67"/>
      <c r="B18" s="67"/>
      <c r="C18" s="222" t="s">
        <v>8</v>
      </c>
      <c r="D18" s="223"/>
      <c r="E18" s="224"/>
      <c r="F18" s="68">
        <f>SUM(F7:F17)</f>
        <v>232</v>
      </c>
      <c r="G18" s="68">
        <f>SUM(G7:G17)</f>
        <v>10</v>
      </c>
      <c r="H18" s="68">
        <f>SUM(H7:H17)</f>
        <v>8</v>
      </c>
      <c r="I18" s="68">
        <f>SUM(I7:I17)</f>
        <v>0</v>
      </c>
      <c r="J18" s="69">
        <f>SUM(J7:J17)</f>
        <v>166300000</v>
      </c>
      <c r="K18" s="70"/>
    </row>
    <row r="19" spans="1:11" ht="15.75" x14ac:dyDescent="0.2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0" spans="1:11" ht="15.75" x14ac:dyDescent="0.25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</row>
    <row r="21" spans="1:11" ht="15.75" x14ac:dyDescent="0.25">
      <c r="A21" s="33"/>
      <c r="B21" s="33"/>
      <c r="C21" s="33"/>
      <c r="D21" s="33"/>
      <c r="E21" s="33"/>
      <c r="F21" s="33"/>
      <c r="G21" s="33"/>
      <c r="H21" s="217" t="s">
        <v>364</v>
      </c>
      <c r="I21" s="217"/>
      <c r="J21" s="217"/>
      <c r="K21" s="72"/>
    </row>
    <row r="22" spans="1:11" ht="15.75" customHeight="1" x14ac:dyDescent="0.25">
      <c r="A22" s="33"/>
      <c r="B22" s="217" t="s">
        <v>360</v>
      </c>
      <c r="C22" s="217"/>
      <c r="D22" s="217"/>
      <c r="E22" s="33"/>
      <c r="F22" s="33"/>
      <c r="G22" s="33"/>
      <c r="H22" s="33"/>
      <c r="I22" s="33"/>
      <c r="J22" s="33"/>
      <c r="K22" s="33"/>
    </row>
    <row r="23" spans="1:11" ht="15.75" customHeight="1" x14ac:dyDescent="0.25">
      <c r="A23" s="33"/>
      <c r="B23" s="217" t="s">
        <v>42</v>
      </c>
      <c r="C23" s="217"/>
      <c r="D23" s="217"/>
      <c r="E23" s="33"/>
      <c r="F23" s="33"/>
      <c r="G23" s="33"/>
      <c r="H23" s="218" t="s">
        <v>361</v>
      </c>
      <c r="I23" s="218"/>
      <c r="J23" s="218"/>
      <c r="K23" s="189"/>
    </row>
    <row r="24" spans="1:11" ht="15.75" customHeight="1" x14ac:dyDescent="0.25">
      <c r="A24" s="33"/>
      <c r="B24" s="217" t="s">
        <v>38</v>
      </c>
      <c r="C24" s="217"/>
      <c r="D24" s="217"/>
      <c r="E24" s="33"/>
      <c r="F24" s="33"/>
      <c r="G24" s="33"/>
      <c r="H24" s="218"/>
      <c r="I24" s="219"/>
      <c r="J24" s="219"/>
      <c r="K24" s="219"/>
    </row>
    <row r="25" spans="1:11" ht="15.75" x14ac:dyDescent="0.25">
      <c r="A25" s="33"/>
      <c r="B25" s="217" t="s">
        <v>39</v>
      </c>
      <c r="C25" s="217"/>
      <c r="D25" s="217"/>
      <c r="E25" s="33"/>
      <c r="F25" s="33"/>
      <c r="G25" s="33"/>
      <c r="H25" s="218"/>
      <c r="I25" s="219"/>
      <c r="J25" s="219"/>
      <c r="K25" s="219"/>
    </row>
    <row r="26" spans="1:11" ht="15.75" x14ac:dyDescent="0.25">
      <c r="A26" s="33"/>
      <c r="B26" s="217" t="s">
        <v>40</v>
      </c>
      <c r="C26" s="217"/>
      <c r="D26" s="217"/>
      <c r="E26" s="33"/>
      <c r="F26" s="33"/>
      <c r="G26" s="33"/>
      <c r="H26" s="218"/>
      <c r="I26" s="219"/>
      <c r="J26" s="219"/>
      <c r="K26" s="219"/>
    </row>
    <row r="27" spans="1:11" ht="15.75" x14ac:dyDescent="0.25">
      <c r="A27" s="33"/>
      <c r="B27" s="33"/>
      <c r="C27" s="33"/>
      <c r="D27" s="33"/>
      <c r="E27" s="33"/>
      <c r="F27" s="33"/>
      <c r="G27" s="33"/>
      <c r="H27" s="220"/>
      <c r="I27" s="220"/>
      <c r="J27" s="220"/>
      <c r="K27" s="220"/>
    </row>
    <row r="28" spans="1:11" ht="15.75" customHeight="1" x14ac:dyDescent="0.25">
      <c r="A28" s="33"/>
      <c r="B28" s="33"/>
      <c r="C28" s="33"/>
      <c r="D28" s="33"/>
      <c r="E28" s="33"/>
      <c r="F28" s="33"/>
      <c r="G28" s="33"/>
      <c r="H28" s="29"/>
      <c r="I28" s="32"/>
      <c r="J28" s="32"/>
      <c r="K28" s="32"/>
    </row>
    <row r="29" spans="1:11" ht="15.75" customHeight="1" x14ac:dyDescent="0.25">
      <c r="A29" s="33"/>
      <c r="B29" s="33"/>
      <c r="C29" s="33"/>
      <c r="D29" s="33"/>
      <c r="E29" s="33"/>
      <c r="F29" s="33"/>
      <c r="G29" s="33"/>
      <c r="H29" s="29"/>
      <c r="I29" s="30"/>
      <c r="J29" s="30"/>
      <c r="K29" s="29"/>
    </row>
    <row r="30" spans="1:11" ht="15.75" x14ac:dyDescent="0.25">
      <c r="A30" s="33"/>
      <c r="B30" s="217" t="s">
        <v>43</v>
      </c>
      <c r="C30" s="217"/>
      <c r="D30" s="217"/>
      <c r="E30" s="33"/>
      <c r="F30" s="33"/>
      <c r="G30" s="33"/>
      <c r="H30" s="218"/>
      <c r="I30" s="219"/>
      <c r="J30" s="219"/>
      <c r="K30" s="219"/>
    </row>
    <row r="31" spans="1:11" ht="15.75" x14ac:dyDescent="0.25">
      <c r="A31" s="33"/>
      <c r="B31" s="217" t="s">
        <v>44</v>
      </c>
      <c r="C31" s="217"/>
      <c r="D31" s="217"/>
      <c r="E31" s="33"/>
      <c r="F31" s="33"/>
      <c r="G31" s="33"/>
      <c r="H31" s="218" t="s">
        <v>362</v>
      </c>
      <c r="I31" s="218"/>
      <c r="J31" s="218"/>
      <c r="K31" s="189"/>
    </row>
    <row r="32" spans="1:11" ht="15.75" x14ac:dyDescent="0.25">
      <c r="A32" s="33"/>
      <c r="B32" s="33"/>
      <c r="C32" s="33"/>
      <c r="D32" s="33"/>
      <c r="E32" s="33"/>
      <c r="F32" s="33"/>
      <c r="G32" s="33"/>
      <c r="H32" s="217" t="s">
        <v>363</v>
      </c>
      <c r="I32" s="217"/>
      <c r="J32" s="217"/>
      <c r="K32" s="33"/>
    </row>
    <row r="33" spans="1:11" ht="15.75" x14ac:dyDescent="0.2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</row>
    <row r="34" spans="1:11" ht="15.75" x14ac:dyDescent="0.25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</row>
    <row r="35" spans="1:11" ht="15.75" x14ac:dyDescent="0.2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</row>
  </sheetData>
  <mergeCells count="30">
    <mergeCell ref="A1:K1"/>
    <mergeCell ref="A2:K2"/>
    <mergeCell ref="A3:K3"/>
    <mergeCell ref="A4:K4"/>
    <mergeCell ref="C10:C11"/>
    <mergeCell ref="D10:D11"/>
    <mergeCell ref="E10:E11"/>
    <mergeCell ref="F10:F11"/>
    <mergeCell ref="G10:G11"/>
    <mergeCell ref="B10:B11"/>
    <mergeCell ref="C12:C14"/>
    <mergeCell ref="D12:D14"/>
    <mergeCell ref="E12:E14"/>
    <mergeCell ref="C18:E18"/>
    <mergeCell ref="H27:K27"/>
    <mergeCell ref="H24:K24"/>
    <mergeCell ref="H25:K25"/>
    <mergeCell ref="H26:K26"/>
    <mergeCell ref="H21:J21"/>
    <mergeCell ref="B23:D23"/>
    <mergeCell ref="B24:D24"/>
    <mergeCell ref="B25:D25"/>
    <mergeCell ref="B26:D26"/>
    <mergeCell ref="B22:D22"/>
    <mergeCell ref="B30:D30"/>
    <mergeCell ref="B31:D31"/>
    <mergeCell ref="H23:J23"/>
    <mergeCell ref="H32:J32"/>
    <mergeCell ref="H30:K30"/>
    <mergeCell ref="H31:J31"/>
  </mergeCells>
  <pageMargins left="0.23622047244094491" right="3.937007874015748E-2" top="0.15748031496062992" bottom="0.15748031496062992" header="0.31496062992125984" footer="0.31496062992125984"/>
  <pageSetup paperSize="122" scale="80" orientation="landscape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975C0-AE34-4B6A-9ED0-5FC09FAC799B}">
  <dimension ref="A1:K64"/>
  <sheetViews>
    <sheetView showGridLines="0" topLeftCell="A26" zoomScaleNormal="100" workbookViewId="0">
      <selection activeCell="F43" sqref="F43"/>
    </sheetView>
  </sheetViews>
  <sheetFormatPr defaultRowHeight="15" x14ac:dyDescent="0.25"/>
  <cols>
    <col min="1" max="1" width="4.28515625" customWidth="1"/>
    <col min="2" max="2" width="13.42578125" customWidth="1"/>
    <col min="3" max="3" width="35.7109375" bestFit="1" customWidth="1"/>
    <col min="4" max="4" width="28.5703125" bestFit="1" customWidth="1"/>
    <col min="5" max="5" width="47.42578125" customWidth="1"/>
    <col min="6" max="7" width="8" customWidth="1"/>
    <col min="8" max="8" width="9.140625" customWidth="1"/>
    <col min="9" max="9" width="9.85546875" customWidth="1"/>
    <col min="10" max="10" width="18.7109375" customWidth="1"/>
    <col min="11" max="11" width="14.140625" customWidth="1"/>
    <col min="17" max="17" width="10.140625" bestFit="1" customWidth="1"/>
    <col min="19" max="19" width="14.28515625" customWidth="1"/>
  </cols>
  <sheetData>
    <row r="1" spans="1:11" ht="18" x14ac:dyDescent="0.25">
      <c r="A1" s="221" t="s">
        <v>85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</row>
    <row r="2" spans="1:11" ht="18" x14ac:dyDescent="0.25">
      <c r="A2" s="221" t="s">
        <v>9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</row>
    <row r="3" spans="1:11" ht="18" x14ac:dyDescent="0.25">
      <c r="A3" s="221" t="s">
        <v>84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</row>
    <row r="4" spans="1:11" ht="18" x14ac:dyDescent="0.25">
      <c r="A4" s="221" t="s">
        <v>418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</row>
    <row r="5" spans="1:11" ht="21" customHeight="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</row>
    <row r="6" spans="1:11" ht="29.25" customHeight="1" x14ac:dyDescent="0.25">
      <c r="A6" s="34" t="s">
        <v>0</v>
      </c>
      <c r="B6" s="34" t="s">
        <v>10</v>
      </c>
      <c r="C6" s="34" t="s">
        <v>5</v>
      </c>
      <c r="D6" s="35" t="s">
        <v>1</v>
      </c>
      <c r="E6" s="35" t="s">
        <v>6</v>
      </c>
      <c r="F6" s="35" t="s">
        <v>3</v>
      </c>
      <c r="G6" s="35" t="s">
        <v>4</v>
      </c>
      <c r="H6" s="35" t="s">
        <v>7</v>
      </c>
      <c r="I6" s="35" t="s">
        <v>32</v>
      </c>
      <c r="J6" s="35" t="s">
        <v>2</v>
      </c>
      <c r="K6" s="36" t="s">
        <v>34</v>
      </c>
    </row>
    <row r="7" spans="1:11" ht="18.75" customHeight="1" x14ac:dyDescent="0.25">
      <c r="A7" s="37">
        <v>1</v>
      </c>
      <c r="B7" s="38">
        <v>46177</v>
      </c>
      <c r="C7" s="159" t="s">
        <v>381</v>
      </c>
      <c r="D7" s="159" t="s">
        <v>416</v>
      </c>
      <c r="E7" s="88" t="s">
        <v>417</v>
      </c>
      <c r="F7" s="41">
        <v>2</v>
      </c>
      <c r="G7" s="41">
        <v>1</v>
      </c>
      <c r="H7" s="41"/>
      <c r="I7" s="41"/>
      <c r="J7" s="42">
        <v>2000000</v>
      </c>
      <c r="K7" s="43"/>
    </row>
    <row r="8" spans="1:11" ht="18.75" customHeight="1" x14ac:dyDescent="0.25">
      <c r="A8" s="44">
        <v>2</v>
      </c>
      <c r="B8" s="45"/>
      <c r="C8" s="31" t="s">
        <v>286</v>
      </c>
      <c r="D8" s="31" t="s">
        <v>78</v>
      </c>
      <c r="E8" s="89" t="s">
        <v>417</v>
      </c>
      <c r="F8" s="47">
        <v>2</v>
      </c>
      <c r="G8" s="47">
        <v>1</v>
      </c>
      <c r="H8" s="47"/>
      <c r="I8" s="47"/>
      <c r="J8" s="48">
        <v>2000000</v>
      </c>
      <c r="K8" s="53"/>
    </row>
    <row r="9" spans="1:11" ht="18.75" customHeight="1" x14ac:dyDescent="0.25">
      <c r="A9" s="44">
        <v>3</v>
      </c>
      <c r="B9" s="79">
        <v>46178</v>
      </c>
      <c r="C9" s="31" t="s">
        <v>419</v>
      </c>
      <c r="D9" s="31" t="s">
        <v>420</v>
      </c>
      <c r="E9" s="80">
        <v>46180</v>
      </c>
      <c r="F9" s="51">
        <v>1</v>
      </c>
      <c r="G9" s="51">
        <v>1</v>
      </c>
      <c r="H9" s="51">
        <v>2</v>
      </c>
      <c r="I9" s="51"/>
      <c r="J9" s="52">
        <v>1200000</v>
      </c>
      <c r="K9" s="53"/>
    </row>
    <row r="10" spans="1:11" s="198" customFormat="1" ht="20.100000000000001" customHeight="1" x14ac:dyDescent="0.25">
      <c r="A10" s="44">
        <v>4</v>
      </c>
      <c r="B10" s="79">
        <v>46179</v>
      </c>
      <c r="C10" s="92" t="s">
        <v>422</v>
      </c>
      <c r="D10" s="203" t="s">
        <v>423</v>
      </c>
      <c r="E10" s="80">
        <v>46179</v>
      </c>
      <c r="F10" s="204">
        <v>1</v>
      </c>
      <c r="G10" s="75">
        <v>6</v>
      </c>
      <c r="H10" s="75"/>
      <c r="I10" s="75">
        <v>10</v>
      </c>
      <c r="J10" s="76">
        <v>7000000</v>
      </c>
      <c r="K10" s="49"/>
    </row>
    <row r="11" spans="1:11" ht="20.100000000000001" customHeight="1" x14ac:dyDescent="0.25">
      <c r="A11" s="44">
        <v>5</v>
      </c>
      <c r="B11" s="50">
        <v>46181</v>
      </c>
      <c r="C11" s="31" t="s">
        <v>96</v>
      </c>
      <c r="D11" s="31" t="s">
        <v>123</v>
      </c>
      <c r="E11" s="80"/>
      <c r="F11" s="51">
        <v>9</v>
      </c>
      <c r="G11" s="51">
        <v>1</v>
      </c>
      <c r="H11" s="51">
        <v>1</v>
      </c>
      <c r="I11" s="51"/>
      <c r="J11" s="52">
        <v>9900000</v>
      </c>
      <c r="K11" s="53"/>
    </row>
    <row r="12" spans="1:11" ht="20.100000000000001" customHeight="1" x14ac:dyDescent="0.25">
      <c r="A12" s="44">
        <v>6</v>
      </c>
      <c r="B12" s="45">
        <v>46182</v>
      </c>
      <c r="C12" s="58" t="s">
        <v>421</v>
      </c>
      <c r="D12" s="58" t="s">
        <v>416</v>
      </c>
      <c r="E12" s="80" t="s">
        <v>417</v>
      </c>
      <c r="F12" s="51">
        <v>2</v>
      </c>
      <c r="G12" s="51">
        <v>1</v>
      </c>
      <c r="H12" s="51"/>
      <c r="I12" s="51"/>
      <c r="J12" s="52">
        <v>2000000</v>
      </c>
      <c r="K12" s="53"/>
    </row>
    <row r="13" spans="1:11" ht="20.100000000000001" customHeight="1" x14ac:dyDescent="0.25">
      <c r="A13" s="44">
        <v>7</v>
      </c>
      <c r="B13" s="45">
        <v>46184</v>
      </c>
      <c r="C13" s="31" t="s">
        <v>114</v>
      </c>
      <c r="D13" s="31" t="s">
        <v>52</v>
      </c>
      <c r="E13" s="80" t="s">
        <v>425</v>
      </c>
      <c r="F13" s="51">
        <v>4</v>
      </c>
      <c r="G13" s="51">
        <v>2</v>
      </c>
      <c r="H13" s="51">
        <v>2</v>
      </c>
      <c r="I13" s="51"/>
      <c r="J13" s="52">
        <v>8800000</v>
      </c>
      <c r="K13" s="53"/>
    </row>
    <row r="14" spans="1:11" ht="20.100000000000001" customHeight="1" x14ac:dyDescent="0.25">
      <c r="A14" s="44">
        <v>8</v>
      </c>
      <c r="B14" s="50"/>
      <c r="C14" s="31" t="s">
        <v>286</v>
      </c>
      <c r="D14" s="31" t="s">
        <v>78</v>
      </c>
      <c r="E14" s="80" t="s">
        <v>426</v>
      </c>
      <c r="F14" s="51">
        <v>7</v>
      </c>
      <c r="G14" s="51">
        <v>1</v>
      </c>
      <c r="H14" s="51"/>
      <c r="I14" s="51"/>
      <c r="J14" s="52">
        <v>7000000</v>
      </c>
      <c r="K14" s="53"/>
    </row>
    <row r="15" spans="1:11" ht="20.100000000000001" customHeight="1" x14ac:dyDescent="0.25">
      <c r="A15" s="44">
        <v>9</v>
      </c>
      <c r="B15" s="45">
        <v>46185</v>
      </c>
      <c r="C15" s="63" t="s">
        <v>427</v>
      </c>
      <c r="D15" s="63" t="s">
        <v>428</v>
      </c>
      <c r="E15" s="80" t="s">
        <v>429</v>
      </c>
      <c r="F15" s="51">
        <v>2</v>
      </c>
      <c r="G15" s="51">
        <v>1</v>
      </c>
      <c r="H15" s="51"/>
      <c r="I15" s="51">
        <v>3</v>
      </c>
      <c r="J15" s="52">
        <v>2600000</v>
      </c>
      <c r="K15" s="53"/>
    </row>
    <row r="16" spans="1:11" ht="15.75" customHeight="1" x14ac:dyDescent="0.25">
      <c r="A16" s="44">
        <v>10</v>
      </c>
      <c r="B16" s="45">
        <v>46186</v>
      </c>
      <c r="C16" s="31" t="s">
        <v>346</v>
      </c>
      <c r="D16" s="31" t="s">
        <v>347</v>
      </c>
      <c r="E16" s="80" t="s">
        <v>430</v>
      </c>
      <c r="F16" s="51">
        <v>1</v>
      </c>
      <c r="G16" s="51">
        <v>1</v>
      </c>
      <c r="H16" s="51"/>
      <c r="I16" s="51"/>
      <c r="J16" s="52">
        <v>4000000</v>
      </c>
      <c r="K16" s="53" t="s">
        <v>189</v>
      </c>
    </row>
    <row r="17" spans="1:11" ht="19.5" customHeight="1" x14ac:dyDescent="0.25">
      <c r="A17" s="44">
        <v>11</v>
      </c>
      <c r="B17" s="45">
        <v>46187</v>
      </c>
      <c r="C17" s="31" t="s">
        <v>126</v>
      </c>
      <c r="D17" s="31" t="s">
        <v>311</v>
      </c>
      <c r="E17" s="80" t="s">
        <v>431</v>
      </c>
      <c r="F17" s="51">
        <v>5</v>
      </c>
      <c r="G17" s="47">
        <v>1</v>
      </c>
      <c r="H17" s="51"/>
      <c r="I17" s="51"/>
      <c r="J17" s="52">
        <v>5000000</v>
      </c>
      <c r="K17" s="53"/>
    </row>
    <row r="18" spans="1:11" ht="20.100000000000001" customHeight="1" x14ac:dyDescent="0.25">
      <c r="A18" s="44">
        <v>12</v>
      </c>
      <c r="B18" s="50"/>
      <c r="C18" s="31" t="s">
        <v>324</v>
      </c>
      <c r="D18" s="31" t="s">
        <v>52</v>
      </c>
      <c r="E18" s="80" t="s">
        <v>432</v>
      </c>
      <c r="F18" s="51">
        <v>11</v>
      </c>
      <c r="G18" s="51">
        <v>4</v>
      </c>
      <c r="H18" s="51"/>
      <c r="I18" s="51"/>
      <c r="J18" s="52">
        <v>44000000</v>
      </c>
      <c r="K18" s="53"/>
    </row>
    <row r="19" spans="1:11" ht="20.100000000000001" customHeight="1" x14ac:dyDescent="0.25">
      <c r="A19" s="44">
        <v>13</v>
      </c>
      <c r="B19" s="45">
        <v>46189</v>
      </c>
      <c r="C19" s="46" t="s">
        <v>134</v>
      </c>
      <c r="D19" s="46" t="s">
        <v>322</v>
      </c>
      <c r="E19" s="80" t="s">
        <v>454</v>
      </c>
      <c r="F19" s="51">
        <v>4</v>
      </c>
      <c r="G19" s="51">
        <v>1</v>
      </c>
      <c r="H19" s="51"/>
      <c r="I19" s="51"/>
      <c r="J19" s="52">
        <v>4000000</v>
      </c>
      <c r="K19" s="53"/>
    </row>
    <row r="20" spans="1:11" ht="20.100000000000001" customHeight="1" x14ac:dyDescent="0.25">
      <c r="A20" s="44">
        <v>14</v>
      </c>
      <c r="B20" s="50">
        <v>46190</v>
      </c>
      <c r="C20" s="31" t="s">
        <v>390</v>
      </c>
      <c r="D20" s="31" t="s">
        <v>414</v>
      </c>
      <c r="E20" s="80">
        <v>46200</v>
      </c>
      <c r="F20" s="51">
        <v>1</v>
      </c>
      <c r="G20" s="51">
        <v>1</v>
      </c>
      <c r="H20" s="51"/>
      <c r="I20" s="51"/>
      <c r="J20" s="52">
        <v>1000000</v>
      </c>
      <c r="K20" s="53"/>
    </row>
    <row r="21" spans="1:11" ht="20.100000000000001" customHeight="1" x14ac:dyDescent="0.25">
      <c r="A21" s="44">
        <v>15</v>
      </c>
      <c r="B21" s="45">
        <v>46191</v>
      </c>
      <c r="C21" s="65" t="s">
        <v>433</v>
      </c>
      <c r="D21" s="65" t="s">
        <v>434</v>
      </c>
      <c r="E21" s="80" t="s">
        <v>435</v>
      </c>
      <c r="F21" s="51">
        <v>3</v>
      </c>
      <c r="G21" s="51">
        <v>1</v>
      </c>
      <c r="H21" s="51"/>
      <c r="I21" s="51">
        <v>3</v>
      </c>
      <c r="J21" s="52">
        <v>3900000</v>
      </c>
      <c r="K21" s="53"/>
    </row>
    <row r="22" spans="1:11" ht="20.100000000000001" customHeight="1" x14ac:dyDescent="0.25">
      <c r="A22" s="44">
        <v>16</v>
      </c>
      <c r="B22" s="50"/>
      <c r="C22" s="63" t="s">
        <v>436</v>
      </c>
      <c r="D22" s="63" t="s">
        <v>65</v>
      </c>
      <c r="E22" s="80">
        <v>46225</v>
      </c>
      <c r="F22" s="51">
        <v>1</v>
      </c>
      <c r="G22" s="51">
        <v>1</v>
      </c>
      <c r="H22" s="51"/>
      <c r="I22" s="51"/>
      <c r="J22" s="52">
        <v>1000000</v>
      </c>
      <c r="K22" s="53"/>
    </row>
    <row r="23" spans="1:11" ht="19.5" customHeight="1" x14ac:dyDescent="0.25">
      <c r="A23" s="44">
        <v>17</v>
      </c>
      <c r="B23" s="50">
        <v>46192</v>
      </c>
      <c r="C23" s="31" t="s">
        <v>421</v>
      </c>
      <c r="D23" s="31" t="s">
        <v>437</v>
      </c>
      <c r="E23" s="80" t="s">
        <v>438</v>
      </c>
      <c r="F23" s="51">
        <v>2</v>
      </c>
      <c r="G23" s="51">
        <v>1</v>
      </c>
      <c r="H23" s="51"/>
      <c r="I23" s="51"/>
      <c r="J23" s="52">
        <v>2000000</v>
      </c>
      <c r="K23" s="53"/>
    </row>
    <row r="24" spans="1:11" ht="19.5" customHeight="1" x14ac:dyDescent="0.25">
      <c r="A24" s="44">
        <v>18</v>
      </c>
      <c r="B24" s="50">
        <v>46193</v>
      </c>
      <c r="C24" s="31" t="s">
        <v>439</v>
      </c>
      <c r="D24" s="31" t="s">
        <v>52</v>
      </c>
      <c r="E24" s="80" t="s">
        <v>440</v>
      </c>
      <c r="F24" s="51">
        <v>3</v>
      </c>
      <c r="G24" s="51">
        <v>1</v>
      </c>
      <c r="H24" s="51">
        <v>2</v>
      </c>
      <c r="I24" s="51"/>
      <c r="J24" s="52">
        <v>6600000</v>
      </c>
      <c r="K24" s="53"/>
    </row>
    <row r="25" spans="1:11" ht="20.100000000000001" customHeight="1" x14ac:dyDescent="0.25">
      <c r="A25" s="44">
        <v>19</v>
      </c>
      <c r="B25" s="45">
        <v>46194</v>
      </c>
      <c r="C25" s="31" t="s">
        <v>441</v>
      </c>
      <c r="D25" s="31" t="s">
        <v>52</v>
      </c>
      <c r="E25" s="89" t="s">
        <v>442</v>
      </c>
      <c r="F25" s="47">
        <v>4</v>
      </c>
      <c r="G25" s="47">
        <v>1</v>
      </c>
      <c r="H25" s="47">
        <v>1</v>
      </c>
      <c r="I25" s="47"/>
      <c r="J25" s="48">
        <v>4400000</v>
      </c>
      <c r="K25" s="53"/>
    </row>
    <row r="26" spans="1:11" ht="20.100000000000001" customHeight="1" x14ac:dyDescent="0.25">
      <c r="A26" s="44">
        <v>20</v>
      </c>
      <c r="B26" s="50">
        <v>46195</v>
      </c>
      <c r="C26" s="31" t="s">
        <v>346</v>
      </c>
      <c r="D26" s="65" t="s">
        <v>347</v>
      </c>
      <c r="E26" s="80" t="s">
        <v>443</v>
      </c>
      <c r="F26" s="51">
        <v>2</v>
      </c>
      <c r="G26" s="51">
        <v>2</v>
      </c>
      <c r="H26" s="51"/>
      <c r="I26" s="51"/>
      <c r="J26" s="52">
        <v>4000000</v>
      </c>
      <c r="K26" s="53" t="s">
        <v>444</v>
      </c>
    </row>
    <row r="27" spans="1:11" ht="20.100000000000001" customHeight="1" x14ac:dyDescent="0.25">
      <c r="A27" s="44">
        <v>21</v>
      </c>
      <c r="B27" s="51"/>
      <c r="C27" s="31" t="s">
        <v>445</v>
      </c>
      <c r="D27" s="80" t="s">
        <v>63</v>
      </c>
      <c r="E27" s="31" t="s">
        <v>443</v>
      </c>
      <c r="F27" s="51">
        <v>2</v>
      </c>
      <c r="G27" s="51">
        <v>1</v>
      </c>
      <c r="H27" s="51"/>
      <c r="I27" s="51">
        <v>1</v>
      </c>
      <c r="J27" s="52">
        <v>2200000</v>
      </c>
      <c r="K27" s="53"/>
    </row>
    <row r="28" spans="1:11" ht="20.100000000000001" customHeight="1" x14ac:dyDescent="0.25">
      <c r="A28" s="44">
        <v>22</v>
      </c>
      <c r="B28" s="50">
        <v>46196</v>
      </c>
      <c r="C28" s="31" t="s">
        <v>446</v>
      </c>
      <c r="D28" s="80" t="s">
        <v>107</v>
      </c>
      <c r="E28" s="31" t="s">
        <v>443</v>
      </c>
      <c r="F28" s="51">
        <v>1</v>
      </c>
      <c r="G28" s="51">
        <v>1</v>
      </c>
      <c r="H28" s="51"/>
      <c r="I28" s="51"/>
      <c r="J28" s="48">
        <v>2000000</v>
      </c>
      <c r="K28" s="53"/>
    </row>
    <row r="29" spans="1:11" ht="20.100000000000001" customHeight="1" x14ac:dyDescent="0.25">
      <c r="A29" s="44">
        <v>23</v>
      </c>
      <c r="B29" s="50">
        <v>46197</v>
      </c>
      <c r="C29" s="31" t="s">
        <v>447</v>
      </c>
      <c r="D29" s="31" t="s">
        <v>184</v>
      </c>
      <c r="E29" s="80" t="s">
        <v>448</v>
      </c>
      <c r="F29" s="51">
        <v>7</v>
      </c>
      <c r="G29" s="51">
        <v>1</v>
      </c>
      <c r="H29" s="51"/>
      <c r="I29" s="51"/>
      <c r="J29" s="48">
        <v>7000000</v>
      </c>
      <c r="K29" s="53"/>
    </row>
    <row r="30" spans="1:11" ht="18.75" customHeight="1" x14ac:dyDescent="0.25">
      <c r="A30" s="44">
        <v>24</v>
      </c>
      <c r="B30" s="50">
        <v>46198</v>
      </c>
      <c r="C30" s="58" t="s">
        <v>449</v>
      </c>
      <c r="D30" s="58" t="s">
        <v>184</v>
      </c>
      <c r="E30" s="31" t="s">
        <v>443</v>
      </c>
      <c r="F30" s="51">
        <v>2</v>
      </c>
      <c r="G30" s="51">
        <v>1</v>
      </c>
      <c r="H30" s="51"/>
      <c r="I30" s="51"/>
      <c r="J30" s="48">
        <v>2000000</v>
      </c>
      <c r="K30" s="53"/>
    </row>
    <row r="31" spans="1:11" ht="20.100000000000001" customHeight="1" x14ac:dyDescent="0.25">
      <c r="A31" s="44">
        <v>25</v>
      </c>
      <c r="B31" s="50"/>
      <c r="C31" s="58" t="s">
        <v>421</v>
      </c>
      <c r="D31" s="58" t="s">
        <v>416</v>
      </c>
      <c r="E31" s="31" t="s">
        <v>443</v>
      </c>
      <c r="F31" s="51">
        <v>2</v>
      </c>
      <c r="G31" s="51">
        <v>1</v>
      </c>
      <c r="H31" s="51"/>
      <c r="I31" s="51"/>
      <c r="J31" s="48">
        <v>2000000</v>
      </c>
      <c r="K31" s="53"/>
    </row>
    <row r="32" spans="1:11" ht="20.100000000000001" customHeight="1" x14ac:dyDescent="0.25">
      <c r="A32" s="44">
        <v>26</v>
      </c>
      <c r="B32" s="50"/>
      <c r="C32" s="31" t="s">
        <v>336</v>
      </c>
      <c r="D32" s="31" t="s">
        <v>450</v>
      </c>
      <c r="E32" s="31" t="s">
        <v>451</v>
      </c>
      <c r="F32" s="51">
        <v>5</v>
      </c>
      <c r="G32" s="51">
        <v>1</v>
      </c>
      <c r="H32" s="51"/>
      <c r="I32" s="51"/>
      <c r="J32" s="48">
        <v>5000000</v>
      </c>
      <c r="K32" s="53"/>
    </row>
    <row r="33" spans="1:11" ht="20.100000000000001" customHeight="1" x14ac:dyDescent="0.25">
      <c r="A33" s="44">
        <v>27</v>
      </c>
      <c r="B33" s="50"/>
      <c r="C33" s="31" t="s">
        <v>452</v>
      </c>
      <c r="D33" s="31" t="s">
        <v>378</v>
      </c>
      <c r="E33" s="80">
        <v>46200</v>
      </c>
      <c r="F33" s="51">
        <v>1</v>
      </c>
      <c r="G33" s="51">
        <v>1</v>
      </c>
      <c r="H33" s="51"/>
      <c r="I33" s="51"/>
      <c r="J33" s="48">
        <v>1000000</v>
      </c>
      <c r="K33" s="53"/>
    </row>
    <row r="34" spans="1:11" ht="20.100000000000001" customHeight="1" x14ac:dyDescent="0.25">
      <c r="A34" s="44">
        <v>28</v>
      </c>
      <c r="B34" s="200"/>
      <c r="C34" s="199" t="s">
        <v>228</v>
      </c>
      <c r="D34" s="201" t="s">
        <v>453</v>
      </c>
      <c r="E34" s="188">
        <v>46201</v>
      </c>
      <c r="F34" s="202">
        <v>1</v>
      </c>
      <c r="G34" s="202">
        <v>1</v>
      </c>
      <c r="H34" s="202">
        <v>2</v>
      </c>
      <c r="I34" s="202"/>
      <c r="J34" s="196">
        <v>1200000</v>
      </c>
      <c r="K34" s="197"/>
    </row>
    <row r="35" spans="1:11" ht="20.100000000000001" customHeight="1" x14ac:dyDescent="0.25">
      <c r="A35" s="67"/>
      <c r="B35" s="67"/>
      <c r="C35" s="222" t="s">
        <v>8</v>
      </c>
      <c r="D35" s="223"/>
      <c r="E35" s="224"/>
      <c r="F35" s="68">
        <f>SUM(F7:F34)</f>
        <v>88</v>
      </c>
      <c r="G35" s="68">
        <f>SUM(G7:G34)</f>
        <v>38</v>
      </c>
      <c r="H35" s="68">
        <f>SUM(H7:H34)</f>
        <v>10</v>
      </c>
      <c r="I35" s="68">
        <f>SUM(I7:I34)</f>
        <v>17</v>
      </c>
      <c r="J35" s="69">
        <f>SUM(J7:J34)</f>
        <v>144800000</v>
      </c>
      <c r="K35" s="70"/>
    </row>
    <row r="36" spans="1:11" ht="15.75" x14ac:dyDescent="0.25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</row>
    <row r="37" spans="1:11" ht="15.75" x14ac:dyDescent="0.25">
      <c r="A37" s="33"/>
      <c r="B37" s="33"/>
      <c r="C37" s="33"/>
      <c r="D37" s="33"/>
      <c r="E37" s="33"/>
      <c r="F37" s="33"/>
      <c r="G37" s="33"/>
      <c r="H37" s="33"/>
      <c r="I37" s="33"/>
      <c r="J37" s="71"/>
      <c r="K37" s="72"/>
    </row>
    <row r="38" spans="1:11" ht="15.75" x14ac:dyDescent="0.25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</row>
    <row r="39" spans="1:11" ht="26.25" customHeight="1" x14ac:dyDescent="0.2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</row>
    <row r="40" spans="1:11" ht="30" x14ac:dyDescent="0.25">
      <c r="A40" s="34" t="s">
        <v>0</v>
      </c>
      <c r="B40" s="34" t="s">
        <v>10</v>
      </c>
      <c r="C40" s="34" t="s">
        <v>5</v>
      </c>
      <c r="D40" s="35" t="s">
        <v>1</v>
      </c>
      <c r="E40" s="35" t="s">
        <v>6</v>
      </c>
      <c r="F40" s="35" t="s">
        <v>3</v>
      </c>
      <c r="G40" s="35" t="s">
        <v>4</v>
      </c>
      <c r="H40" s="35" t="s">
        <v>7</v>
      </c>
      <c r="I40" s="35" t="s">
        <v>32</v>
      </c>
      <c r="J40" s="35" t="s">
        <v>2</v>
      </c>
      <c r="K40" s="36" t="s">
        <v>34</v>
      </c>
    </row>
    <row r="41" spans="1:11" ht="19.5" customHeight="1" x14ac:dyDescent="0.25">
      <c r="A41" s="73"/>
      <c r="B41" s="251" t="s">
        <v>11</v>
      </c>
      <c r="C41" s="252"/>
      <c r="D41" s="252"/>
      <c r="E41" s="253"/>
      <c r="F41" s="37">
        <f>SUM(F35)</f>
        <v>88</v>
      </c>
      <c r="G41" s="37">
        <f>SUM(G35)</f>
        <v>38</v>
      </c>
      <c r="H41" s="37">
        <f>SUM(H35)</f>
        <v>10</v>
      </c>
      <c r="I41" s="37">
        <f>SUM(I35)</f>
        <v>17</v>
      </c>
      <c r="J41" s="74">
        <f>SUM(J35)</f>
        <v>144800000</v>
      </c>
      <c r="K41" s="43"/>
    </row>
    <row r="42" spans="1:11" ht="20.100000000000001" customHeight="1" x14ac:dyDescent="0.25">
      <c r="A42" s="44">
        <v>29</v>
      </c>
      <c r="B42" s="50">
        <v>46199</v>
      </c>
      <c r="C42" s="63" t="s">
        <v>427</v>
      </c>
      <c r="D42" s="63" t="s">
        <v>428</v>
      </c>
      <c r="E42" s="90" t="s">
        <v>443</v>
      </c>
      <c r="F42" s="75">
        <v>2</v>
      </c>
      <c r="G42" s="75">
        <v>1</v>
      </c>
      <c r="H42" s="75"/>
      <c r="I42" s="75"/>
      <c r="J42" s="76">
        <v>2000000</v>
      </c>
      <c r="K42" s="77"/>
    </row>
    <row r="43" spans="1:11" ht="20.100000000000001" customHeight="1" x14ac:dyDescent="0.25">
      <c r="A43" s="44">
        <v>30</v>
      </c>
      <c r="B43" s="50"/>
      <c r="C43" s="31" t="s">
        <v>244</v>
      </c>
      <c r="D43" s="31" t="s">
        <v>456</v>
      </c>
      <c r="E43" s="90" t="s">
        <v>457</v>
      </c>
      <c r="F43" s="75">
        <v>10</v>
      </c>
      <c r="G43" s="75">
        <v>5</v>
      </c>
      <c r="H43" s="75"/>
      <c r="I43" s="75"/>
      <c r="J43" s="76">
        <v>50000000</v>
      </c>
      <c r="K43" s="49"/>
    </row>
    <row r="44" spans="1:11" ht="20.100000000000001" customHeight="1" x14ac:dyDescent="0.25">
      <c r="A44" s="44">
        <v>31</v>
      </c>
      <c r="B44" s="50"/>
      <c r="C44" s="31" t="s">
        <v>126</v>
      </c>
      <c r="D44" s="31" t="s">
        <v>311</v>
      </c>
      <c r="E44" s="31" t="s">
        <v>455</v>
      </c>
      <c r="F44" s="51">
        <v>5</v>
      </c>
      <c r="G44" s="51">
        <v>1</v>
      </c>
      <c r="H44" s="51"/>
      <c r="I44" s="51"/>
      <c r="J44" s="52">
        <v>5000000</v>
      </c>
      <c r="K44" s="77"/>
    </row>
    <row r="45" spans="1:11" ht="20.100000000000001" customHeight="1" x14ac:dyDescent="0.25">
      <c r="A45" s="44">
        <v>32</v>
      </c>
      <c r="B45" s="50">
        <v>46200</v>
      </c>
      <c r="C45" s="54" t="s">
        <v>458</v>
      </c>
      <c r="D45" s="78" t="s">
        <v>268</v>
      </c>
      <c r="E45" s="54" t="s">
        <v>459</v>
      </c>
      <c r="F45" s="56">
        <v>13</v>
      </c>
      <c r="G45" s="56">
        <v>2</v>
      </c>
      <c r="H45" s="56"/>
      <c r="I45" s="56"/>
      <c r="J45" s="57">
        <v>23000000</v>
      </c>
      <c r="K45" s="77" t="s">
        <v>460</v>
      </c>
    </row>
    <row r="46" spans="1:11" ht="20.100000000000001" customHeight="1" x14ac:dyDescent="0.25">
      <c r="A46" s="44">
        <v>33</v>
      </c>
      <c r="B46" s="50">
        <v>46202</v>
      </c>
      <c r="C46" s="58" t="s">
        <v>287</v>
      </c>
      <c r="D46" s="58" t="s">
        <v>492</v>
      </c>
      <c r="E46" s="80" t="s">
        <v>493</v>
      </c>
      <c r="F46" s="51">
        <v>3</v>
      </c>
      <c r="G46" s="51">
        <v>1</v>
      </c>
      <c r="H46" s="51">
        <v>1</v>
      </c>
      <c r="I46" s="51"/>
      <c r="J46" s="52">
        <v>3300000</v>
      </c>
      <c r="K46" s="77"/>
    </row>
    <row r="47" spans="1:11" ht="28.5" customHeight="1" x14ac:dyDescent="0.25">
      <c r="A47" s="44">
        <v>34</v>
      </c>
      <c r="B47" s="79"/>
      <c r="C47" s="63" t="s">
        <v>436</v>
      </c>
      <c r="D47" s="63" t="s">
        <v>65</v>
      </c>
      <c r="E47" s="80" t="s">
        <v>494</v>
      </c>
      <c r="F47" s="51">
        <v>10</v>
      </c>
      <c r="G47" s="51">
        <v>1</v>
      </c>
      <c r="H47" s="51"/>
      <c r="I47" s="51"/>
      <c r="J47" s="52">
        <v>10000000</v>
      </c>
      <c r="K47" s="77"/>
    </row>
    <row r="48" spans="1:11" ht="20.100000000000001" customHeight="1" x14ac:dyDescent="0.25">
      <c r="A48" s="44">
        <v>35</v>
      </c>
      <c r="B48" s="50"/>
      <c r="C48" s="31" t="s">
        <v>390</v>
      </c>
      <c r="D48" s="31" t="s">
        <v>414</v>
      </c>
      <c r="E48" s="80" t="s">
        <v>495</v>
      </c>
      <c r="F48" s="51">
        <v>4</v>
      </c>
      <c r="G48" s="51">
        <v>1</v>
      </c>
      <c r="H48" s="51"/>
      <c r="I48" s="51"/>
      <c r="J48" s="52">
        <v>4000000</v>
      </c>
      <c r="K48" s="77"/>
    </row>
    <row r="49" spans="1:11" ht="20.100000000000001" customHeight="1" x14ac:dyDescent="0.25">
      <c r="A49" s="67"/>
      <c r="B49" s="67"/>
      <c r="C49" s="222" t="s">
        <v>8</v>
      </c>
      <c r="D49" s="223"/>
      <c r="E49" s="224"/>
      <c r="F49" s="82">
        <f>SUM(F41:F48)</f>
        <v>135</v>
      </c>
      <c r="G49" s="82">
        <f>SUM(G41:G48)</f>
        <v>50</v>
      </c>
      <c r="H49" s="82">
        <f>SUM(H41:H48)</f>
        <v>11</v>
      </c>
      <c r="I49" s="82">
        <f>SUM(I41:I48)</f>
        <v>17</v>
      </c>
      <c r="J49" s="83">
        <f>SUM(J41:J48)</f>
        <v>242100000</v>
      </c>
      <c r="K49" s="70"/>
    </row>
    <row r="50" spans="1:11" ht="15.75" x14ac:dyDescent="0.25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</row>
    <row r="51" spans="1:11" ht="15.75" x14ac:dyDescent="0.25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</row>
    <row r="52" spans="1:11" ht="15.75" x14ac:dyDescent="0.25">
      <c r="A52" s="33"/>
      <c r="B52" s="33"/>
      <c r="C52" s="33"/>
      <c r="D52" s="33"/>
      <c r="E52" s="33"/>
      <c r="F52" s="33"/>
      <c r="G52" s="33"/>
      <c r="H52" s="218" t="s">
        <v>496</v>
      </c>
      <c r="I52" s="219"/>
      <c r="J52" s="219"/>
      <c r="K52" s="219"/>
    </row>
    <row r="53" spans="1:11" ht="15.75" x14ac:dyDescent="0.25">
      <c r="A53" s="33"/>
      <c r="B53" s="33"/>
      <c r="C53" s="33"/>
      <c r="D53" s="33"/>
      <c r="E53" s="33"/>
      <c r="F53" s="33"/>
      <c r="G53" s="33"/>
      <c r="H53" s="218" t="s">
        <v>42</v>
      </c>
      <c r="I53" s="219"/>
      <c r="J53" s="219"/>
      <c r="K53" s="219"/>
    </row>
    <row r="54" spans="1:11" ht="15.75" x14ac:dyDescent="0.25">
      <c r="A54" s="33"/>
      <c r="B54" s="33"/>
      <c r="C54" s="33"/>
      <c r="D54" s="33"/>
      <c r="E54" s="33"/>
      <c r="F54" s="33"/>
      <c r="G54" s="33"/>
      <c r="H54" s="218" t="s">
        <v>38</v>
      </c>
      <c r="I54" s="219"/>
      <c r="J54" s="219"/>
      <c r="K54" s="219"/>
    </row>
    <row r="55" spans="1:11" ht="15.75" x14ac:dyDescent="0.25">
      <c r="A55" s="33"/>
      <c r="B55" s="33"/>
      <c r="C55" s="33"/>
      <c r="D55" s="33"/>
      <c r="E55" s="33"/>
      <c r="F55" s="33"/>
      <c r="G55" s="33"/>
      <c r="H55" s="218" t="s">
        <v>39</v>
      </c>
      <c r="I55" s="219"/>
      <c r="J55" s="219"/>
      <c r="K55" s="219"/>
    </row>
    <row r="56" spans="1:11" ht="15.75" x14ac:dyDescent="0.25">
      <c r="A56" s="33"/>
      <c r="B56" s="33"/>
      <c r="C56" s="33"/>
      <c r="D56" s="33"/>
      <c r="E56" s="33"/>
      <c r="F56" s="33"/>
      <c r="G56" s="33"/>
      <c r="H56" s="220" t="s">
        <v>40</v>
      </c>
      <c r="I56" s="220"/>
      <c r="J56" s="220"/>
      <c r="K56" s="220"/>
    </row>
    <row r="57" spans="1:11" ht="15.75" x14ac:dyDescent="0.25">
      <c r="A57" s="33"/>
      <c r="B57" s="33"/>
      <c r="C57" s="33"/>
      <c r="D57" s="33"/>
      <c r="E57" s="33"/>
      <c r="F57" s="33"/>
      <c r="G57" s="33"/>
      <c r="H57" s="29"/>
      <c r="I57" s="32"/>
      <c r="J57" s="32"/>
      <c r="K57" s="32"/>
    </row>
    <row r="58" spans="1:11" ht="15.75" x14ac:dyDescent="0.25">
      <c r="A58" s="33"/>
      <c r="B58" s="33"/>
      <c r="C58" s="33"/>
      <c r="D58" s="33"/>
      <c r="E58" s="33"/>
      <c r="F58" s="33"/>
      <c r="G58" s="33"/>
      <c r="H58" s="29"/>
      <c r="I58" s="30"/>
      <c r="J58" s="30"/>
      <c r="K58" s="29"/>
    </row>
    <row r="59" spans="1:11" ht="15.75" x14ac:dyDescent="0.25">
      <c r="A59" s="33"/>
      <c r="B59" s="33"/>
      <c r="C59" s="33"/>
      <c r="D59" s="33"/>
      <c r="E59" s="33"/>
      <c r="F59" s="33"/>
      <c r="G59" s="33"/>
      <c r="H59" s="218" t="s">
        <v>43</v>
      </c>
      <c r="I59" s="219"/>
      <c r="J59" s="219"/>
      <c r="K59" s="219"/>
    </row>
    <row r="60" spans="1:11" ht="15.75" x14ac:dyDescent="0.25">
      <c r="A60" s="33"/>
      <c r="B60" s="33"/>
      <c r="C60" s="33"/>
      <c r="D60" s="33"/>
      <c r="E60" s="33"/>
      <c r="F60" s="33"/>
      <c r="G60" s="33"/>
      <c r="H60" s="218" t="s">
        <v>44</v>
      </c>
      <c r="I60" s="219"/>
      <c r="J60" s="219"/>
      <c r="K60" s="219"/>
    </row>
    <row r="61" spans="1:11" ht="15.75" x14ac:dyDescent="0.25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</row>
    <row r="62" spans="1:11" ht="15.75" x14ac:dyDescent="0.25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</row>
    <row r="63" spans="1:11" ht="15.75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</row>
    <row r="64" spans="1:11" ht="15.75" x14ac:dyDescent="0.25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</row>
  </sheetData>
  <mergeCells count="14">
    <mergeCell ref="B41:E41"/>
    <mergeCell ref="A1:K1"/>
    <mergeCell ref="A2:K2"/>
    <mergeCell ref="A3:K3"/>
    <mergeCell ref="A4:K4"/>
    <mergeCell ref="C35:E35"/>
    <mergeCell ref="H55:K55"/>
    <mergeCell ref="H56:K56"/>
    <mergeCell ref="H59:K59"/>
    <mergeCell ref="H60:K60"/>
    <mergeCell ref="C49:E49"/>
    <mergeCell ref="H52:K52"/>
    <mergeCell ref="H53:K53"/>
    <mergeCell ref="H54:K54"/>
  </mergeCells>
  <pageMargins left="0.23622047244094491" right="3.937007874015748E-2" top="0.15748031496062992" bottom="0.15748031496062992" header="0.31496062992125984" footer="0.31496062992125984"/>
  <pageSetup paperSize="122" scale="80" orientation="landscape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797F8-7A15-4AC7-9717-4E3CE4433677}">
  <dimension ref="A1:K66"/>
  <sheetViews>
    <sheetView showGridLines="0" topLeftCell="A36" zoomScaleNormal="100" workbookViewId="0">
      <selection activeCell="Q33" sqref="Q33"/>
    </sheetView>
  </sheetViews>
  <sheetFormatPr defaultRowHeight="15" x14ac:dyDescent="0.25"/>
  <cols>
    <col min="1" max="1" width="4.28515625" customWidth="1"/>
    <col min="2" max="2" width="13.42578125" customWidth="1"/>
    <col min="3" max="3" width="35.140625" customWidth="1"/>
    <col min="4" max="4" width="31.5703125" customWidth="1"/>
    <col min="5" max="5" width="45.7109375" customWidth="1"/>
    <col min="6" max="7" width="8" customWidth="1"/>
    <col min="8" max="8" width="9.140625" customWidth="1"/>
    <col min="9" max="9" width="9.85546875" customWidth="1"/>
    <col min="10" max="10" width="19" customWidth="1"/>
    <col min="11" max="11" width="14.140625" customWidth="1"/>
    <col min="17" max="17" width="10.140625" bestFit="1" customWidth="1"/>
    <col min="19" max="19" width="14.28515625" customWidth="1"/>
  </cols>
  <sheetData>
    <row r="1" spans="1:11" ht="15.75" x14ac:dyDescent="0.25">
      <c r="A1" s="217" t="s">
        <v>85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</row>
    <row r="2" spans="1:11" ht="15.75" x14ac:dyDescent="0.25">
      <c r="A2" s="217" t="s">
        <v>9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</row>
    <row r="3" spans="1:11" ht="15.75" x14ac:dyDescent="0.25">
      <c r="A3" s="217" t="s">
        <v>84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</row>
    <row r="4" spans="1:11" ht="15.75" x14ac:dyDescent="0.25">
      <c r="A4" s="217" t="s">
        <v>461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</row>
    <row r="5" spans="1:11" ht="21" customHeight="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</row>
    <row r="6" spans="1:11" ht="29.25" customHeight="1" x14ac:dyDescent="0.25">
      <c r="A6" s="34" t="s">
        <v>0</v>
      </c>
      <c r="B6" s="34" t="s">
        <v>10</v>
      </c>
      <c r="C6" s="34" t="s">
        <v>5</v>
      </c>
      <c r="D6" s="35" t="s">
        <v>1</v>
      </c>
      <c r="E6" s="35" t="s">
        <v>6</v>
      </c>
      <c r="F6" s="35" t="s">
        <v>3</v>
      </c>
      <c r="G6" s="35" t="s">
        <v>4</v>
      </c>
      <c r="H6" s="35" t="s">
        <v>7</v>
      </c>
      <c r="I6" s="35" t="s">
        <v>32</v>
      </c>
      <c r="J6" s="35" t="s">
        <v>2</v>
      </c>
      <c r="K6" s="36" t="s">
        <v>34</v>
      </c>
    </row>
    <row r="7" spans="1:11" ht="18.75" customHeight="1" x14ac:dyDescent="0.25">
      <c r="A7" s="37">
        <v>1</v>
      </c>
      <c r="B7" s="38">
        <v>46204</v>
      </c>
      <c r="C7" s="159" t="s">
        <v>346</v>
      </c>
      <c r="D7" s="159" t="s">
        <v>92</v>
      </c>
      <c r="E7" s="88" t="s">
        <v>462</v>
      </c>
      <c r="F7" s="41">
        <v>4</v>
      </c>
      <c r="G7" s="41">
        <v>1</v>
      </c>
      <c r="H7" s="41"/>
      <c r="I7" s="41"/>
      <c r="J7" s="42">
        <v>7000000</v>
      </c>
      <c r="K7" s="43" t="s">
        <v>491</v>
      </c>
    </row>
    <row r="8" spans="1:11" ht="18.75" customHeight="1" x14ac:dyDescent="0.25">
      <c r="A8" s="44">
        <v>2</v>
      </c>
      <c r="B8" s="45"/>
      <c r="C8" s="31" t="s">
        <v>463</v>
      </c>
      <c r="D8" s="31" t="s">
        <v>63</v>
      </c>
      <c r="E8" s="89" t="s">
        <v>464</v>
      </c>
      <c r="F8" s="47">
        <v>2</v>
      </c>
      <c r="G8" s="47">
        <v>1</v>
      </c>
      <c r="H8" s="47">
        <v>1</v>
      </c>
      <c r="I8" s="47"/>
      <c r="J8" s="48">
        <v>2200000</v>
      </c>
      <c r="K8" s="53"/>
    </row>
    <row r="9" spans="1:11" ht="18.75" customHeight="1" x14ac:dyDescent="0.25">
      <c r="A9" s="37">
        <v>3</v>
      </c>
      <c r="B9" s="79"/>
      <c r="C9" s="31" t="s">
        <v>465</v>
      </c>
      <c r="D9" s="31" t="s">
        <v>466</v>
      </c>
      <c r="E9" s="80" t="s">
        <v>467</v>
      </c>
      <c r="F9" s="51">
        <v>6</v>
      </c>
      <c r="G9" s="51">
        <v>1</v>
      </c>
      <c r="H9" s="51">
        <v>1</v>
      </c>
      <c r="I9" s="51"/>
      <c r="J9" s="52">
        <v>9600000</v>
      </c>
      <c r="K9" s="53" t="s">
        <v>468</v>
      </c>
    </row>
    <row r="10" spans="1:11" s="198" customFormat="1" ht="20.100000000000001" customHeight="1" x14ac:dyDescent="0.25">
      <c r="A10" s="44">
        <v>4</v>
      </c>
      <c r="B10" s="79">
        <v>46205</v>
      </c>
      <c r="C10" s="92" t="s">
        <v>286</v>
      </c>
      <c r="D10" s="203" t="s">
        <v>469</v>
      </c>
      <c r="E10" s="80" t="s">
        <v>470</v>
      </c>
      <c r="F10" s="204">
        <v>4</v>
      </c>
      <c r="G10" s="75">
        <v>1</v>
      </c>
      <c r="H10" s="75"/>
      <c r="I10" s="75"/>
      <c r="J10" s="76">
        <v>4000000</v>
      </c>
      <c r="K10" s="49"/>
    </row>
    <row r="11" spans="1:11" ht="20.100000000000001" customHeight="1" x14ac:dyDescent="0.25">
      <c r="A11" s="37">
        <v>5</v>
      </c>
      <c r="B11" s="50"/>
      <c r="C11" s="31" t="s">
        <v>419</v>
      </c>
      <c r="D11" s="31" t="s">
        <v>420</v>
      </c>
      <c r="E11" s="80">
        <v>46208</v>
      </c>
      <c r="F11" s="51">
        <v>1</v>
      </c>
      <c r="G11" s="51">
        <v>1</v>
      </c>
      <c r="H11" s="51">
        <v>1</v>
      </c>
      <c r="I11" s="51"/>
      <c r="J11" s="52">
        <v>1200000</v>
      </c>
      <c r="K11" s="53"/>
    </row>
    <row r="12" spans="1:11" ht="20.100000000000001" customHeight="1" x14ac:dyDescent="0.25">
      <c r="A12" s="44">
        <v>6</v>
      </c>
      <c r="B12" s="45"/>
      <c r="C12" s="58" t="s">
        <v>436</v>
      </c>
      <c r="D12" s="58" t="s">
        <v>471</v>
      </c>
      <c r="E12" s="80" t="s">
        <v>472</v>
      </c>
      <c r="F12" s="51">
        <v>8</v>
      </c>
      <c r="G12" s="51">
        <v>1</v>
      </c>
      <c r="H12" s="51"/>
      <c r="I12" s="51"/>
      <c r="J12" s="52">
        <v>8000000</v>
      </c>
      <c r="K12" s="53"/>
    </row>
    <row r="13" spans="1:11" ht="20.100000000000001" customHeight="1" x14ac:dyDescent="0.25">
      <c r="A13" s="37">
        <v>7</v>
      </c>
      <c r="B13" s="45"/>
      <c r="C13" s="31" t="s">
        <v>280</v>
      </c>
      <c r="D13" s="31" t="s">
        <v>473</v>
      </c>
      <c r="E13" s="80" t="s">
        <v>464</v>
      </c>
      <c r="F13" s="51">
        <v>2</v>
      </c>
      <c r="G13" s="51">
        <v>1</v>
      </c>
      <c r="H13" s="51"/>
      <c r="I13" s="51"/>
      <c r="J13" s="52">
        <v>2000000</v>
      </c>
      <c r="K13" s="53"/>
    </row>
    <row r="14" spans="1:11" ht="20.100000000000001" customHeight="1" x14ac:dyDescent="0.25">
      <c r="A14" s="44">
        <v>8</v>
      </c>
      <c r="B14" s="50">
        <v>46206</v>
      </c>
      <c r="C14" s="31" t="s">
        <v>80</v>
      </c>
      <c r="D14" s="31" t="s">
        <v>474</v>
      </c>
      <c r="E14" s="80" t="s">
        <v>464</v>
      </c>
      <c r="F14" s="51">
        <v>2</v>
      </c>
      <c r="G14" s="51">
        <v>1</v>
      </c>
      <c r="H14" s="51"/>
      <c r="I14" s="51"/>
      <c r="J14" s="52">
        <v>2000000</v>
      </c>
      <c r="K14" s="53"/>
    </row>
    <row r="15" spans="1:11" ht="20.100000000000001" customHeight="1" x14ac:dyDescent="0.25">
      <c r="A15" s="37">
        <v>9</v>
      </c>
      <c r="B15" s="45"/>
      <c r="C15" s="63" t="s">
        <v>475</v>
      </c>
      <c r="D15" s="63" t="s">
        <v>184</v>
      </c>
      <c r="E15" s="80" t="s">
        <v>464</v>
      </c>
      <c r="F15" s="51">
        <v>2</v>
      </c>
      <c r="G15" s="51">
        <v>1</v>
      </c>
      <c r="H15" s="51"/>
      <c r="I15" s="51"/>
      <c r="J15" s="52">
        <v>2000000</v>
      </c>
      <c r="K15" s="53"/>
    </row>
    <row r="16" spans="1:11" ht="15.75" customHeight="1" x14ac:dyDescent="0.25">
      <c r="A16" s="44">
        <v>10</v>
      </c>
      <c r="B16" s="45"/>
      <c r="C16" s="31" t="s">
        <v>61</v>
      </c>
      <c r="D16" s="31" t="s">
        <v>476</v>
      </c>
      <c r="E16" s="80" t="s">
        <v>477</v>
      </c>
      <c r="F16" s="51">
        <v>8</v>
      </c>
      <c r="G16" s="51">
        <v>1</v>
      </c>
      <c r="H16" s="51">
        <v>1</v>
      </c>
      <c r="I16" s="51"/>
      <c r="J16" s="52">
        <v>13200000</v>
      </c>
      <c r="K16" s="53" t="s">
        <v>490</v>
      </c>
    </row>
    <row r="17" spans="1:11" ht="19.5" customHeight="1" x14ac:dyDescent="0.25">
      <c r="A17" s="37">
        <v>11</v>
      </c>
      <c r="B17" s="45"/>
      <c r="C17" s="31" t="s">
        <v>421</v>
      </c>
      <c r="D17" s="31" t="s">
        <v>437</v>
      </c>
      <c r="E17" s="80" t="s">
        <v>464</v>
      </c>
      <c r="F17" s="51">
        <v>2</v>
      </c>
      <c r="G17" s="47">
        <v>1</v>
      </c>
      <c r="H17" s="51"/>
      <c r="I17" s="51"/>
      <c r="J17" s="52">
        <v>2000000</v>
      </c>
      <c r="K17" s="53"/>
    </row>
    <row r="18" spans="1:11" ht="20.100000000000001" customHeight="1" x14ac:dyDescent="0.25">
      <c r="A18" s="44">
        <v>12</v>
      </c>
      <c r="B18" s="50"/>
      <c r="C18" s="31" t="s">
        <v>478</v>
      </c>
      <c r="D18" s="31" t="s">
        <v>479</v>
      </c>
      <c r="E18" s="80" t="s">
        <v>462</v>
      </c>
      <c r="F18" s="51">
        <v>4</v>
      </c>
      <c r="G18" s="51">
        <v>1</v>
      </c>
      <c r="H18" s="51">
        <v>1</v>
      </c>
      <c r="I18" s="51"/>
      <c r="J18" s="52">
        <v>4400000</v>
      </c>
      <c r="K18" s="53"/>
    </row>
    <row r="19" spans="1:11" ht="20.100000000000001" customHeight="1" x14ac:dyDescent="0.25">
      <c r="A19" s="37">
        <v>13</v>
      </c>
      <c r="B19" s="45"/>
      <c r="C19" s="241" t="s">
        <v>134</v>
      </c>
      <c r="D19" s="241" t="s">
        <v>480</v>
      </c>
      <c r="E19" s="243" t="s">
        <v>462</v>
      </c>
      <c r="F19" s="254">
        <v>4</v>
      </c>
      <c r="G19" s="254">
        <v>1</v>
      </c>
      <c r="H19" s="51"/>
      <c r="I19" s="51"/>
      <c r="J19" s="52">
        <v>2000000</v>
      </c>
      <c r="K19" s="53"/>
    </row>
    <row r="20" spans="1:11" ht="20.100000000000001" customHeight="1" x14ac:dyDescent="0.25">
      <c r="A20" s="44">
        <v>14</v>
      </c>
      <c r="B20" s="45"/>
      <c r="C20" s="242"/>
      <c r="D20" s="242"/>
      <c r="E20" s="245"/>
      <c r="F20" s="255"/>
      <c r="G20" s="255"/>
      <c r="H20" s="51"/>
      <c r="I20" s="51"/>
      <c r="J20" s="52">
        <v>2000000</v>
      </c>
      <c r="K20" s="53"/>
    </row>
    <row r="21" spans="1:11" ht="20.100000000000001" customHeight="1" x14ac:dyDescent="0.25">
      <c r="A21" s="37">
        <v>15</v>
      </c>
      <c r="B21" s="45"/>
      <c r="C21" s="46"/>
      <c r="D21" s="46"/>
      <c r="E21" s="80"/>
      <c r="F21" s="51">
        <v>2</v>
      </c>
      <c r="G21" s="51">
        <v>1</v>
      </c>
      <c r="H21" s="51"/>
      <c r="I21" s="51"/>
      <c r="J21" s="52">
        <v>2000000</v>
      </c>
      <c r="K21" s="53"/>
    </row>
    <row r="22" spans="1:11" ht="20.100000000000001" customHeight="1" x14ac:dyDescent="0.25">
      <c r="A22" s="44">
        <v>16</v>
      </c>
      <c r="B22" s="50">
        <v>46208</v>
      </c>
      <c r="C22" s="31" t="s">
        <v>343</v>
      </c>
      <c r="D22" s="31" t="s">
        <v>344</v>
      </c>
      <c r="E22" s="80" t="s">
        <v>481</v>
      </c>
      <c r="F22" s="51">
        <v>5</v>
      </c>
      <c r="G22" s="51">
        <v>1</v>
      </c>
      <c r="H22" s="51"/>
      <c r="I22" s="51"/>
      <c r="J22" s="52">
        <v>5000000</v>
      </c>
      <c r="K22" s="53"/>
    </row>
    <row r="23" spans="1:11" ht="20.100000000000001" customHeight="1" x14ac:dyDescent="0.25">
      <c r="A23" s="37">
        <v>17</v>
      </c>
      <c r="B23" s="45">
        <v>46211</v>
      </c>
      <c r="C23" s="65" t="s">
        <v>482</v>
      </c>
      <c r="D23" s="65" t="s">
        <v>227</v>
      </c>
      <c r="E23" s="80" t="s">
        <v>483</v>
      </c>
      <c r="F23" s="51">
        <v>3</v>
      </c>
      <c r="G23" s="51">
        <v>1</v>
      </c>
      <c r="H23" s="51">
        <v>2</v>
      </c>
      <c r="I23" s="51"/>
      <c r="J23" s="52">
        <v>3600000</v>
      </c>
      <c r="K23" s="53"/>
    </row>
    <row r="24" spans="1:11" ht="20.100000000000001" customHeight="1" x14ac:dyDescent="0.25">
      <c r="A24" s="44">
        <v>18</v>
      </c>
      <c r="B24" s="45">
        <v>46212</v>
      </c>
      <c r="C24" s="31" t="s">
        <v>126</v>
      </c>
      <c r="D24" s="31" t="s">
        <v>311</v>
      </c>
      <c r="E24" s="80" t="s">
        <v>484</v>
      </c>
      <c r="F24" s="51">
        <v>5</v>
      </c>
      <c r="G24" s="51">
        <v>1</v>
      </c>
      <c r="H24" s="51"/>
      <c r="I24" s="51"/>
      <c r="J24" s="52">
        <v>6000000</v>
      </c>
      <c r="K24" s="53"/>
    </row>
    <row r="25" spans="1:11" ht="19.5" customHeight="1" x14ac:dyDescent="0.25">
      <c r="A25" s="37">
        <v>19</v>
      </c>
      <c r="B25" s="50"/>
      <c r="C25" s="159" t="s">
        <v>346</v>
      </c>
      <c r="D25" s="159" t="s">
        <v>92</v>
      </c>
      <c r="E25" s="80" t="s">
        <v>488</v>
      </c>
      <c r="F25" s="51">
        <v>5</v>
      </c>
      <c r="G25" s="51">
        <v>1</v>
      </c>
      <c r="H25" s="51"/>
      <c r="I25" s="51"/>
      <c r="J25" s="52">
        <v>5000000</v>
      </c>
      <c r="K25" s="53" t="s">
        <v>489</v>
      </c>
    </row>
    <row r="26" spans="1:11" ht="19.5" customHeight="1" x14ac:dyDescent="0.25">
      <c r="A26" s="44">
        <v>20</v>
      </c>
      <c r="B26" s="50"/>
      <c r="C26" s="31" t="s">
        <v>421</v>
      </c>
      <c r="D26" s="31" t="s">
        <v>437</v>
      </c>
      <c r="E26" s="80" t="s">
        <v>487</v>
      </c>
      <c r="F26" s="51">
        <v>2</v>
      </c>
      <c r="G26" s="51">
        <v>1</v>
      </c>
      <c r="H26" s="51"/>
      <c r="I26" s="51"/>
      <c r="J26" s="52">
        <v>2000000</v>
      </c>
      <c r="K26" s="53"/>
    </row>
    <row r="27" spans="1:11" ht="20.100000000000001" customHeight="1" x14ac:dyDescent="0.25">
      <c r="A27" s="37">
        <v>21</v>
      </c>
      <c r="B27" s="45"/>
      <c r="C27" s="31" t="s">
        <v>485</v>
      </c>
      <c r="D27" s="31" t="s">
        <v>486</v>
      </c>
      <c r="E27" s="205">
        <v>46215</v>
      </c>
      <c r="F27" s="47">
        <v>1</v>
      </c>
      <c r="G27" s="47">
        <v>1</v>
      </c>
      <c r="H27" s="47"/>
      <c r="I27" s="47"/>
      <c r="J27" s="48">
        <v>1000000</v>
      </c>
      <c r="K27" s="53"/>
    </row>
    <row r="28" spans="1:11" ht="20.100000000000001" customHeight="1" x14ac:dyDescent="0.25">
      <c r="A28" s="44">
        <v>22</v>
      </c>
      <c r="B28" s="45">
        <v>46213</v>
      </c>
      <c r="C28" s="31" t="s">
        <v>80</v>
      </c>
      <c r="D28" s="31" t="s">
        <v>474</v>
      </c>
      <c r="E28" s="80" t="s">
        <v>487</v>
      </c>
      <c r="F28" s="51">
        <v>2</v>
      </c>
      <c r="G28" s="51">
        <v>1</v>
      </c>
      <c r="H28" s="51"/>
      <c r="I28" s="51"/>
      <c r="J28" s="52">
        <v>2000000</v>
      </c>
      <c r="K28" s="53"/>
    </row>
    <row r="29" spans="1:11" ht="20.100000000000001" customHeight="1" x14ac:dyDescent="0.25">
      <c r="A29" s="37">
        <v>23</v>
      </c>
      <c r="B29" s="50">
        <v>46214</v>
      </c>
      <c r="C29" s="31" t="s">
        <v>497</v>
      </c>
      <c r="D29" s="80" t="s">
        <v>184</v>
      </c>
      <c r="E29" s="80">
        <v>46215</v>
      </c>
      <c r="F29" s="51">
        <v>1</v>
      </c>
      <c r="G29" s="51">
        <v>1</v>
      </c>
      <c r="H29" s="51"/>
      <c r="I29" s="51"/>
      <c r="J29" s="52">
        <v>1000000</v>
      </c>
      <c r="K29" s="53"/>
    </row>
    <row r="30" spans="1:11" ht="20.100000000000001" customHeight="1" x14ac:dyDescent="0.25">
      <c r="A30" s="44">
        <v>24</v>
      </c>
      <c r="B30" s="50">
        <v>46215</v>
      </c>
      <c r="C30" s="31" t="s">
        <v>117</v>
      </c>
      <c r="D30" s="80" t="s">
        <v>52</v>
      </c>
      <c r="E30" s="31" t="s">
        <v>498</v>
      </c>
      <c r="F30" s="51">
        <v>3</v>
      </c>
      <c r="G30" s="51">
        <v>4</v>
      </c>
      <c r="H30" s="51"/>
      <c r="I30" s="51"/>
      <c r="J30" s="48">
        <v>12000000</v>
      </c>
      <c r="K30" s="53"/>
    </row>
    <row r="31" spans="1:11" ht="20.100000000000001" customHeight="1" x14ac:dyDescent="0.25">
      <c r="A31" s="37">
        <v>25</v>
      </c>
      <c r="B31" s="50"/>
      <c r="C31" s="31" t="s">
        <v>117</v>
      </c>
      <c r="D31" s="31" t="s">
        <v>117</v>
      </c>
      <c r="E31" s="80" t="s">
        <v>499</v>
      </c>
      <c r="F31" s="51">
        <v>15</v>
      </c>
      <c r="G31" s="51">
        <v>4</v>
      </c>
      <c r="H31" s="51"/>
      <c r="I31" s="51"/>
      <c r="J31" s="48">
        <v>60000000</v>
      </c>
      <c r="K31" s="53"/>
    </row>
    <row r="32" spans="1:11" ht="18.75" customHeight="1" x14ac:dyDescent="0.25">
      <c r="A32" s="44">
        <v>26</v>
      </c>
      <c r="B32" s="50">
        <v>46216</v>
      </c>
      <c r="C32" s="58" t="s">
        <v>500</v>
      </c>
      <c r="D32" s="58" t="s">
        <v>501</v>
      </c>
      <c r="E32" s="31" t="s">
        <v>502</v>
      </c>
      <c r="F32" s="51">
        <v>9</v>
      </c>
      <c r="G32" s="51">
        <v>1</v>
      </c>
      <c r="H32" s="51">
        <v>1</v>
      </c>
      <c r="I32" s="51"/>
      <c r="J32" s="48">
        <v>9900000</v>
      </c>
      <c r="K32" s="53"/>
    </row>
    <row r="33" spans="1:11" ht="20.100000000000001" customHeight="1" x14ac:dyDescent="0.25">
      <c r="A33" s="37">
        <v>27</v>
      </c>
      <c r="B33" s="50">
        <v>46218</v>
      </c>
      <c r="C33" s="58" t="s">
        <v>61</v>
      </c>
      <c r="D33" s="58" t="s">
        <v>52</v>
      </c>
      <c r="E33" s="31" t="s">
        <v>503</v>
      </c>
      <c r="F33" s="51">
        <v>4</v>
      </c>
      <c r="G33" s="51">
        <v>1</v>
      </c>
      <c r="H33" s="51">
        <v>1</v>
      </c>
      <c r="I33" s="51"/>
      <c r="J33" s="48">
        <v>6600000</v>
      </c>
      <c r="K33" s="53" t="s">
        <v>70</v>
      </c>
    </row>
    <row r="34" spans="1:11" ht="20.100000000000001" customHeight="1" x14ac:dyDescent="0.25">
      <c r="A34" s="44">
        <v>28</v>
      </c>
      <c r="B34" s="50">
        <v>46219</v>
      </c>
      <c r="C34" s="31" t="s">
        <v>238</v>
      </c>
      <c r="D34" s="31" t="s">
        <v>504</v>
      </c>
      <c r="E34" s="31" t="s">
        <v>505</v>
      </c>
      <c r="F34" s="51">
        <v>10</v>
      </c>
      <c r="G34" s="51">
        <v>1</v>
      </c>
      <c r="H34" s="51"/>
      <c r="I34" s="51"/>
      <c r="J34" s="48">
        <v>10000000</v>
      </c>
      <c r="K34" s="53"/>
    </row>
    <row r="35" spans="1:11" ht="20.100000000000001" customHeight="1" x14ac:dyDescent="0.25">
      <c r="A35" s="37">
        <v>29</v>
      </c>
      <c r="B35" s="50">
        <v>46220</v>
      </c>
      <c r="C35" s="31" t="s">
        <v>286</v>
      </c>
      <c r="D35" s="31" t="s">
        <v>469</v>
      </c>
      <c r="E35" s="80" t="s">
        <v>506</v>
      </c>
      <c r="F35" s="51">
        <v>4</v>
      </c>
      <c r="G35" s="51">
        <v>1</v>
      </c>
      <c r="H35" s="51"/>
      <c r="I35" s="51"/>
      <c r="J35" s="48">
        <v>4000000</v>
      </c>
      <c r="K35" s="53"/>
    </row>
    <row r="36" spans="1:11" ht="20.100000000000001" customHeight="1" x14ac:dyDescent="0.25">
      <c r="A36" s="67"/>
      <c r="B36" s="67"/>
      <c r="C36" s="222" t="s">
        <v>8</v>
      </c>
      <c r="D36" s="223"/>
      <c r="E36" s="224"/>
      <c r="F36" s="68">
        <f>SUM(F7:F35)</f>
        <v>120</v>
      </c>
      <c r="G36" s="68">
        <f>SUM(G7:G35)</f>
        <v>34</v>
      </c>
      <c r="H36" s="68">
        <f>SUM(H7:H35)</f>
        <v>9</v>
      </c>
      <c r="I36" s="68">
        <f>SUM(I7:I35)</f>
        <v>0</v>
      </c>
      <c r="J36" s="69">
        <f>SUM(J7:J35)</f>
        <v>191700000</v>
      </c>
      <c r="K36" s="70"/>
    </row>
    <row r="37" spans="1:11" ht="15.75" x14ac:dyDescent="0.2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</row>
    <row r="38" spans="1:11" ht="15.75" x14ac:dyDescent="0.25">
      <c r="A38" s="33"/>
      <c r="B38" s="33"/>
      <c r="C38" s="33"/>
      <c r="D38" s="33"/>
      <c r="E38" s="33"/>
      <c r="F38" s="33"/>
      <c r="G38" s="33"/>
      <c r="H38" s="33"/>
      <c r="I38" s="33"/>
      <c r="J38" s="71"/>
      <c r="K38" s="72"/>
    </row>
    <row r="39" spans="1:11" ht="15.75" x14ac:dyDescent="0.2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</row>
    <row r="40" spans="1:11" ht="26.25" customHeight="1" x14ac:dyDescent="0.2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</row>
    <row r="41" spans="1:11" ht="30" x14ac:dyDescent="0.25">
      <c r="A41" s="34" t="s">
        <v>0</v>
      </c>
      <c r="B41" s="34" t="s">
        <v>10</v>
      </c>
      <c r="C41" s="34" t="s">
        <v>5</v>
      </c>
      <c r="D41" s="35" t="s">
        <v>1</v>
      </c>
      <c r="E41" s="35" t="s">
        <v>6</v>
      </c>
      <c r="F41" s="35" t="s">
        <v>3</v>
      </c>
      <c r="G41" s="35" t="s">
        <v>4</v>
      </c>
      <c r="H41" s="35" t="s">
        <v>7</v>
      </c>
      <c r="I41" s="35" t="s">
        <v>32</v>
      </c>
      <c r="J41" s="35" t="s">
        <v>2</v>
      </c>
      <c r="K41" s="36" t="s">
        <v>34</v>
      </c>
    </row>
    <row r="42" spans="1:11" ht="19.5" customHeight="1" x14ac:dyDescent="0.25">
      <c r="A42" s="73"/>
      <c r="B42" s="251" t="s">
        <v>11</v>
      </c>
      <c r="C42" s="252"/>
      <c r="D42" s="252"/>
      <c r="E42" s="253"/>
      <c r="F42" s="37">
        <f>SUM(F36)</f>
        <v>120</v>
      </c>
      <c r="G42" s="37">
        <f>SUM(G36)</f>
        <v>34</v>
      </c>
      <c r="H42" s="37">
        <f>SUM(H36)</f>
        <v>9</v>
      </c>
      <c r="I42" s="37">
        <f>SUM(I36)</f>
        <v>0</v>
      </c>
      <c r="J42" s="74">
        <f>SUM(J36)</f>
        <v>191700000</v>
      </c>
      <c r="K42" s="43"/>
    </row>
    <row r="43" spans="1:11" ht="20.100000000000001" customHeight="1" x14ac:dyDescent="0.25">
      <c r="A43" s="44">
        <v>30</v>
      </c>
      <c r="B43" s="50">
        <v>46227</v>
      </c>
      <c r="C43" s="63" t="s">
        <v>390</v>
      </c>
      <c r="D43" s="63" t="s">
        <v>507</v>
      </c>
      <c r="E43" s="90" t="s">
        <v>508</v>
      </c>
      <c r="F43" s="75">
        <v>5</v>
      </c>
      <c r="G43" s="75">
        <v>1</v>
      </c>
      <c r="H43" s="75"/>
      <c r="I43" s="75"/>
      <c r="J43" s="76">
        <v>5000000</v>
      </c>
      <c r="K43" s="77"/>
    </row>
    <row r="44" spans="1:11" ht="20.100000000000001" customHeight="1" x14ac:dyDescent="0.25">
      <c r="A44" s="44">
        <v>31</v>
      </c>
      <c r="B44" s="50"/>
      <c r="C44" s="58" t="s">
        <v>61</v>
      </c>
      <c r="D44" s="31" t="s">
        <v>509</v>
      </c>
      <c r="E44" s="91">
        <v>46228</v>
      </c>
      <c r="F44" s="75">
        <v>1</v>
      </c>
      <c r="G44" s="75">
        <v>1</v>
      </c>
      <c r="H44" s="75">
        <v>1</v>
      </c>
      <c r="I44" s="75"/>
      <c r="J44" s="76">
        <v>1100000</v>
      </c>
      <c r="K44" s="191"/>
    </row>
    <row r="45" spans="1:11" ht="20.100000000000001" customHeight="1" x14ac:dyDescent="0.25">
      <c r="A45" s="44">
        <v>32</v>
      </c>
      <c r="B45" s="50">
        <v>46230</v>
      </c>
      <c r="C45" s="31" t="s">
        <v>510</v>
      </c>
      <c r="D45" s="31" t="s">
        <v>511</v>
      </c>
      <c r="E45" s="31" t="s">
        <v>512</v>
      </c>
      <c r="F45" s="51">
        <v>4</v>
      </c>
      <c r="G45" s="51">
        <v>1</v>
      </c>
      <c r="H45" s="51"/>
      <c r="I45" s="51"/>
      <c r="J45" s="52">
        <v>4000000</v>
      </c>
      <c r="K45" s="77"/>
    </row>
    <row r="46" spans="1:11" ht="20.100000000000001" customHeight="1" x14ac:dyDescent="0.25">
      <c r="A46" s="44">
        <v>33</v>
      </c>
      <c r="B46" s="50">
        <v>46232</v>
      </c>
      <c r="C46" s="54" t="s">
        <v>458</v>
      </c>
      <c r="D46" s="78" t="s">
        <v>268</v>
      </c>
      <c r="E46" s="54" t="s">
        <v>513</v>
      </c>
      <c r="F46" s="56">
        <v>10</v>
      </c>
      <c r="G46" s="56">
        <v>2</v>
      </c>
      <c r="H46" s="56"/>
      <c r="I46" s="56"/>
      <c r="J46" s="57">
        <v>20000000</v>
      </c>
      <c r="K46" s="77"/>
    </row>
    <row r="47" spans="1:11" ht="20.100000000000001" customHeight="1" x14ac:dyDescent="0.25">
      <c r="A47" s="44">
        <v>34</v>
      </c>
      <c r="B47" s="79"/>
      <c r="C47" s="58" t="s">
        <v>346</v>
      </c>
      <c r="D47" s="58" t="s">
        <v>92</v>
      </c>
      <c r="E47" s="80" t="s">
        <v>514</v>
      </c>
      <c r="F47" s="51">
        <v>2</v>
      </c>
      <c r="G47" s="51">
        <v>2</v>
      </c>
      <c r="H47" s="51"/>
      <c r="I47" s="51"/>
      <c r="J47" s="52">
        <v>4000000</v>
      </c>
      <c r="K47" s="77"/>
    </row>
    <row r="48" spans="1:11" ht="19.5" customHeight="1" x14ac:dyDescent="0.25">
      <c r="A48" s="44">
        <v>35</v>
      </c>
      <c r="B48" s="50">
        <v>46233</v>
      </c>
      <c r="C48" s="31" t="s">
        <v>436</v>
      </c>
      <c r="D48" s="80" t="s">
        <v>65</v>
      </c>
      <c r="E48" s="80" t="s">
        <v>515</v>
      </c>
      <c r="F48" s="51">
        <v>10</v>
      </c>
      <c r="G48" s="51">
        <v>1</v>
      </c>
      <c r="H48" s="51"/>
      <c r="I48" s="51"/>
      <c r="J48" s="52">
        <v>10000000</v>
      </c>
      <c r="K48" s="77"/>
    </row>
    <row r="49" spans="1:11" ht="20.100000000000001" customHeight="1" x14ac:dyDescent="0.25">
      <c r="A49" s="44">
        <v>36</v>
      </c>
      <c r="B49" s="50">
        <v>46234</v>
      </c>
      <c r="C49" s="31" t="s">
        <v>286</v>
      </c>
      <c r="D49" s="31" t="s">
        <v>469</v>
      </c>
      <c r="E49" s="80" t="s">
        <v>517</v>
      </c>
      <c r="F49" s="51">
        <v>6</v>
      </c>
      <c r="G49" s="51">
        <v>1</v>
      </c>
      <c r="H49" s="51"/>
      <c r="I49" s="51"/>
      <c r="J49" s="52">
        <v>6000000</v>
      </c>
      <c r="K49" s="77"/>
    </row>
    <row r="50" spans="1:11" ht="19.5" customHeight="1" x14ac:dyDescent="0.25">
      <c r="A50" s="44">
        <v>37</v>
      </c>
      <c r="B50" s="50"/>
      <c r="C50" s="58" t="s">
        <v>61</v>
      </c>
      <c r="D50" s="31" t="s">
        <v>509</v>
      </c>
      <c r="E50" s="80" t="s">
        <v>516</v>
      </c>
      <c r="F50" s="51">
        <v>4</v>
      </c>
      <c r="G50" s="51">
        <v>1</v>
      </c>
      <c r="H50" s="51">
        <v>1</v>
      </c>
      <c r="I50" s="51"/>
      <c r="J50" s="52">
        <v>4400000</v>
      </c>
      <c r="K50" s="77"/>
    </row>
    <row r="51" spans="1:11" ht="20.100000000000001" customHeight="1" x14ac:dyDescent="0.25">
      <c r="A51" s="44">
        <v>38</v>
      </c>
      <c r="B51" s="50"/>
      <c r="C51" s="31" t="s">
        <v>244</v>
      </c>
      <c r="D51" s="31" t="s">
        <v>456</v>
      </c>
      <c r="E51" s="80" t="s">
        <v>523</v>
      </c>
      <c r="F51" s="51">
        <v>5</v>
      </c>
      <c r="G51" s="51">
        <v>5</v>
      </c>
      <c r="H51" s="51"/>
      <c r="I51" s="51"/>
      <c r="J51" s="52">
        <v>25000000</v>
      </c>
      <c r="K51" s="77" t="s">
        <v>524</v>
      </c>
    </row>
    <row r="52" spans="1:11" ht="20.100000000000001" customHeight="1" x14ac:dyDescent="0.25">
      <c r="A52" s="67"/>
      <c r="B52" s="67"/>
      <c r="C52" s="222" t="s">
        <v>8</v>
      </c>
      <c r="D52" s="223"/>
      <c r="E52" s="224"/>
      <c r="F52" s="82">
        <f>SUM(F42:F51)</f>
        <v>167</v>
      </c>
      <c r="G52" s="82">
        <f>SUM(G42:G51)</f>
        <v>49</v>
      </c>
      <c r="H52" s="82">
        <f>SUM(H42:H51)</f>
        <v>11</v>
      </c>
      <c r="I52" s="82">
        <f>SUM(I42:I51)</f>
        <v>0</v>
      </c>
      <c r="J52" s="83">
        <f>SUM(J42:J51)</f>
        <v>271200000</v>
      </c>
      <c r="K52" s="70"/>
    </row>
    <row r="53" spans="1:11" ht="15.75" x14ac:dyDescent="0.25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</row>
    <row r="54" spans="1:11" ht="15.75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</row>
    <row r="55" spans="1:11" ht="15.75" x14ac:dyDescent="0.25">
      <c r="A55" s="33"/>
      <c r="B55" s="33"/>
      <c r="C55" s="33"/>
      <c r="D55" s="33"/>
      <c r="E55" s="33"/>
      <c r="F55" s="33"/>
      <c r="G55" s="33"/>
      <c r="H55" s="217" t="s">
        <v>518</v>
      </c>
      <c r="I55" s="217"/>
      <c r="J55" s="217"/>
      <c r="K55" s="72"/>
    </row>
    <row r="56" spans="1:11" ht="15.75" x14ac:dyDescent="0.25">
      <c r="A56" s="33"/>
      <c r="B56" s="217" t="s">
        <v>360</v>
      </c>
      <c r="C56" s="217"/>
      <c r="D56" s="217"/>
      <c r="E56" s="33"/>
      <c r="F56" s="33"/>
      <c r="G56" s="33"/>
      <c r="H56" s="33"/>
      <c r="I56" s="33"/>
      <c r="J56" s="33"/>
      <c r="K56" s="33"/>
    </row>
    <row r="57" spans="1:11" ht="15.75" x14ac:dyDescent="0.25">
      <c r="A57" s="33"/>
      <c r="B57" s="217" t="s">
        <v>42</v>
      </c>
      <c r="C57" s="217"/>
      <c r="D57" s="217"/>
      <c r="E57" s="33"/>
      <c r="F57" s="33"/>
      <c r="G57" s="33"/>
      <c r="H57" s="218" t="s">
        <v>361</v>
      </c>
      <c r="I57" s="218"/>
      <c r="J57" s="218"/>
      <c r="K57" s="189"/>
    </row>
    <row r="58" spans="1:11" ht="15.75" x14ac:dyDescent="0.25">
      <c r="A58" s="33"/>
      <c r="B58" s="217" t="s">
        <v>38</v>
      </c>
      <c r="C58" s="217"/>
      <c r="D58" s="217"/>
      <c r="E58" s="33"/>
      <c r="F58" s="33"/>
      <c r="G58" s="33"/>
      <c r="H58" s="218"/>
      <c r="I58" s="219"/>
      <c r="J58" s="219"/>
      <c r="K58" s="219"/>
    </row>
    <row r="59" spans="1:11" ht="15.75" x14ac:dyDescent="0.25">
      <c r="A59" s="33"/>
      <c r="B59" s="217" t="s">
        <v>39</v>
      </c>
      <c r="C59" s="217"/>
      <c r="D59" s="217"/>
      <c r="E59" s="33"/>
      <c r="F59" s="33"/>
      <c r="G59" s="33"/>
      <c r="H59" s="218"/>
      <c r="I59" s="219"/>
      <c r="J59" s="219"/>
      <c r="K59" s="219"/>
    </row>
    <row r="60" spans="1:11" ht="15.75" x14ac:dyDescent="0.25">
      <c r="A60" s="33"/>
      <c r="B60" s="217" t="s">
        <v>40</v>
      </c>
      <c r="C60" s="217"/>
      <c r="D60" s="217"/>
      <c r="E60" s="33"/>
      <c r="F60" s="33"/>
      <c r="G60" s="33"/>
      <c r="H60" s="218"/>
      <c r="I60" s="219"/>
      <c r="J60" s="219"/>
      <c r="K60" s="219"/>
    </row>
    <row r="61" spans="1:11" ht="15.75" x14ac:dyDescent="0.25">
      <c r="A61" s="33"/>
      <c r="B61" s="33"/>
      <c r="C61" s="33"/>
      <c r="D61" s="33"/>
      <c r="E61" s="33"/>
      <c r="F61" s="33"/>
      <c r="G61" s="33"/>
      <c r="H61" s="220"/>
      <c r="I61" s="220"/>
      <c r="J61" s="220"/>
      <c r="K61" s="220"/>
    </row>
    <row r="62" spans="1:11" ht="15.75" x14ac:dyDescent="0.25">
      <c r="A62" s="33"/>
      <c r="B62" s="33"/>
      <c r="C62" s="33"/>
      <c r="D62" s="33"/>
      <c r="E62" s="33"/>
      <c r="F62" s="33"/>
      <c r="G62" s="33"/>
      <c r="H62" s="29"/>
      <c r="I62" s="30"/>
      <c r="J62" s="30"/>
      <c r="K62" s="29"/>
    </row>
    <row r="63" spans="1:11" ht="15.75" x14ac:dyDescent="0.25">
      <c r="A63" s="33"/>
      <c r="B63" s="217" t="s">
        <v>43</v>
      </c>
      <c r="C63" s="217"/>
      <c r="D63" s="217"/>
      <c r="E63" s="33"/>
      <c r="F63" s="33"/>
      <c r="G63" s="33"/>
      <c r="H63" s="218"/>
      <c r="I63" s="219"/>
      <c r="J63" s="219"/>
      <c r="K63" s="219"/>
    </row>
    <row r="64" spans="1:11" ht="15.75" x14ac:dyDescent="0.25">
      <c r="A64" s="33"/>
      <c r="B64" s="217" t="s">
        <v>44</v>
      </c>
      <c r="C64" s="217"/>
      <c r="D64" s="217"/>
      <c r="E64" s="33"/>
      <c r="F64" s="33"/>
      <c r="G64" s="33"/>
      <c r="H64" s="218" t="s">
        <v>362</v>
      </c>
      <c r="I64" s="218"/>
      <c r="J64" s="218"/>
      <c r="K64" s="189"/>
    </row>
    <row r="65" spans="1:11" ht="15.75" x14ac:dyDescent="0.25">
      <c r="A65" s="33"/>
      <c r="B65" s="33"/>
      <c r="C65" s="33"/>
      <c r="D65" s="33"/>
      <c r="E65" s="33"/>
      <c r="F65" s="33"/>
      <c r="G65" s="33"/>
      <c r="H65" s="217" t="s">
        <v>363</v>
      </c>
      <c r="I65" s="217"/>
      <c r="J65" s="217"/>
      <c r="K65" s="33"/>
    </row>
    <row r="66" spans="1:11" ht="15.75" x14ac:dyDescent="0.2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</row>
  </sheetData>
  <mergeCells count="28">
    <mergeCell ref="B42:E42"/>
    <mergeCell ref="A1:K1"/>
    <mergeCell ref="A2:K2"/>
    <mergeCell ref="A3:K3"/>
    <mergeCell ref="A4:K4"/>
    <mergeCell ref="C36:E36"/>
    <mergeCell ref="F19:F20"/>
    <mergeCell ref="G19:G20"/>
    <mergeCell ref="E19:E20"/>
    <mergeCell ref="C19:C20"/>
    <mergeCell ref="D19:D20"/>
    <mergeCell ref="C52:E52"/>
    <mergeCell ref="H58:K58"/>
    <mergeCell ref="H55:J55"/>
    <mergeCell ref="B56:D56"/>
    <mergeCell ref="B57:D57"/>
    <mergeCell ref="H57:J57"/>
    <mergeCell ref="B58:D58"/>
    <mergeCell ref="B63:D63"/>
    <mergeCell ref="B64:D64"/>
    <mergeCell ref="H64:J64"/>
    <mergeCell ref="H65:J65"/>
    <mergeCell ref="H59:K59"/>
    <mergeCell ref="H60:K60"/>
    <mergeCell ref="H63:K63"/>
    <mergeCell ref="B59:D59"/>
    <mergeCell ref="B60:D60"/>
    <mergeCell ref="H61:K61"/>
  </mergeCells>
  <pageMargins left="0.23622047244094491" right="3.937007874015748E-2" top="0.15748031496062992" bottom="0.15748031496062992" header="0.31496062992125984" footer="0.31496062992125984"/>
  <pageSetup paperSize="122" scale="80" orientation="landscape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365A8-E173-4AD5-875D-3A9183E779F6}">
  <dimension ref="A1:K43"/>
  <sheetViews>
    <sheetView showGridLines="0" topLeftCell="A12" zoomScaleNormal="100" workbookViewId="0">
      <selection activeCell="C28" sqref="C28:D28"/>
    </sheetView>
  </sheetViews>
  <sheetFormatPr defaultRowHeight="15" x14ac:dyDescent="0.25"/>
  <cols>
    <col min="1" max="1" width="4.28515625" customWidth="1"/>
    <col min="2" max="2" width="13.42578125" customWidth="1"/>
    <col min="3" max="3" width="41" customWidth="1"/>
    <col min="4" max="4" width="21.5703125" customWidth="1"/>
    <col min="5" max="5" width="54.28515625" customWidth="1"/>
    <col min="6" max="7" width="8" customWidth="1"/>
    <col min="8" max="8" width="9.140625" customWidth="1"/>
    <col min="9" max="9" width="9.85546875" customWidth="1"/>
    <col min="10" max="10" width="16.5703125" customWidth="1"/>
    <col min="11" max="11" width="14" customWidth="1"/>
    <col min="17" max="17" width="10.140625" bestFit="1" customWidth="1"/>
    <col min="19" max="19" width="14.28515625" customWidth="1"/>
  </cols>
  <sheetData>
    <row r="1" spans="1:11" ht="15.75" x14ac:dyDescent="0.25">
      <c r="A1" s="217" t="s">
        <v>85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</row>
    <row r="2" spans="1:11" ht="15.75" x14ac:dyDescent="0.25">
      <c r="A2" s="217" t="s">
        <v>9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</row>
    <row r="3" spans="1:11" ht="15.75" x14ac:dyDescent="0.25">
      <c r="A3" s="217" t="s">
        <v>84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</row>
    <row r="4" spans="1:11" ht="15.75" x14ac:dyDescent="0.25">
      <c r="A4" s="217" t="s">
        <v>519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</row>
    <row r="5" spans="1:11" ht="15" customHeight="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</row>
    <row r="6" spans="1:11" ht="29.25" customHeight="1" x14ac:dyDescent="0.25">
      <c r="A6" s="34" t="s">
        <v>0</v>
      </c>
      <c r="B6" s="34" t="s">
        <v>10</v>
      </c>
      <c r="C6" s="34" t="s">
        <v>5</v>
      </c>
      <c r="D6" s="35" t="s">
        <v>1</v>
      </c>
      <c r="E6" s="35" t="s">
        <v>6</v>
      </c>
      <c r="F6" s="35" t="s">
        <v>3</v>
      </c>
      <c r="G6" s="35" t="s">
        <v>4</v>
      </c>
      <c r="H6" s="35" t="s">
        <v>7</v>
      </c>
      <c r="I6" s="35" t="s">
        <v>32</v>
      </c>
      <c r="J6" s="35" t="s">
        <v>2</v>
      </c>
      <c r="K6" s="36" t="s">
        <v>34</v>
      </c>
    </row>
    <row r="7" spans="1:11" ht="18.75" customHeight="1" x14ac:dyDescent="0.25">
      <c r="A7" s="37">
        <v>1</v>
      </c>
      <c r="B7" s="38">
        <v>46235</v>
      </c>
      <c r="C7" s="159" t="s">
        <v>294</v>
      </c>
      <c r="D7" s="159" t="s">
        <v>344</v>
      </c>
      <c r="E7" s="88" t="s">
        <v>520</v>
      </c>
      <c r="F7" s="41">
        <v>6</v>
      </c>
      <c r="G7" s="41">
        <v>1</v>
      </c>
      <c r="H7" s="41"/>
      <c r="I7" s="41"/>
      <c r="J7" s="42">
        <v>6000000</v>
      </c>
      <c r="K7" s="43"/>
    </row>
    <row r="8" spans="1:11" ht="18.75" customHeight="1" x14ac:dyDescent="0.25">
      <c r="A8" s="44">
        <v>2</v>
      </c>
      <c r="B8" s="45">
        <v>46238</v>
      </c>
      <c r="C8" s="31" t="s">
        <v>521</v>
      </c>
      <c r="D8" s="31" t="s">
        <v>471</v>
      </c>
      <c r="E8" s="89" t="s">
        <v>522</v>
      </c>
      <c r="F8" s="47">
        <v>8</v>
      </c>
      <c r="G8" s="47">
        <v>1</v>
      </c>
      <c r="H8" s="47"/>
      <c r="I8" s="47"/>
      <c r="J8" s="48">
        <v>8000000</v>
      </c>
      <c r="K8" s="53"/>
    </row>
    <row r="9" spans="1:11" ht="18.75" customHeight="1" x14ac:dyDescent="0.25">
      <c r="A9" s="44">
        <v>3</v>
      </c>
      <c r="B9" s="45">
        <v>46240</v>
      </c>
      <c r="C9" s="58" t="s">
        <v>346</v>
      </c>
      <c r="D9" s="58" t="s">
        <v>92</v>
      </c>
      <c r="E9" s="80" t="s">
        <v>527</v>
      </c>
      <c r="F9" s="51">
        <v>2</v>
      </c>
      <c r="G9" s="51">
        <v>2</v>
      </c>
      <c r="H9" s="51"/>
      <c r="I9" s="51"/>
      <c r="J9" s="52">
        <v>4000000</v>
      </c>
      <c r="K9" s="53"/>
    </row>
    <row r="10" spans="1:11" s="198" customFormat="1" ht="20.100000000000001" customHeight="1" x14ac:dyDescent="0.25">
      <c r="A10" s="44">
        <v>4</v>
      </c>
      <c r="B10" s="45">
        <v>46241</v>
      </c>
      <c r="C10" s="58" t="s">
        <v>500</v>
      </c>
      <c r="D10" s="58" t="s">
        <v>501</v>
      </c>
      <c r="E10" s="80" t="s">
        <v>528</v>
      </c>
      <c r="F10" s="204">
        <v>9</v>
      </c>
      <c r="G10" s="75">
        <v>1</v>
      </c>
      <c r="H10" s="75">
        <v>1</v>
      </c>
      <c r="I10" s="75"/>
      <c r="J10" s="76">
        <v>9900000</v>
      </c>
      <c r="K10" s="49"/>
    </row>
    <row r="11" spans="1:11" ht="20.100000000000001" customHeight="1" x14ac:dyDescent="0.25">
      <c r="A11" s="44">
        <v>5</v>
      </c>
      <c r="B11" s="45"/>
      <c r="C11" s="31" t="s">
        <v>244</v>
      </c>
      <c r="D11" s="31" t="s">
        <v>456</v>
      </c>
      <c r="E11" s="80" t="s">
        <v>526</v>
      </c>
      <c r="F11" s="51">
        <v>15</v>
      </c>
      <c r="G11" s="51">
        <v>5</v>
      </c>
      <c r="H11" s="51">
        <v>4</v>
      </c>
      <c r="I11" s="51"/>
      <c r="J11" s="52">
        <v>95000000</v>
      </c>
      <c r="K11" s="53" t="s">
        <v>525</v>
      </c>
    </row>
    <row r="12" spans="1:11" ht="20.100000000000001" customHeight="1" x14ac:dyDescent="0.25">
      <c r="A12" s="44">
        <v>6</v>
      </c>
      <c r="B12" s="45">
        <v>46244</v>
      </c>
      <c r="C12" s="31" t="s">
        <v>510</v>
      </c>
      <c r="D12" s="31" t="s">
        <v>511</v>
      </c>
      <c r="E12" s="80" t="s">
        <v>529</v>
      </c>
      <c r="F12" s="51">
        <v>5</v>
      </c>
      <c r="G12" s="51">
        <v>1</v>
      </c>
      <c r="H12" s="51"/>
      <c r="I12" s="51"/>
      <c r="J12" s="52">
        <v>5000000</v>
      </c>
      <c r="K12" s="53"/>
    </row>
    <row r="13" spans="1:11" ht="20.100000000000001" customHeight="1" x14ac:dyDescent="0.25">
      <c r="A13" s="44">
        <v>7</v>
      </c>
      <c r="B13" s="45">
        <v>46248</v>
      </c>
      <c r="C13" s="31" t="s">
        <v>280</v>
      </c>
      <c r="D13" s="31" t="s">
        <v>281</v>
      </c>
      <c r="E13" s="80" t="s">
        <v>530</v>
      </c>
      <c r="F13" s="51">
        <v>3</v>
      </c>
      <c r="G13" s="51">
        <v>3</v>
      </c>
      <c r="H13" s="51"/>
      <c r="I13" s="51"/>
      <c r="J13" s="52">
        <v>3000000</v>
      </c>
      <c r="K13" s="53"/>
    </row>
    <row r="14" spans="1:11" ht="20.25" customHeight="1" x14ac:dyDescent="0.25">
      <c r="A14" s="44">
        <v>8</v>
      </c>
      <c r="B14" s="50"/>
      <c r="C14" s="31" t="s">
        <v>61</v>
      </c>
      <c r="D14" s="31" t="s">
        <v>531</v>
      </c>
      <c r="E14" s="80" t="s">
        <v>534</v>
      </c>
      <c r="F14" s="51">
        <v>4</v>
      </c>
      <c r="G14" s="51">
        <v>5</v>
      </c>
      <c r="H14" s="51">
        <v>1</v>
      </c>
      <c r="I14" s="51"/>
      <c r="J14" s="52">
        <v>5500000</v>
      </c>
      <c r="K14" s="53" t="s">
        <v>532</v>
      </c>
    </row>
    <row r="15" spans="1:11" ht="15.75" customHeight="1" x14ac:dyDescent="0.25">
      <c r="A15" s="44">
        <v>9</v>
      </c>
      <c r="B15" s="45">
        <v>46251</v>
      </c>
      <c r="C15" s="63" t="s">
        <v>533</v>
      </c>
      <c r="D15" s="31" t="s">
        <v>63</v>
      </c>
      <c r="E15" s="80">
        <v>46251</v>
      </c>
      <c r="F15" s="51">
        <v>1</v>
      </c>
      <c r="G15" s="51">
        <v>1</v>
      </c>
      <c r="H15" s="51">
        <v>1</v>
      </c>
      <c r="I15" s="51"/>
      <c r="J15" s="52">
        <v>1100000</v>
      </c>
      <c r="K15" s="53"/>
    </row>
    <row r="16" spans="1:11" ht="19.5" customHeight="1" x14ac:dyDescent="0.25">
      <c r="A16" s="44">
        <v>10</v>
      </c>
      <c r="B16" s="45">
        <v>46255</v>
      </c>
      <c r="C16" s="58" t="s">
        <v>346</v>
      </c>
      <c r="D16" s="58" t="s">
        <v>92</v>
      </c>
      <c r="E16" s="80" t="s">
        <v>535</v>
      </c>
      <c r="F16" s="51">
        <v>2</v>
      </c>
      <c r="G16" s="47">
        <v>1</v>
      </c>
      <c r="H16" s="51"/>
      <c r="I16" s="51"/>
      <c r="J16" s="52">
        <v>3000000</v>
      </c>
      <c r="K16" s="53" t="s">
        <v>536</v>
      </c>
    </row>
    <row r="17" spans="1:11" ht="20.100000000000001" customHeight="1" x14ac:dyDescent="0.25">
      <c r="A17" s="44">
        <v>11</v>
      </c>
      <c r="B17" s="50"/>
      <c r="C17" s="31" t="s">
        <v>280</v>
      </c>
      <c r="D17" s="31" t="s">
        <v>281</v>
      </c>
      <c r="E17" s="80" t="s">
        <v>537</v>
      </c>
      <c r="F17" s="51">
        <v>3</v>
      </c>
      <c r="G17" s="51">
        <v>1</v>
      </c>
      <c r="H17" s="51"/>
      <c r="I17" s="51"/>
      <c r="J17" s="52">
        <v>3000000</v>
      </c>
      <c r="K17" s="53"/>
    </row>
    <row r="18" spans="1:11" ht="20.100000000000001" customHeight="1" x14ac:dyDescent="0.25">
      <c r="A18" s="44">
        <v>12</v>
      </c>
      <c r="B18" s="45"/>
      <c r="C18" s="31" t="s">
        <v>286</v>
      </c>
      <c r="D18" s="31" t="s">
        <v>469</v>
      </c>
      <c r="E18" s="80" t="s">
        <v>538</v>
      </c>
      <c r="F18" s="51">
        <v>5</v>
      </c>
      <c r="G18" s="51">
        <v>1</v>
      </c>
      <c r="H18" s="51"/>
      <c r="I18" s="51"/>
      <c r="J18" s="52">
        <v>5000000</v>
      </c>
      <c r="K18" s="53"/>
    </row>
    <row r="19" spans="1:11" ht="20.100000000000001" customHeight="1" x14ac:dyDescent="0.25">
      <c r="A19" s="44">
        <v>13</v>
      </c>
      <c r="B19" s="45">
        <v>46257</v>
      </c>
      <c r="C19" s="31" t="s">
        <v>61</v>
      </c>
      <c r="D19" s="31" t="s">
        <v>531</v>
      </c>
      <c r="E19" s="80" t="s">
        <v>539</v>
      </c>
      <c r="F19" s="51">
        <v>5</v>
      </c>
      <c r="G19" s="51">
        <v>1</v>
      </c>
      <c r="H19" s="51">
        <v>1</v>
      </c>
      <c r="I19" s="51"/>
      <c r="J19" s="52">
        <v>5500000</v>
      </c>
      <c r="K19" s="53" t="s">
        <v>540</v>
      </c>
    </row>
    <row r="20" spans="1:11" ht="20.100000000000001" customHeight="1" x14ac:dyDescent="0.25">
      <c r="A20" s="44">
        <v>14</v>
      </c>
      <c r="B20" s="45"/>
      <c r="C20" s="31" t="s">
        <v>510</v>
      </c>
      <c r="D20" s="31" t="s">
        <v>511</v>
      </c>
      <c r="E20" s="80" t="s">
        <v>541</v>
      </c>
      <c r="F20" s="51">
        <v>5</v>
      </c>
      <c r="G20" s="51">
        <v>1</v>
      </c>
      <c r="H20" s="51">
        <v>1</v>
      </c>
      <c r="I20" s="51"/>
      <c r="J20" s="52">
        <v>5000000</v>
      </c>
      <c r="K20" s="53"/>
    </row>
    <row r="21" spans="1:11" ht="20.100000000000001" customHeight="1" x14ac:dyDescent="0.25">
      <c r="A21" s="44">
        <v>15</v>
      </c>
      <c r="B21" s="45">
        <v>46260</v>
      </c>
      <c r="C21" s="31" t="s">
        <v>436</v>
      </c>
      <c r="D21" s="31" t="s">
        <v>65</v>
      </c>
      <c r="E21" s="80" t="s">
        <v>542</v>
      </c>
      <c r="F21" s="51">
        <v>8</v>
      </c>
      <c r="G21" s="51">
        <v>1</v>
      </c>
      <c r="H21" s="51"/>
      <c r="I21" s="51"/>
      <c r="J21" s="52">
        <v>8000000</v>
      </c>
      <c r="K21" s="53"/>
    </row>
    <row r="22" spans="1:11" ht="20.100000000000001" customHeight="1" x14ac:dyDescent="0.25">
      <c r="A22" s="44">
        <v>16</v>
      </c>
      <c r="B22" s="45">
        <v>46261</v>
      </c>
      <c r="C22" s="63" t="s">
        <v>533</v>
      </c>
      <c r="D22" s="31" t="s">
        <v>63</v>
      </c>
      <c r="E22" s="80">
        <v>46264</v>
      </c>
      <c r="F22" s="51">
        <v>1</v>
      </c>
      <c r="G22" s="51">
        <v>1</v>
      </c>
      <c r="H22" s="51">
        <v>1</v>
      </c>
      <c r="I22" s="51"/>
      <c r="J22" s="52">
        <v>1100000</v>
      </c>
      <c r="K22" s="53"/>
    </row>
    <row r="23" spans="1:11" ht="20.100000000000001" customHeight="1" x14ac:dyDescent="0.25">
      <c r="A23" s="44">
        <v>17</v>
      </c>
      <c r="B23" s="45"/>
      <c r="C23" s="31" t="s">
        <v>390</v>
      </c>
      <c r="D23" s="31" t="s">
        <v>507</v>
      </c>
      <c r="E23" s="80" t="s">
        <v>571</v>
      </c>
      <c r="F23" s="51">
        <v>4</v>
      </c>
      <c r="G23" s="51">
        <v>1</v>
      </c>
      <c r="H23" s="51"/>
      <c r="I23" s="51"/>
      <c r="J23" s="52">
        <v>4000000</v>
      </c>
      <c r="K23" s="53"/>
    </row>
    <row r="24" spans="1:11" ht="20.100000000000001" customHeight="1" x14ac:dyDescent="0.25">
      <c r="A24" s="44">
        <v>18</v>
      </c>
      <c r="B24" s="45">
        <v>46262</v>
      </c>
      <c r="C24" s="31" t="s">
        <v>238</v>
      </c>
      <c r="D24" s="31" t="s">
        <v>504</v>
      </c>
      <c r="E24" s="80" t="s">
        <v>543</v>
      </c>
      <c r="F24" s="51">
        <v>12</v>
      </c>
      <c r="G24" s="51">
        <v>1</v>
      </c>
      <c r="H24" s="51"/>
      <c r="I24" s="51"/>
      <c r="J24" s="52">
        <v>12000000</v>
      </c>
      <c r="K24" s="53"/>
    </row>
    <row r="25" spans="1:11" ht="20.100000000000001" customHeight="1" x14ac:dyDescent="0.25">
      <c r="A25" s="44">
        <v>19</v>
      </c>
      <c r="B25" s="45">
        <v>46263</v>
      </c>
      <c r="C25" s="31" t="s">
        <v>458</v>
      </c>
      <c r="D25" s="31" t="s">
        <v>268</v>
      </c>
      <c r="E25" s="80" t="s">
        <v>542</v>
      </c>
      <c r="F25" s="51">
        <v>8</v>
      </c>
      <c r="G25" s="51">
        <v>2</v>
      </c>
      <c r="H25" s="51"/>
      <c r="I25" s="51"/>
      <c r="J25" s="52">
        <v>18000000</v>
      </c>
      <c r="K25" s="53" t="s">
        <v>544</v>
      </c>
    </row>
    <row r="26" spans="1:11" ht="20.100000000000001" customHeight="1" x14ac:dyDescent="0.25">
      <c r="A26" s="44">
        <v>20</v>
      </c>
      <c r="B26" s="45"/>
      <c r="C26" s="31" t="s">
        <v>546</v>
      </c>
      <c r="D26" s="31" t="s">
        <v>545</v>
      </c>
      <c r="E26" s="80">
        <v>46264</v>
      </c>
      <c r="F26" s="51">
        <v>1</v>
      </c>
      <c r="G26" s="51">
        <v>1</v>
      </c>
      <c r="H26" s="51"/>
      <c r="I26" s="51"/>
      <c r="J26" s="52">
        <v>1000000</v>
      </c>
      <c r="K26" s="53"/>
    </row>
    <row r="27" spans="1:11" ht="20.100000000000001" customHeight="1" x14ac:dyDescent="0.25">
      <c r="A27" s="44">
        <v>21</v>
      </c>
      <c r="B27" s="45">
        <v>46265</v>
      </c>
      <c r="C27" s="31" t="s">
        <v>117</v>
      </c>
      <c r="D27" s="80" t="s">
        <v>52</v>
      </c>
      <c r="E27" s="80" t="s">
        <v>543</v>
      </c>
      <c r="F27" s="51">
        <v>12</v>
      </c>
      <c r="G27" s="51">
        <v>4</v>
      </c>
      <c r="H27" s="51"/>
      <c r="I27" s="51"/>
      <c r="J27" s="52">
        <v>48000000</v>
      </c>
      <c r="K27" s="53"/>
    </row>
    <row r="28" spans="1:11" ht="20.100000000000001" customHeight="1" x14ac:dyDescent="0.25">
      <c r="A28" s="44">
        <v>22</v>
      </c>
      <c r="B28" s="45"/>
      <c r="C28" s="58" t="s">
        <v>436</v>
      </c>
      <c r="D28" s="58" t="s">
        <v>471</v>
      </c>
      <c r="E28" s="80" t="s">
        <v>570</v>
      </c>
      <c r="F28" s="51">
        <v>6</v>
      </c>
      <c r="G28" s="51">
        <v>1</v>
      </c>
      <c r="H28" s="51"/>
      <c r="I28" s="51"/>
      <c r="J28" s="52">
        <v>6000000</v>
      </c>
      <c r="K28" s="53"/>
    </row>
    <row r="29" spans="1:11" ht="20.100000000000001" customHeight="1" x14ac:dyDescent="0.25">
      <c r="A29" s="44">
        <v>23</v>
      </c>
      <c r="B29" s="45"/>
      <c r="C29" s="208" t="s">
        <v>547</v>
      </c>
      <c r="D29" s="31"/>
      <c r="E29" s="209">
        <v>46270</v>
      </c>
      <c r="F29" s="210">
        <v>1</v>
      </c>
      <c r="G29" s="210">
        <v>4</v>
      </c>
      <c r="H29" s="210">
        <v>4</v>
      </c>
      <c r="I29" s="210"/>
      <c r="J29" s="211">
        <v>400000</v>
      </c>
      <c r="K29" s="212"/>
    </row>
    <row r="30" spans="1:11" ht="20.100000000000001" customHeight="1" x14ac:dyDescent="0.25">
      <c r="A30" s="67"/>
      <c r="B30" s="67"/>
      <c r="C30" s="222" t="s">
        <v>8</v>
      </c>
      <c r="D30" s="223"/>
      <c r="E30" s="224"/>
      <c r="F30" s="68">
        <f>SUM(F7:F29)</f>
        <v>126</v>
      </c>
      <c r="G30" s="68">
        <f>SUM(G7:G29)</f>
        <v>41</v>
      </c>
      <c r="H30" s="68">
        <f>SUM(H7:H28)</f>
        <v>10</v>
      </c>
      <c r="I30" s="68">
        <f>SUM(I7:I28)</f>
        <v>0</v>
      </c>
      <c r="J30" s="69">
        <f>SUM(J7:J29)</f>
        <v>257500000</v>
      </c>
      <c r="K30" s="70"/>
    </row>
    <row r="31" spans="1:11" ht="15.75" x14ac:dyDescent="0.25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</row>
    <row r="32" spans="1:11" ht="15.75" x14ac:dyDescent="0.25">
      <c r="A32" s="33"/>
      <c r="B32" s="33"/>
      <c r="C32" s="33"/>
      <c r="D32" s="33"/>
      <c r="E32" s="33"/>
      <c r="F32" s="33"/>
      <c r="G32" s="33"/>
      <c r="H32" s="217" t="s">
        <v>558</v>
      </c>
      <c r="I32" s="217"/>
      <c r="J32" s="217"/>
      <c r="K32" s="72"/>
    </row>
    <row r="33" spans="1:11" ht="15.75" x14ac:dyDescent="0.25">
      <c r="A33" s="33"/>
      <c r="B33" s="217" t="s">
        <v>360</v>
      </c>
      <c r="C33" s="217"/>
      <c r="D33" s="217"/>
      <c r="E33" s="33"/>
      <c r="F33" s="33"/>
      <c r="G33" s="33"/>
      <c r="H33" s="33"/>
      <c r="I33" s="33"/>
      <c r="J33" s="33"/>
      <c r="K33" s="33"/>
    </row>
    <row r="34" spans="1:11" ht="15.75" x14ac:dyDescent="0.25">
      <c r="A34" s="33"/>
      <c r="B34" s="217" t="s">
        <v>42</v>
      </c>
      <c r="C34" s="217"/>
      <c r="D34" s="217"/>
      <c r="E34" s="33"/>
      <c r="F34" s="33"/>
      <c r="G34" s="33"/>
      <c r="H34" s="218" t="s">
        <v>361</v>
      </c>
      <c r="I34" s="218"/>
      <c r="J34" s="218"/>
      <c r="K34" s="189"/>
    </row>
    <row r="35" spans="1:11" ht="15.75" x14ac:dyDescent="0.25">
      <c r="A35" s="33"/>
      <c r="B35" s="217" t="s">
        <v>38</v>
      </c>
      <c r="C35" s="217"/>
      <c r="D35" s="217"/>
      <c r="E35" s="33"/>
      <c r="F35" s="33"/>
      <c r="G35" s="33"/>
      <c r="H35" s="218"/>
      <c r="I35" s="219"/>
      <c r="J35" s="219"/>
      <c r="K35" s="219"/>
    </row>
    <row r="36" spans="1:11" ht="15.75" x14ac:dyDescent="0.25">
      <c r="A36" s="33"/>
      <c r="B36" s="217" t="s">
        <v>39</v>
      </c>
      <c r="C36" s="217"/>
      <c r="D36" s="217"/>
      <c r="E36" s="33"/>
      <c r="F36" s="33"/>
      <c r="G36" s="33"/>
      <c r="H36" s="218"/>
      <c r="I36" s="219"/>
      <c r="J36" s="219"/>
      <c r="K36" s="219"/>
    </row>
    <row r="37" spans="1:11" ht="15.75" x14ac:dyDescent="0.25">
      <c r="A37" s="33"/>
      <c r="B37" s="217" t="s">
        <v>40</v>
      </c>
      <c r="C37" s="217"/>
      <c r="D37" s="217"/>
      <c r="E37" s="33"/>
      <c r="F37" s="33"/>
      <c r="G37" s="33"/>
      <c r="H37" s="218"/>
      <c r="I37" s="219"/>
      <c r="J37" s="219"/>
      <c r="K37" s="219"/>
    </row>
    <row r="38" spans="1:11" ht="15.75" x14ac:dyDescent="0.25">
      <c r="A38" s="33"/>
      <c r="B38" s="33"/>
      <c r="C38" s="33"/>
      <c r="D38" s="33"/>
      <c r="E38" s="33"/>
      <c r="F38" s="33"/>
      <c r="G38" s="33"/>
      <c r="H38" s="220"/>
      <c r="I38" s="220"/>
      <c r="J38" s="220"/>
      <c r="K38" s="220"/>
    </row>
    <row r="39" spans="1:11" ht="15.75" x14ac:dyDescent="0.25">
      <c r="A39" s="33"/>
      <c r="B39" s="33"/>
      <c r="C39" s="33"/>
      <c r="D39" s="33"/>
      <c r="E39" s="33"/>
      <c r="F39" s="33"/>
      <c r="G39" s="33"/>
      <c r="H39" s="29"/>
      <c r="I39" s="30"/>
      <c r="J39" s="30"/>
      <c r="K39" s="29"/>
    </row>
    <row r="40" spans="1:11" ht="15.75" x14ac:dyDescent="0.25">
      <c r="A40" s="33"/>
      <c r="B40" s="217" t="s">
        <v>43</v>
      </c>
      <c r="C40" s="217"/>
      <c r="D40" s="217"/>
      <c r="E40" s="33"/>
      <c r="F40" s="33"/>
      <c r="G40" s="33"/>
      <c r="H40" s="218" t="s">
        <v>362</v>
      </c>
      <c r="I40" s="218"/>
      <c r="J40" s="218"/>
      <c r="K40" s="189"/>
    </row>
    <row r="41" spans="1:11" ht="15.75" customHeight="1" x14ac:dyDescent="0.25">
      <c r="A41" s="33"/>
      <c r="B41" s="217" t="s">
        <v>44</v>
      </c>
      <c r="C41" s="217"/>
      <c r="D41" s="217"/>
      <c r="E41" s="33"/>
      <c r="F41" s="33"/>
      <c r="G41" s="33"/>
      <c r="H41" s="217" t="s">
        <v>363</v>
      </c>
      <c r="I41" s="217"/>
      <c r="J41" s="217"/>
      <c r="K41" s="189"/>
    </row>
    <row r="42" spans="1:11" ht="15.75" x14ac:dyDescent="0.25">
      <c r="A42" s="33"/>
      <c r="B42" s="33"/>
      <c r="C42" s="33"/>
      <c r="D42" s="33"/>
      <c r="E42" s="33"/>
      <c r="F42" s="33"/>
      <c r="G42" s="33"/>
      <c r="H42" s="217"/>
      <c r="I42" s="217"/>
      <c r="J42" s="217"/>
      <c r="K42" s="33"/>
    </row>
    <row r="43" spans="1:11" ht="15.75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</row>
  </sheetData>
  <mergeCells count="21">
    <mergeCell ref="B37:D37"/>
    <mergeCell ref="H37:K37"/>
    <mergeCell ref="B40:D40"/>
    <mergeCell ref="A1:K1"/>
    <mergeCell ref="A2:K2"/>
    <mergeCell ref="A3:K3"/>
    <mergeCell ref="A4:K4"/>
    <mergeCell ref="C30:E30"/>
    <mergeCell ref="H35:K35"/>
    <mergeCell ref="H36:K36"/>
    <mergeCell ref="H32:J32"/>
    <mergeCell ref="B33:D33"/>
    <mergeCell ref="B34:D34"/>
    <mergeCell ref="H34:J34"/>
    <mergeCell ref="B35:D35"/>
    <mergeCell ref="B36:D36"/>
    <mergeCell ref="B41:D41"/>
    <mergeCell ref="H41:J41"/>
    <mergeCell ref="H42:J42"/>
    <mergeCell ref="H40:J40"/>
    <mergeCell ref="H38:K38"/>
  </mergeCells>
  <pageMargins left="0.23622047244094491" right="3.937007874015748E-2" top="0.15748031496062992" bottom="0.15748031496062992" header="0.31496062992125984" footer="0.31496062992125984"/>
  <pageSetup paperSize="122" scale="80" orientation="landscape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A2474-E929-4B1A-A851-1C00DAB2A1B6}">
  <dimension ref="A1:K41"/>
  <sheetViews>
    <sheetView showGridLines="0" topLeftCell="A3" zoomScaleNormal="100" workbookViewId="0">
      <selection activeCell="D18" sqref="D18"/>
    </sheetView>
  </sheetViews>
  <sheetFormatPr defaultRowHeight="15" x14ac:dyDescent="0.25"/>
  <cols>
    <col min="1" max="1" width="4.28515625" customWidth="1"/>
    <col min="2" max="2" width="13.42578125" customWidth="1"/>
    <col min="3" max="3" width="44.28515625" bestFit="1" customWidth="1"/>
    <col min="4" max="4" width="27.7109375" customWidth="1"/>
    <col min="5" max="5" width="57.85546875" customWidth="1"/>
    <col min="6" max="7" width="8" customWidth="1"/>
    <col min="8" max="8" width="9.140625" customWidth="1"/>
    <col min="9" max="9" width="9.85546875" customWidth="1"/>
    <col min="10" max="10" width="16.5703125" customWidth="1"/>
    <col min="11" max="11" width="14.140625" customWidth="1"/>
    <col min="17" max="17" width="10.140625" bestFit="1" customWidth="1"/>
    <col min="19" max="19" width="14.28515625" customWidth="1"/>
  </cols>
  <sheetData>
    <row r="1" spans="1:11" ht="18" x14ac:dyDescent="0.25">
      <c r="A1" s="221" t="s">
        <v>85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</row>
    <row r="2" spans="1:11" ht="18" x14ac:dyDescent="0.25">
      <c r="A2" s="221" t="s">
        <v>9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</row>
    <row r="3" spans="1:11" ht="18" x14ac:dyDescent="0.25">
      <c r="A3" s="221" t="s">
        <v>84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</row>
    <row r="4" spans="1:11" ht="18" x14ac:dyDescent="0.25">
      <c r="A4" s="221" t="s">
        <v>548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</row>
    <row r="5" spans="1:11" ht="21" customHeight="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</row>
    <row r="6" spans="1:11" ht="29.25" customHeight="1" x14ac:dyDescent="0.25">
      <c r="A6" s="34" t="s">
        <v>0</v>
      </c>
      <c r="B6" s="34" t="s">
        <v>10</v>
      </c>
      <c r="C6" s="34" t="s">
        <v>5</v>
      </c>
      <c r="D6" s="35" t="s">
        <v>1</v>
      </c>
      <c r="E6" s="35" t="s">
        <v>6</v>
      </c>
      <c r="F6" s="35" t="s">
        <v>3</v>
      </c>
      <c r="G6" s="35" t="s">
        <v>4</v>
      </c>
      <c r="H6" s="35" t="s">
        <v>7</v>
      </c>
      <c r="I6" s="35" t="s">
        <v>32</v>
      </c>
      <c r="J6" s="35" t="s">
        <v>2</v>
      </c>
      <c r="K6" s="36" t="s">
        <v>34</v>
      </c>
    </row>
    <row r="7" spans="1:11" ht="18.75" customHeight="1" x14ac:dyDescent="0.25">
      <c r="A7" s="37">
        <v>1</v>
      </c>
      <c r="B7" s="38">
        <v>46267</v>
      </c>
      <c r="C7" s="159" t="s">
        <v>346</v>
      </c>
      <c r="D7" s="159" t="s">
        <v>52</v>
      </c>
      <c r="E7" s="88" t="s">
        <v>549</v>
      </c>
      <c r="F7" s="41">
        <v>2</v>
      </c>
      <c r="G7" s="41">
        <v>1</v>
      </c>
      <c r="H7" s="41"/>
      <c r="I7" s="41"/>
      <c r="J7" s="42">
        <v>3000000</v>
      </c>
      <c r="K7" s="43" t="s">
        <v>70</v>
      </c>
    </row>
    <row r="8" spans="1:11" ht="18.75" customHeight="1" x14ac:dyDescent="0.25">
      <c r="A8" s="44">
        <v>2</v>
      </c>
      <c r="B8" s="45">
        <v>46269</v>
      </c>
      <c r="C8" s="31" t="s">
        <v>286</v>
      </c>
      <c r="D8" s="31" t="s">
        <v>78</v>
      </c>
      <c r="E8" s="89" t="s">
        <v>549</v>
      </c>
      <c r="F8" s="47">
        <v>2</v>
      </c>
      <c r="G8" s="47">
        <v>1</v>
      </c>
      <c r="H8" s="47"/>
      <c r="I8" s="47"/>
      <c r="J8" s="48">
        <v>2000000</v>
      </c>
      <c r="K8" s="53"/>
    </row>
    <row r="9" spans="1:11" ht="18.75" customHeight="1" x14ac:dyDescent="0.25">
      <c r="A9" s="44">
        <v>3</v>
      </c>
      <c r="B9" s="45"/>
      <c r="C9" s="58" t="s">
        <v>550</v>
      </c>
      <c r="D9" s="58" t="s">
        <v>551</v>
      </c>
      <c r="E9" s="80">
        <v>46270</v>
      </c>
      <c r="F9" s="51">
        <v>1</v>
      </c>
      <c r="G9" s="51">
        <v>1</v>
      </c>
      <c r="H9" s="51"/>
      <c r="I9" s="51"/>
      <c r="J9" s="52">
        <v>1000000</v>
      </c>
      <c r="K9" s="53"/>
    </row>
    <row r="10" spans="1:11" s="198" customFormat="1" ht="20.100000000000001" customHeight="1" x14ac:dyDescent="0.25">
      <c r="A10" s="44">
        <v>4</v>
      </c>
      <c r="B10" s="45"/>
      <c r="C10" s="58" t="s">
        <v>61</v>
      </c>
      <c r="D10" s="58" t="s">
        <v>52</v>
      </c>
      <c r="E10" s="80" t="s">
        <v>552</v>
      </c>
      <c r="F10" s="204">
        <v>6</v>
      </c>
      <c r="G10" s="75">
        <v>1</v>
      </c>
      <c r="H10" s="75">
        <v>1</v>
      </c>
      <c r="I10" s="75"/>
      <c r="J10" s="76">
        <v>6600000</v>
      </c>
      <c r="K10" s="194" t="s">
        <v>489</v>
      </c>
    </row>
    <row r="11" spans="1:11" ht="20.100000000000001" customHeight="1" x14ac:dyDescent="0.25">
      <c r="A11" s="44">
        <v>5</v>
      </c>
      <c r="B11" s="45">
        <v>46274</v>
      </c>
      <c r="C11" s="31" t="s">
        <v>510</v>
      </c>
      <c r="D11" s="31" t="s">
        <v>511</v>
      </c>
      <c r="E11" s="80" t="s">
        <v>557</v>
      </c>
      <c r="F11" s="51">
        <v>6</v>
      </c>
      <c r="G11" s="51">
        <v>1</v>
      </c>
      <c r="H11" s="51"/>
      <c r="I11" s="51"/>
      <c r="J11" s="52">
        <v>6000000</v>
      </c>
      <c r="K11" s="53"/>
    </row>
    <row r="12" spans="1:11" ht="20.100000000000001" customHeight="1" x14ac:dyDescent="0.25">
      <c r="A12" s="44">
        <v>6</v>
      </c>
      <c r="B12" s="45">
        <v>46276</v>
      </c>
      <c r="C12" s="31" t="s">
        <v>286</v>
      </c>
      <c r="D12" s="31" t="s">
        <v>78</v>
      </c>
      <c r="E12" s="80" t="s">
        <v>559</v>
      </c>
      <c r="F12" s="51">
        <v>2</v>
      </c>
      <c r="G12" s="51">
        <v>1</v>
      </c>
      <c r="H12" s="51"/>
      <c r="I12" s="51"/>
      <c r="J12" s="52">
        <v>2000000</v>
      </c>
      <c r="K12" s="53"/>
    </row>
    <row r="13" spans="1:11" ht="20.100000000000001" customHeight="1" x14ac:dyDescent="0.25">
      <c r="A13" s="44">
        <v>7</v>
      </c>
      <c r="B13" s="45">
        <v>46277</v>
      </c>
      <c r="C13" s="31" t="s">
        <v>346</v>
      </c>
      <c r="D13" s="31" t="s">
        <v>52</v>
      </c>
      <c r="E13" s="80" t="s">
        <v>560</v>
      </c>
      <c r="F13" s="51">
        <v>2</v>
      </c>
      <c r="G13" s="51">
        <v>2</v>
      </c>
      <c r="H13" s="51"/>
      <c r="I13" s="51"/>
      <c r="J13" s="52">
        <v>4000000</v>
      </c>
      <c r="K13" s="53"/>
    </row>
    <row r="14" spans="1:11" ht="20.25" customHeight="1" x14ac:dyDescent="0.25">
      <c r="A14" s="44">
        <v>8</v>
      </c>
      <c r="B14" s="50">
        <v>46279</v>
      </c>
      <c r="C14" s="58" t="s">
        <v>500</v>
      </c>
      <c r="D14" s="58" t="s">
        <v>501</v>
      </c>
      <c r="E14" s="80" t="s">
        <v>561</v>
      </c>
      <c r="F14" s="51">
        <v>9</v>
      </c>
      <c r="G14" s="51">
        <v>1</v>
      </c>
      <c r="H14" s="51">
        <v>1</v>
      </c>
      <c r="I14" s="51"/>
      <c r="J14" s="52">
        <v>9900000</v>
      </c>
      <c r="K14" s="53"/>
    </row>
    <row r="15" spans="1:11" ht="15.75" customHeight="1" x14ac:dyDescent="0.25">
      <c r="A15" s="44">
        <v>9</v>
      </c>
      <c r="B15" s="45">
        <v>46281</v>
      </c>
      <c r="C15" s="63" t="s">
        <v>286</v>
      </c>
      <c r="D15" s="31" t="s">
        <v>78</v>
      </c>
      <c r="E15" s="80" t="s">
        <v>562</v>
      </c>
      <c r="F15" s="51">
        <v>4</v>
      </c>
      <c r="G15" s="51">
        <v>1</v>
      </c>
      <c r="H15" s="51"/>
      <c r="I15" s="51"/>
      <c r="J15" s="52">
        <v>4000000</v>
      </c>
      <c r="K15" s="53"/>
    </row>
    <row r="16" spans="1:11" ht="19.5" customHeight="1" x14ac:dyDescent="0.25">
      <c r="A16" s="44">
        <v>10</v>
      </c>
      <c r="B16" s="45">
        <v>46283</v>
      </c>
      <c r="C16" s="58" t="s">
        <v>61</v>
      </c>
      <c r="D16" s="58" t="s">
        <v>52</v>
      </c>
      <c r="E16" s="80" t="s">
        <v>563</v>
      </c>
      <c r="F16" s="51">
        <v>2</v>
      </c>
      <c r="G16" s="47">
        <v>2</v>
      </c>
      <c r="H16" s="51"/>
      <c r="I16" s="51"/>
      <c r="J16" s="52">
        <v>3500000</v>
      </c>
      <c r="K16" s="53" t="s">
        <v>573</v>
      </c>
    </row>
    <row r="17" spans="1:11" ht="20.100000000000001" customHeight="1" x14ac:dyDescent="0.25">
      <c r="A17" s="44">
        <v>11</v>
      </c>
      <c r="B17" s="45">
        <v>46288</v>
      </c>
      <c r="C17" s="31" t="s">
        <v>565</v>
      </c>
      <c r="D17" s="31" t="s">
        <v>507</v>
      </c>
      <c r="E17" s="80" t="s">
        <v>566</v>
      </c>
      <c r="F17" s="51">
        <v>4</v>
      </c>
      <c r="G17" s="51">
        <v>1</v>
      </c>
      <c r="H17" s="51"/>
      <c r="I17" s="51"/>
      <c r="J17" s="52">
        <v>4000000</v>
      </c>
      <c r="K17" s="53" t="s">
        <v>564</v>
      </c>
    </row>
    <row r="18" spans="1:11" ht="20.100000000000001" customHeight="1" x14ac:dyDescent="0.25">
      <c r="A18" s="44">
        <v>12</v>
      </c>
      <c r="B18" s="45"/>
      <c r="C18" s="31" t="s">
        <v>567</v>
      </c>
      <c r="D18" s="31" t="s">
        <v>160</v>
      </c>
      <c r="E18" s="80">
        <v>46291</v>
      </c>
      <c r="F18" s="51">
        <v>1</v>
      </c>
      <c r="G18" s="51"/>
      <c r="H18" s="51">
        <v>24</v>
      </c>
      <c r="I18" s="51"/>
      <c r="J18" s="52">
        <v>2400000</v>
      </c>
      <c r="K18" s="53"/>
    </row>
    <row r="19" spans="1:11" ht="20.100000000000001" customHeight="1" x14ac:dyDescent="0.25">
      <c r="A19" s="44">
        <v>13</v>
      </c>
      <c r="B19" s="45">
        <v>46289</v>
      </c>
      <c r="C19" s="31" t="s">
        <v>567</v>
      </c>
      <c r="D19" s="31" t="s">
        <v>568</v>
      </c>
      <c r="E19" s="80">
        <v>46291</v>
      </c>
      <c r="F19" s="51">
        <v>1</v>
      </c>
      <c r="G19" s="51">
        <v>1</v>
      </c>
      <c r="H19" s="51"/>
      <c r="I19" s="51"/>
      <c r="J19" s="52">
        <v>1000000</v>
      </c>
      <c r="K19" s="53"/>
    </row>
    <row r="20" spans="1:11" ht="20.100000000000001" customHeight="1" x14ac:dyDescent="0.25">
      <c r="A20" s="44">
        <v>14</v>
      </c>
      <c r="B20" s="45"/>
      <c r="C20" s="31" t="s">
        <v>569</v>
      </c>
      <c r="D20" s="31" t="s">
        <v>574</v>
      </c>
      <c r="E20" s="80">
        <v>46291</v>
      </c>
      <c r="F20" s="51">
        <v>1</v>
      </c>
      <c r="G20" s="51">
        <v>5</v>
      </c>
      <c r="H20" s="51">
        <v>3</v>
      </c>
      <c r="I20" s="51"/>
      <c r="J20" s="52">
        <v>5300000</v>
      </c>
      <c r="K20" s="53"/>
    </row>
    <row r="21" spans="1:11" ht="20.100000000000001" customHeight="1" x14ac:dyDescent="0.25">
      <c r="A21" s="44">
        <v>15</v>
      </c>
      <c r="B21" s="45"/>
      <c r="C21" s="159" t="s">
        <v>346</v>
      </c>
      <c r="D21" s="159" t="s">
        <v>52</v>
      </c>
      <c r="E21" s="80">
        <v>46292</v>
      </c>
      <c r="F21" s="51">
        <v>1</v>
      </c>
      <c r="G21" s="51">
        <v>2</v>
      </c>
      <c r="H21" s="51"/>
      <c r="I21" s="51"/>
      <c r="J21" s="52">
        <v>2000000</v>
      </c>
      <c r="K21" s="53"/>
    </row>
    <row r="22" spans="1:11" ht="20.100000000000001" customHeight="1" x14ac:dyDescent="0.25">
      <c r="A22" s="44">
        <v>16</v>
      </c>
      <c r="B22" s="45">
        <v>46290</v>
      </c>
      <c r="C22" s="31" t="s">
        <v>61</v>
      </c>
      <c r="D22" s="31" t="s">
        <v>52</v>
      </c>
      <c r="E22" s="80" t="s">
        <v>572</v>
      </c>
      <c r="F22" s="51">
        <v>2</v>
      </c>
      <c r="G22" s="51">
        <v>1</v>
      </c>
      <c r="H22" s="51"/>
      <c r="I22" s="51"/>
      <c r="J22" s="52">
        <v>3100000</v>
      </c>
      <c r="K22" s="53" t="s">
        <v>573</v>
      </c>
    </row>
    <row r="23" spans="1:11" ht="20.100000000000001" customHeight="1" x14ac:dyDescent="0.25">
      <c r="A23" s="44">
        <v>17</v>
      </c>
      <c r="B23" s="45">
        <v>46293</v>
      </c>
      <c r="C23" s="31" t="s">
        <v>436</v>
      </c>
      <c r="D23" s="31" t="s">
        <v>65</v>
      </c>
      <c r="E23" s="80" t="s">
        <v>576</v>
      </c>
      <c r="F23" s="51">
        <v>10</v>
      </c>
      <c r="G23" s="51">
        <v>1</v>
      </c>
      <c r="H23" s="51"/>
      <c r="I23" s="51"/>
      <c r="J23" s="52">
        <v>10000000</v>
      </c>
      <c r="K23" s="53"/>
    </row>
    <row r="24" spans="1:11" ht="20.100000000000001" customHeight="1" x14ac:dyDescent="0.25">
      <c r="A24" s="44">
        <v>18</v>
      </c>
      <c r="B24" s="45">
        <v>46294</v>
      </c>
      <c r="C24" s="31" t="s">
        <v>117</v>
      </c>
      <c r="D24" s="31" t="s">
        <v>52</v>
      </c>
      <c r="E24" s="80" t="s">
        <v>542</v>
      </c>
      <c r="F24" s="51">
        <v>8</v>
      </c>
      <c r="G24" s="51">
        <v>4</v>
      </c>
      <c r="H24" s="51"/>
      <c r="I24" s="51"/>
      <c r="J24" s="52">
        <v>32000000</v>
      </c>
      <c r="K24" s="53"/>
    </row>
    <row r="25" spans="1:11" ht="20.100000000000001" customHeight="1" x14ac:dyDescent="0.25">
      <c r="A25" s="44">
        <v>19</v>
      </c>
      <c r="B25" s="45">
        <v>46295</v>
      </c>
      <c r="C25" s="31" t="s">
        <v>458</v>
      </c>
      <c r="D25" s="31" t="s">
        <v>268</v>
      </c>
      <c r="E25" s="80" t="s">
        <v>575</v>
      </c>
      <c r="F25" s="51">
        <v>9</v>
      </c>
      <c r="G25" s="51">
        <v>2</v>
      </c>
      <c r="H25" s="51"/>
      <c r="I25" s="51"/>
      <c r="J25" s="52">
        <v>18000000</v>
      </c>
      <c r="K25" s="53"/>
    </row>
    <row r="26" spans="1:11" ht="20.100000000000001" customHeight="1" x14ac:dyDescent="0.25">
      <c r="A26" s="67"/>
      <c r="B26" s="67"/>
      <c r="C26" s="222" t="s">
        <v>8</v>
      </c>
      <c r="D26" s="223"/>
      <c r="E26" s="224"/>
      <c r="F26" s="68">
        <f>SUM(F7:F25)</f>
        <v>73</v>
      </c>
      <c r="G26" s="68">
        <f>SUM(G7:G25)</f>
        <v>29</v>
      </c>
      <c r="H26" s="68">
        <f>SUM(H7:H25)</f>
        <v>29</v>
      </c>
      <c r="I26" s="68">
        <f>SUM(I7:I25)</f>
        <v>0</v>
      </c>
      <c r="J26" s="69">
        <f>SUM(J7:J25)</f>
        <v>119800000</v>
      </c>
      <c r="K26" s="70"/>
    </row>
    <row r="27" spans="1:11" ht="15.75" x14ac:dyDescent="0.2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</row>
    <row r="28" spans="1:11" ht="15.75" x14ac:dyDescent="0.25">
      <c r="A28" s="33"/>
      <c r="B28" s="33"/>
      <c r="C28" s="33"/>
      <c r="D28" s="33"/>
      <c r="E28" s="33"/>
      <c r="F28" s="33"/>
      <c r="G28" s="33"/>
      <c r="H28" s="217" t="s">
        <v>578</v>
      </c>
      <c r="I28" s="217"/>
      <c r="J28" s="217"/>
      <c r="K28" s="72"/>
    </row>
    <row r="29" spans="1:11" ht="15.75" customHeight="1" x14ac:dyDescent="0.25">
      <c r="A29" s="33"/>
      <c r="B29" s="217" t="s">
        <v>360</v>
      </c>
      <c r="C29" s="217"/>
      <c r="D29" s="217"/>
      <c r="E29" s="33"/>
      <c r="F29" s="33"/>
      <c r="G29" s="33"/>
      <c r="H29" s="33"/>
      <c r="I29" s="33"/>
      <c r="J29" s="33"/>
      <c r="K29" s="33"/>
    </row>
    <row r="30" spans="1:11" ht="15.75" customHeight="1" x14ac:dyDescent="0.25">
      <c r="A30" s="33"/>
      <c r="B30" s="217" t="s">
        <v>42</v>
      </c>
      <c r="C30" s="217"/>
      <c r="D30" s="217"/>
      <c r="E30" s="33"/>
      <c r="F30" s="33"/>
      <c r="G30" s="33"/>
      <c r="H30" s="218" t="s">
        <v>361</v>
      </c>
      <c r="I30" s="218"/>
      <c r="J30" s="218"/>
      <c r="K30" s="189"/>
    </row>
    <row r="31" spans="1:11" ht="15.75" customHeight="1" x14ac:dyDescent="0.25">
      <c r="A31" s="33"/>
      <c r="B31" s="217" t="s">
        <v>38</v>
      </c>
      <c r="C31" s="217"/>
      <c r="D31" s="217"/>
      <c r="E31" s="33"/>
      <c r="F31" s="33"/>
      <c r="G31" s="33"/>
      <c r="H31" s="218"/>
      <c r="I31" s="219"/>
      <c r="J31" s="219"/>
      <c r="K31" s="219"/>
    </row>
    <row r="32" spans="1:11" ht="15.75" customHeight="1" x14ac:dyDescent="0.25">
      <c r="A32" s="33"/>
      <c r="B32" s="217" t="s">
        <v>39</v>
      </c>
      <c r="C32" s="217"/>
      <c r="D32" s="217"/>
      <c r="E32" s="33"/>
      <c r="F32" s="33"/>
      <c r="G32" s="33"/>
      <c r="H32" s="218"/>
      <c r="I32" s="219"/>
      <c r="J32" s="219"/>
      <c r="K32" s="219"/>
    </row>
    <row r="33" spans="1:11" ht="15.75" x14ac:dyDescent="0.25">
      <c r="A33" s="33"/>
      <c r="B33" s="217" t="s">
        <v>40</v>
      </c>
      <c r="C33" s="217"/>
      <c r="D33" s="217"/>
      <c r="E33" s="33"/>
      <c r="F33" s="33"/>
      <c r="G33" s="33"/>
      <c r="H33" s="218"/>
      <c r="I33" s="219"/>
      <c r="J33" s="219"/>
      <c r="K33" s="219"/>
    </row>
    <row r="34" spans="1:11" ht="15.75" x14ac:dyDescent="0.25">
      <c r="A34" s="33"/>
      <c r="B34" s="33"/>
      <c r="C34" s="33"/>
      <c r="D34" s="33"/>
      <c r="E34" s="33"/>
      <c r="F34" s="33"/>
      <c r="G34" s="33"/>
      <c r="H34" s="220"/>
      <c r="I34" s="220"/>
      <c r="J34" s="220"/>
      <c r="K34" s="220"/>
    </row>
    <row r="35" spans="1:11" ht="15.75" x14ac:dyDescent="0.25">
      <c r="A35" s="33"/>
      <c r="B35" s="33"/>
      <c r="C35" s="33"/>
      <c r="D35" s="33"/>
      <c r="E35" s="33"/>
      <c r="F35" s="33"/>
      <c r="G35" s="33"/>
      <c r="H35" s="29"/>
      <c r="I35" s="30"/>
      <c r="J35" s="30"/>
      <c r="K35" s="29"/>
    </row>
    <row r="36" spans="1:11" ht="15.75" customHeight="1" x14ac:dyDescent="0.25">
      <c r="A36" s="33"/>
      <c r="B36" s="217" t="s">
        <v>43</v>
      </c>
      <c r="C36" s="217"/>
      <c r="D36" s="217"/>
      <c r="E36" s="33"/>
      <c r="F36" s="33"/>
      <c r="G36" s="33"/>
      <c r="H36" s="218"/>
      <c r="I36" s="219"/>
      <c r="J36" s="219"/>
      <c r="K36" s="219"/>
    </row>
    <row r="37" spans="1:11" ht="15.75" customHeight="1" x14ac:dyDescent="0.25">
      <c r="A37" s="33"/>
      <c r="B37" s="217" t="s">
        <v>44</v>
      </c>
      <c r="C37" s="217"/>
      <c r="D37" s="217"/>
      <c r="E37" s="33"/>
      <c r="F37" s="33"/>
      <c r="G37" s="33"/>
      <c r="H37" s="218" t="s">
        <v>362</v>
      </c>
      <c r="I37" s="218"/>
      <c r="J37" s="218"/>
      <c r="K37" s="189"/>
    </row>
    <row r="38" spans="1:11" ht="15.75" x14ac:dyDescent="0.25">
      <c r="A38" s="33"/>
      <c r="B38" s="33"/>
      <c r="C38" s="33"/>
      <c r="D38" s="33"/>
      <c r="E38" s="33"/>
      <c r="F38" s="33"/>
      <c r="G38" s="33"/>
      <c r="H38" s="217" t="s">
        <v>363</v>
      </c>
      <c r="I38" s="217"/>
      <c r="J38" s="217"/>
      <c r="K38" s="33"/>
    </row>
    <row r="39" spans="1:11" ht="15.75" x14ac:dyDescent="0.25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</row>
    <row r="40" spans="1:11" ht="15.75" x14ac:dyDescent="0.2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</row>
    <row r="41" spans="1:11" ht="15.75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</row>
  </sheetData>
  <mergeCells count="21">
    <mergeCell ref="H28:J28"/>
    <mergeCell ref="B29:D29"/>
    <mergeCell ref="B30:D30"/>
    <mergeCell ref="H30:J30"/>
    <mergeCell ref="A1:K1"/>
    <mergeCell ref="A2:K2"/>
    <mergeCell ref="A3:K3"/>
    <mergeCell ref="A4:K4"/>
    <mergeCell ref="C26:E26"/>
    <mergeCell ref="B37:D37"/>
    <mergeCell ref="H37:J37"/>
    <mergeCell ref="H38:J38"/>
    <mergeCell ref="B31:D31"/>
    <mergeCell ref="B32:D32"/>
    <mergeCell ref="B33:D33"/>
    <mergeCell ref="H34:K34"/>
    <mergeCell ref="B36:D36"/>
    <mergeCell ref="H31:K31"/>
    <mergeCell ref="H32:K32"/>
    <mergeCell ref="H33:K33"/>
    <mergeCell ref="H36:K36"/>
  </mergeCells>
  <pageMargins left="0.23622047244094491" right="3.937007874015748E-2" top="0.15748031496062992" bottom="0.15748031496062992" header="0.31496062992125984" footer="0.31496062992125984"/>
  <pageSetup paperSize="122" scale="80" orientation="landscape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B2466-B137-402F-82AB-B106051A14C2}">
  <dimension ref="A1:K42"/>
  <sheetViews>
    <sheetView showGridLines="0" tabSelected="1" topLeftCell="A6" zoomScaleNormal="100" workbookViewId="0">
      <selection activeCell="P21" sqref="P21"/>
    </sheetView>
  </sheetViews>
  <sheetFormatPr defaultRowHeight="15" x14ac:dyDescent="0.25"/>
  <cols>
    <col min="1" max="1" width="4.28515625" customWidth="1"/>
    <col min="2" max="2" width="13.42578125" customWidth="1"/>
    <col min="3" max="3" width="44.28515625" bestFit="1" customWidth="1"/>
    <col min="4" max="4" width="27.7109375" customWidth="1"/>
    <col min="5" max="5" width="57.85546875" customWidth="1"/>
    <col min="6" max="7" width="8" customWidth="1"/>
    <col min="8" max="8" width="9.140625" customWidth="1"/>
    <col min="9" max="9" width="9.85546875" customWidth="1"/>
    <col min="10" max="10" width="16.5703125" customWidth="1"/>
    <col min="11" max="11" width="14.140625" customWidth="1"/>
    <col min="17" max="17" width="10.140625" bestFit="1" customWidth="1"/>
    <col min="19" max="19" width="14.28515625" customWidth="1"/>
  </cols>
  <sheetData>
    <row r="1" spans="1:11" ht="18" x14ac:dyDescent="0.25">
      <c r="A1" s="221" t="s">
        <v>85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</row>
    <row r="2" spans="1:11" ht="18" x14ac:dyDescent="0.25">
      <c r="A2" s="221" t="s">
        <v>9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</row>
    <row r="3" spans="1:11" ht="18" x14ac:dyDescent="0.25">
      <c r="A3" s="221" t="s">
        <v>84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</row>
    <row r="4" spans="1:11" ht="18" x14ac:dyDescent="0.25">
      <c r="A4" s="221" t="s">
        <v>577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</row>
    <row r="5" spans="1:11" ht="21" customHeight="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</row>
    <row r="6" spans="1:11" ht="29.25" customHeight="1" x14ac:dyDescent="0.25">
      <c r="A6" s="34" t="s">
        <v>0</v>
      </c>
      <c r="B6" s="34" t="s">
        <v>10</v>
      </c>
      <c r="C6" s="34" t="s">
        <v>5</v>
      </c>
      <c r="D6" s="35" t="s">
        <v>1</v>
      </c>
      <c r="E6" s="35" t="s">
        <v>6</v>
      </c>
      <c r="F6" s="35" t="s">
        <v>3</v>
      </c>
      <c r="G6" s="35" t="s">
        <v>4</v>
      </c>
      <c r="H6" s="35" t="s">
        <v>7</v>
      </c>
      <c r="I6" s="35" t="s">
        <v>32</v>
      </c>
      <c r="J6" s="35" t="s">
        <v>2</v>
      </c>
      <c r="K6" s="36" t="s">
        <v>34</v>
      </c>
    </row>
    <row r="7" spans="1:11" ht="18.75" customHeight="1" x14ac:dyDescent="0.25">
      <c r="A7" s="37">
        <v>1</v>
      </c>
      <c r="B7" s="38">
        <v>46296</v>
      </c>
      <c r="C7" s="31" t="s">
        <v>510</v>
      </c>
      <c r="D7" s="31" t="s">
        <v>511</v>
      </c>
      <c r="E7" s="88" t="s">
        <v>579</v>
      </c>
      <c r="F7" s="41">
        <v>4</v>
      </c>
      <c r="G7" s="41">
        <v>1</v>
      </c>
      <c r="H7" s="41"/>
      <c r="I7" s="41"/>
      <c r="J7" s="42">
        <v>4000000</v>
      </c>
      <c r="K7" s="43"/>
    </row>
    <row r="8" spans="1:11" ht="18.75" customHeight="1" x14ac:dyDescent="0.25">
      <c r="A8" s="44">
        <v>2</v>
      </c>
      <c r="B8" s="45"/>
      <c r="C8" s="31" t="s">
        <v>107</v>
      </c>
      <c r="D8" s="31" t="s">
        <v>222</v>
      </c>
      <c r="E8" s="89" t="s">
        <v>580</v>
      </c>
      <c r="F8" s="47">
        <v>7</v>
      </c>
      <c r="G8" s="47">
        <v>1</v>
      </c>
      <c r="H8" s="47"/>
      <c r="I8" s="47"/>
      <c r="J8" s="48">
        <v>7000000</v>
      </c>
      <c r="K8" s="53"/>
    </row>
    <row r="9" spans="1:11" ht="18.75" customHeight="1" x14ac:dyDescent="0.25">
      <c r="A9" s="44">
        <v>3</v>
      </c>
      <c r="B9" s="45"/>
      <c r="C9" s="58" t="s">
        <v>336</v>
      </c>
      <c r="D9" s="58" t="s">
        <v>375</v>
      </c>
      <c r="E9" s="80" t="s">
        <v>581</v>
      </c>
      <c r="F9" s="51">
        <v>4</v>
      </c>
      <c r="G9" s="51">
        <v>1</v>
      </c>
      <c r="H9" s="51"/>
      <c r="I9" s="51"/>
      <c r="J9" s="52">
        <v>4000000</v>
      </c>
      <c r="K9" s="53"/>
    </row>
    <row r="10" spans="1:11" s="198" customFormat="1" ht="20.100000000000001" customHeight="1" x14ac:dyDescent="0.25">
      <c r="A10" s="44">
        <v>4</v>
      </c>
      <c r="B10" s="38">
        <v>46297</v>
      </c>
      <c r="C10" s="58" t="s">
        <v>61</v>
      </c>
      <c r="D10" s="58" t="s">
        <v>52</v>
      </c>
      <c r="E10" s="80" t="s">
        <v>579</v>
      </c>
      <c r="F10" s="204">
        <v>4</v>
      </c>
      <c r="G10" s="75">
        <v>1</v>
      </c>
      <c r="H10" s="75">
        <v>4</v>
      </c>
      <c r="I10" s="75"/>
      <c r="J10" s="76">
        <v>6600000</v>
      </c>
      <c r="K10" s="194" t="s">
        <v>584</v>
      </c>
    </row>
    <row r="11" spans="1:11" ht="20.100000000000001" customHeight="1" x14ac:dyDescent="0.25">
      <c r="A11" s="44">
        <v>5</v>
      </c>
      <c r="B11" s="45"/>
      <c r="C11" s="31" t="s">
        <v>346</v>
      </c>
      <c r="D11" s="31" t="s">
        <v>52</v>
      </c>
      <c r="E11" s="80" t="s">
        <v>582</v>
      </c>
      <c r="F11" s="51">
        <v>3</v>
      </c>
      <c r="G11" s="51">
        <v>1</v>
      </c>
      <c r="H11" s="51"/>
      <c r="I11" s="51"/>
      <c r="J11" s="52">
        <v>4000000</v>
      </c>
      <c r="K11" s="53" t="s">
        <v>583</v>
      </c>
    </row>
    <row r="12" spans="1:11" ht="20.100000000000001" customHeight="1" x14ac:dyDescent="0.25">
      <c r="A12" s="44">
        <v>6</v>
      </c>
      <c r="B12" s="45"/>
      <c r="C12" s="31" t="s">
        <v>286</v>
      </c>
      <c r="D12" s="31" t="s">
        <v>78</v>
      </c>
      <c r="E12" s="80" t="s">
        <v>585</v>
      </c>
      <c r="F12" s="51">
        <v>6</v>
      </c>
      <c r="G12" s="51">
        <v>1</v>
      </c>
      <c r="H12" s="51"/>
      <c r="I12" s="51"/>
      <c r="J12" s="52">
        <v>6000000</v>
      </c>
      <c r="K12" s="53"/>
    </row>
    <row r="13" spans="1:11" ht="20.100000000000001" customHeight="1" x14ac:dyDescent="0.25">
      <c r="A13" s="44">
        <v>7</v>
      </c>
      <c r="B13" s="38">
        <v>46299</v>
      </c>
      <c r="C13" s="31" t="s">
        <v>586</v>
      </c>
      <c r="D13" s="31" t="s">
        <v>160</v>
      </c>
      <c r="E13" s="80">
        <v>46299</v>
      </c>
      <c r="F13" s="51">
        <v>1</v>
      </c>
      <c r="G13" s="51"/>
      <c r="H13" s="51">
        <v>2</v>
      </c>
      <c r="I13" s="51"/>
      <c r="J13" s="52">
        <v>200000</v>
      </c>
      <c r="K13" s="53"/>
    </row>
    <row r="14" spans="1:11" ht="20.25" customHeight="1" x14ac:dyDescent="0.25">
      <c r="A14" s="44">
        <v>8</v>
      </c>
      <c r="B14" s="38">
        <v>46302</v>
      </c>
      <c r="C14" s="58" t="s">
        <v>587</v>
      </c>
      <c r="D14" s="58" t="s">
        <v>588</v>
      </c>
      <c r="E14" s="80" t="s">
        <v>589</v>
      </c>
      <c r="F14" s="51">
        <v>2</v>
      </c>
      <c r="G14" s="51">
        <v>2</v>
      </c>
      <c r="H14" s="51"/>
      <c r="I14" s="51"/>
      <c r="J14" s="52">
        <v>4000000</v>
      </c>
      <c r="K14" s="53"/>
    </row>
    <row r="15" spans="1:11" ht="20.25" customHeight="1" x14ac:dyDescent="0.25">
      <c r="A15" s="44">
        <v>9</v>
      </c>
      <c r="B15" s="38"/>
      <c r="C15" s="58" t="s">
        <v>436</v>
      </c>
      <c r="D15" s="58" t="s">
        <v>471</v>
      </c>
      <c r="E15" s="80"/>
      <c r="F15" s="51">
        <v>6</v>
      </c>
      <c r="G15" s="51">
        <v>1</v>
      </c>
      <c r="H15" s="51"/>
      <c r="I15" s="51"/>
      <c r="J15" s="52">
        <v>6000000</v>
      </c>
      <c r="K15" s="53"/>
    </row>
    <row r="16" spans="1:11" ht="20.25" customHeight="1" x14ac:dyDescent="0.25">
      <c r="A16" s="44">
        <v>10</v>
      </c>
      <c r="B16" s="38">
        <v>46305</v>
      </c>
      <c r="C16" s="31" t="s">
        <v>346</v>
      </c>
      <c r="D16" s="31" t="s">
        <v>52</v>
      </c>
      <c r="E16" s="80">
        <v>46306</v>
      </c>
      <c r="F16" s="51">
        <v>1</v>
      </c>
      <c r="G16" s="51">
        <v>1</v>
      </c>
      <c r="H16" s="51"/>
      <c r="I16" s="51"/>
      <c r="J16" s="52">
        <v>1000000</v>
      </c>
      <c r="K16" s="53"/>
    </row>
    <row r="17" spans="1:11" ht="20.25" customHeight="1" x14ac:dyDescent="0.25">
      <c r="A17" s="44">
        <v>11</v>
      </c>
      <c r="B17" s="38">
        <v>46306</v>
      </c>
      <c r="C17" s="31" t="s">
        <v>586</v>
      </c>
      <c r="D17" s="31" t="s">
        <v>160</v>
      </c>
      <c r="E17" s="80" t="s">
        <v>589</v>
      </c>
      <c r="F17" s="51">
        <v>2</v>
      </c>
      <c r="G17" s="47"/>
      <c r="H17" s="51">
        <v>2</v>
      </c>
      <c r="I17" s="51"/>
      <c r="J17" s="52">
        <v>400000</v>
      </c>
      <c r="K17" s="53"/>
    </row>
    <row r="18" spans="1:11" ht="20.100000000000001" customHeight="1" x14ac:dyDescent="0.25">
      <c r="A18" s="44">
        <v>12</v>
      </c>
      <c r="B18" s="45"/>
      <c r="C18" s="31"/>
      <c r="D18" s="31"/>
      <c r="E18" s="80"/>
      <c r="F18" s="51"/>
      <c r="G18" s="51"/>
      <c r="H18" s="51"/>
      <c r="I18" s="51"/>
      <c r="J18" s="52"/>
      <c r="K18" s="53"/>
    </row>
    <row r="19" spans="1:11" ht="20.100000000000001" customHeight="1" x14ac:dyDescent="0.25">
      <c r="A19" s="44">
        <v>13</v>
      </c>
      <c r="B19" s="45"/>
      <c r="C19" s="31"/>
      <c r="D19" s="31"/>
      <c r="E19" s="80"/>
      <c r="F19" s="51"/>
      <c r="G19" s="51"/>
      <c r="H19" s="51"/>
      <c r="I19" s="51"/>
      <c r="J19" s="52"/>
      <c r="K19" s="53"/>
    </row>
    <row r="20" spans="1:11" ht="20.100000000000001" customHeight="1" x14ac:dyDescent="0.25">
      <c r="A20" s="44">
        <v>14</v>
      </c>
      <c r="B20" s="45"/>
      <c r="C20" s="31"/>
      <c r="D20" s="31"/>
      <c r="E20" s="80"/>
      <c r="F20" s="51"/>
      <c r="G20" s="51"/>
      <c r="H20" s="51"/>
      <c r="I20" s="51"/>
      <c r="J20" s="52"/>
      <c r="K20" s="53"/>
    </row>
    <row r="21" spans="1:11" ht="20.100000000000001" customHeight="1" x14ac:dyDescent="0.25">
      <c r="A21" s="44">
        <v>15</v>
      </c>
      <c r="B21" s="45"/>
      <c r="C21" s="31"/>
      <c r="D21" s="31"/>
      <c r="E21" s="80"/>
      <c r="F21" s="51"/>
      <c r="G21" s="51"/>
      <c r="H21" s="51"/>
      <c r="I21" s="51"/>
      <c r="J21" s="52"/>
      <c r="K21" s="53"/>
    </row>
    <row r="22" spans="1:11" ht="20.100000000000001" customHeight="1" x14ac:dyDescent="0.25">
      <c r="A22" s="44">
        <v>16</v>
      </c>
      <c r="B22" s="45"/>
      <c r="C22" s="159"/>
      <c r="D22" s="159"/>
      <c r="E22" s="80"/>
      <c r="F22" s="51"/>
      <c r="G22" s="51"/>
      <c r="H22" s="51"/>
      <c r="I22" s="51"/>
      <c r="J22" s="52"/>
      <c r="K22" s="53"/>
    </row>
    <row r="23" spans="1:11" ht="20.100000000000001" customHeight="1" x14ac:dyDescent="0.25">
      <c r="A23" s="44">
        <v>17</v>
      </c>
      <c r="B23" s="45"/>
      <c r="C23" s="31"/>
      <c r="D23" s="31"/>
      <c r="E23" s="80"/>
      <c r="F23" s="51"/>
      <c r="G23" s="51"/>
      <c r="H23" s="51"/>
      <c r="I23" s="51"/>
      <c r="J23" s="52"/>
      <c r="K23" s="53"/>
    </row>
    <row r="24" spans="1:11" ht="20.100000000000001" customHeight="1" x14ac:dyDescent="0.25">
      <c r="A24" s="44">
        <v>18</v>
      </c>
      <c r="B24" s="45"/>
      <c r="C24" s="31"/>
      <c r="D24" s="31"/>
      <c r="E24" s="80"/>
      <c r="F24" s="51"/>
      <c r="G24" s="51"/>
      <c r="H24" s="51"/>
      <c r="I24" s="51"/>
      <c r="J24" s="52"/>
      <c r="K24" s="53"/>
    </row>
    <row r="25" spans="1:11" ht="20.100000000000001" customHeight="1" x14ac:dyDescent="0.25">
      <c r="A25" s="44">
        <v>19</v>
      </c>
      <c r="B25" s="45"/>
      <c r="C25" s="31"/>
      <c r="D25" s="31"/>
      <c r="E25" s="80"/>
      <c r="F25" s="51"/>
      <c r="G25" s="51"/>
      <c r="H25" s="51"/>
      <c r="I25" s="51"/>
      <c r="J25" s="52"/>
      <c r="K25" s="53"/>
    </row>
    <row r="26" spans="1:11" ht="20.100000000000001" customHeight="1" x14ac:dyDescent="0.25">
      <c r="A26" s="44">
        <v>20</v>
      </c>
      <c r="B26" s="45"/>
      <c r="C26" s="31"/>
      <c r="D26" s="31"/>
      <c r="E26" s="80"/>
      <c r="F26" s="51"/>
      <c r="G26" s="51"/>
      <c r="H26" s="51"/>
      <c r="I26" s="51"/>
      <c r="J26" s="52"/>
      <c r="K26" s="53"/>
    </row>
    <row r="27" spans="1:11" ht="20.100000000000001" customHeight="1" x14ac:dyDescent="0.25">
      <c r="A27" s="67"/>
      <c r="B27" s="67"/>
      <c r="C27" s="222" t="s">
        <v>8</v>
      </c>
      <c r="D27" s="223"/>
      <c r="E27" s="224"/>
      <c r="F27" s="68">
        <f>SUM(F7:F26)</f>
        <v>40</v>
      </c>
      <c r="G27" s="68">
        <f>SUM(G7:G26)</f>
        <v>10</v>
      </c>
      <c r="H27" s="68">
        <f>SUM(H7:H26)</f>
        <v>8</v>
      </c>
      <c r="I27" s="68">
        <f>SUM(I7:I26)</f>
        <v>0</v>
      </c>
      <c r="J27" s="69">
        <f>SUM(J7:J26)</f>
        <v>43200000</v>
      </c>
      <c r="K27" s="70"/>
    </row>
    <row r="28" spans="1:11" ht="15.75" x14ac:dyDescent="0.25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</row>
    <row r="29" spans="1:11" ht="15.75" x14ac:dyDescent="0.25">
      <c r="A29" s="33"/>
      <c r="B29" s="33"/>
      <c r="C29" s="33"/>
      <c r="D29" s="33"/>
      <c r="E29" s="33"/>
      <c r="F29" s="33"/>
      <c r="G29" s="33"/>
      <c r="H29" s="217" t="s">
        <v>518</v>
      </c>
      <c r="I29" s="217"/>
      <c r="J29" s="217"/>
      <c r="K29" s="72"/>
    </row>
    <row r="30" spans="1:11" ht="15.75" customHeight="1" x14ac:dyDescent="0.25">
      <c r="A30" s="33"/>
      <c r="B30" s="217" t="s">
        <v>360</v>
      </c>
      <c r="C30" s="217"/>
      <c r="D30" s="217"/>
      <c r="E30" s="33"/>
      <c r="F30" s="33"/>
      <c r="G30" s="33"/>
      <c r="H30" s="33"/>
      <c r="I30" s="33"/>
      <c r="J30" s="33"/>
      <c r="K30" s="33"/>
    </row>
    <row r="31" spans="1:11" ht="15.75" customHeight="1" x14ac:dyDescent="0.25">
      <c r="A31" s="33"/>
      <c r="B31" s="217" t="s">
        <v>42</v>
      </c>
      <c r="C31" s="217"/>
      <c r="D31" s="217"/>
      <c r="E31" s="33"/>
      <c r="F31" s="33"/>
      <c r="G31" s="33"/>
      <c r="H31" s="218" t="s">
        <v>361</v>
      </c>
      <c r="I31" s="218"/>
      <c r="J31" s="218"/>
      <c r="K31" s="189"/>
    </row>
    <row r="32" spans="1:11" ht="15.75" customHeight="1" x14ac:dyDescent="0.25">
      <c r="A32" s="33"/>
      <c r="B32" s="217" t="s">
        <v>38</v>
      </c>
      <c r="C32" s="217"/>
      <c r="D32" s="217"/>
      <c r="E32" s="33"/>
      <c r="F32" s="33"/>
      <c r="G32" s="33"/>
      <c r="H32" s="218"/>
      <c r="I32" s="219"/>
      <c r="J32" s="219"/>
      <c r="K32" s="219"/>
    </row>
    <row r="33" spans="1:11" ht="15.75" customHeight="1" x14ac:dyDescent="0.25">
      <c r="A33" s="33"/>
      <c r="B33" s="217" t="s">
        <v>39</v>
      </c>
      <c r="C33" s="217"/>
      <c r="D33" s="217"/>
      <c r="E33" s="33"/>
      <c r="F33" s="33"/>
      <c r="G33" s="33"/>
      <c r="H33" s="218"/>
      <c r="I33" s="219"/>
      <c r="J33" s="219"/>
      <c r="K33" s="219"/>
    </row>
    <row r="34" spans="1:11" ht="15.75" x14ac:dyDescent="0.25">
      <c r="A34" s="33"/>
      <c r="B34" s="217" t="s">
        <v>40</v>
      </c>
      <c r="C34" s="217"/>
      <c r="D34" s="217"/>
      <c r="E34" s="33"/>
      <c r="F34" s="33"/>
      <c r="G34" s="33"/>
      <c r="H34" s="218"/>
      <c r="I34" s="219"/>
      <c r="J34" s="219"/>
      <c r="K34" s="219"/>
    </row>
    <row r="35" spans="1:11" ht="15.75" x14ac:dyDescent="0.25">
      <c r="A35" s="33"/>
      <c r="B35" s="33"/>
      <c r="C35" s="33"/>
      <c r="D35" s="33"/>
      <c r="E35" s="33"/>
      <c r="F35" s="33"/>
      <c r="G35" s="33"/>
      <c r="H35" s="220"/>
      <c r="I35" s="220"/>
      <c r="J35" s="220"/>
      <c r="K35" s="220"/>
    </row>
    <row r="36" spans="1:11" ht="15.75" x14ac:dyDescent="0.25">
      <c r="A36" s="33"/>
      <c r="B36" s="33"/>
      <c r="C36" s="33"/>
      <c r="D36" s="33"/>
      <c r="E36" s="33"/>
      <c r="F36" s="33"/>
      <c r="G36" s="33"/>
      <c r="H36" s="29"/>
      <c r="I36" s="30"/>
      <c r="J36" s="30"/>
      <c r="K36" s="29"/>
    </row>
    <row r="37" spans="1:11" ht="15.75" customHeight="1" x14ac:dyDescent="0.25">
      <c r="A37" s="33"/>
      <c r="B37" s="217" t="s">
        <v>43</v>
      </c>
      <c r="C37" s="217"/>
      <c r="D37" s="217"/>
      <c r="E37" s="33"/>
      <c r="F37" s="33"/>
      <c r="G37" s="33"/>
      <c r="H37" s="218"/>
      <c r="I37" s="219"/>
      <c r="J37" s="219"/>
      <c r="K37" s="219"/>
    </row>
    <row r="38" spans="1:11" ht="15.75" customHeight="1" x14ac:dyDescent="0.25">
      <c r="A38" s="33"/>
      <c r="B38" s="217" t="s">
        <v>44</v>
      </c>
      <c r="C38" s="217"/>
      <c r="D38" s="217"/>
      <c r="E38" s="33"/>
      <c r="F38" s="33"/>
      <c r="G38" s="33"/>
      <c r="H38" s="218" t="s">
        <v>362</v>
      </c>
      <c r="I38" s="218"/>
      <c r="J38" s="218"/>
      <c r="K38" s="189"/>
    </row>
    <row r="39" spans="1:11" ht="15.75" x14ac:dyDescent="0.25">
      <c r="A39" s="33"/>
      <c r="B39" s="33"/>
      <c r="C39" s="33"/>
      <c r="D39" s="33"/>
      <c r="E39" s="33"/>
      <c r="F39" s="33"/>
      <c r="G39" s="33"/>
      <c r="H39" s="217" t="s">
        <v>363</v>
      </c>
      <c r="I39" s="217"/>
      <c r="J39" s="217"/>
      <c r="K39" s="33"/>
    </row>
    <row r="40" spans="1:11" ht="15.75" x14ac:dyDescent="0.2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</row>
    <row r="41" spans="1:11" ht="15.75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</row>
    <row r="42" spans="1:11" ht="15.75" x14ac:dyDescent="0.2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</row>
  </sheetData>
  <mergeCells count="21">
    <mergeCell ref="B33:D33"/>
    <mergeCell ref="H33:K33"/>
    <mergeCell ref="A1:K1"/>
    <mergeCell ref="A2:K2"/>
    <mergeCell ref="A3:K3"/>
    <mergeCell ref="A4:K4"/>
    <mergeCell ref="C27:E27"/>
    <mergeCell ref="H29:J29"/>
    <mergeCell ref="B30:D30"/>
    <mergeCell ref="B31:D31"/>
    <mergeCell ref="H31:J31"/>
    <mergeCell ref="B32:D32"/>
    <mergeCell ref="H32:K32"/>
    <mergeCell ref="H39:J39"/>
    <mergeCell ref="B34:D34"/>
    <mergeCell ref="H34:K34"/>
    <mergeCell ref="H35:K35"/>
    <mergeCell ref="B37:D37"/>
    <mergeCell ref="H37:K37"/>
    <mergeCell ref="B38:D38"/>
    <mergeCell ref="H38:J38"/>
  </mergeCells>
  <pageMargins left="0.23622047244094491" right="3.937007874015748E-2" top="0.15748031496062992" bottom="0.15748031496062992" header="0.31496062992125984" footer="0.31496062992125984"/>
  <pageSetup paperSize="122" scale="80" orientation="landscape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F0890-D917-4E03-BED6-EFA5B819D19C}">
  <dimension ref="A1:N100"/>
  <sheetViews>
    <sheetView showGridLines="0" topLeftCell="A70" zoomScaleNormal="100" workbookViewId="0">
      <selection activeCell="N7" sqref="N7"/>
    </sheetView>
  </sheetViews>
  <sheetFormatPr defaultRowHeight="15" x14ac:dyDescent="0.25"/>
  <cols>
    <col min="1" max="1" width="4.28515625" customWidth="1"/>
    <col min="2" max="2" width="13.42578125" customWidth="1"/>
    <col min="3" max="4" width="28.7109375" customWidth="1"/>
    <col min="5" max="5" width="43.85546875" customWidth="1"/>
    <col min="6" max="7" width="8" customWidth="1"/>
    <col min="8" max="8" width="8.7109375" customWidth="1"/>
    <col min="9" max="9" width="9.140625" customWidth="1"/>
    <col min="10" max="10" width="18.42578125" customWidth="1"/>
    <col min="11" max="11" width="12.42578125" customWidth="1"/>
    <col min="12" max="12" width="13.7109375" customWidth="1"/>
    <col min="13" max="13" width="8.140625" customWidth="1"/>
    <col min="14" max="14" width="18.28515625" customWidth="1"/>
    <col min="18" max="18" width="10.140625" bestFit="1" customWidth="1"/>
    <col min="20" max="20" width="14.28515625" customWidth="1"/>
  </cols>
  <sheetData>
    <row r="1" spans="1:14" ht="18" x14ac:dyDescent="0.25">
      <c r="A1" s="221" t="s">
        <v>157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</row>
    <row r="2" spans="1:14" ht="18" x14ac:dyDescent="0.25">
      <c r="A2" s="221" t="s">
        <v>9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</row>
    <row r="3" spans="1:14" ht="18" x14ac:dyDescent="0.25">
      <c r="A3" s="221" t="s">
        <v>84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</row>
    <row r="4" spans="1:14" ht="18" x14ac:dyDescent="0.25">
      <c r="A4" s="221" t="s">
        <v>149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</row>
    <row r="5" spans="1:14" ht="12.75" customHeight="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4" ht="29.25" customHeight="1" x14ac:dyDescent="0.25">
      <c r="A6" s="114" t="s">
        <v>0</v>
      </c>
      <c r="B6" s="114" t="s">
        <v>10</v>
      </c>
      <c r="C6" s="114" t="s">
        <v>5</v>
      </c>
      <c r="D6" s="115" t="s">
        <v>1</v>
      </c>
      <c r="E6" s="115" t="s">
        <v>6</v>
      </c>
      <c r="F6" s="115" t="s">
        <v>3</v>
      </c>
      <c r="G6" s="115" t="s">
        <v>4</v>
      </c>
      <c r="H6" s="115" t="s">
        <v>7</v>
      </c>
      <c r="I6" s="115" t="s">
        <v>32</v>
      </c>
      <c r="J6" s="115" t="s">
        <v>2</v>
      </c>
      <c r="K6" s="115" t="s">
        <v>190</v>
      </c>
      <c r="L6" s="116" t="s">
        <v>130</v>
      </c>
    </row>
    <row r="7" spans="1:14" ht="19.5" customHeight="1" x14ac:dyDescent="0.25">
      <c r="A7" s="148">
        <v>1</v>
      </c>
      <c r="B7" s="151">
        <v>45875</v>
      </c>
      <c r="C7" s="149" t="s">
        <v>269</v>
      </c>
      <c r="D7" s="149" t="s">
        <v>269</v>
      </c>
      <c r="E7" s="154" t="s">
        <v>163</v>
      </c>
      <c r="F7" s="117">
        <v>5</v>
      </c>
      <c r="G7" s="117">
        <v>1</v>
      </c>
      <c r="H7" s="117"/>
      <c r="I7" s="117"/>
      <c r="J7" s="183">
        <v>5000000</v>
      </c>
      <c r="K7" s="117"/>
      <c r="L7" s="118">
        <v>13</v>
      </c>
    </row>
    <row r="8" spans="1:14" ht="19.5" customHeight="1" x14ac:dyDescent="0.25">
      <c r="A8" s="150">
        <v>2</v>
      </c>
      <c r="B8" s="151">
        <v>46022</v>
      </c>
      <c r="C8" s="137" t="s">
        <v>267</v>
      </c>
      <c r="D8" s="137" t="s">
        <v>268</v>
      </c>
      <c r="E8" s="136" t="s">
        <v>155</v>
      </c>
      <c r="F8" s="119">
        <v>9</v>
      </c>
      <c r="G8" s="119">
        <v>2</v>
      </c>
      <c r="H8" s="119"/>
      <c r="I8" s="119"/>
      <c r="J8" s="157">
        <v>22000000</v>
      </c>
      <c r="K8" s="119" t="s">
        <v>275</v>
      </c>
      <c r="L8" s="124">
        <v>10</v>
      </c>
    </row>
    <row r="9" spans="1:14" ht="19.5" customHeight="1" x14ac:dyDescent="0.25">
      <c r="A9" s="150">
        <v>3</v>
      </c>
      <c r="B9" s="141">
        <v>46024</v>
      </c>
      <c r="C9" s="31" t="s">
        <v>53</v>
      </c>
      <c r="D9" s="46" t="s">
        <v>54</v>
      </c>
      <c r="E9" s="136" t="s">
        <v>309</v>
      </c>
      <c r="F9" s="119">
        <v>5</v>
      </c>
      <c r="G9" s="119">
        <v>1</v>
      </c>
      <c r="H9" s="119"/>
      <c r="I9" s="119"/>
      <c r="J9" s="157">
        <v>5000000</v>
      </c>
      <c r="K9" s="119"/>
      <c r="L9" s="124">
        <v>38</v>
      </c>
    </row>
    <row r="10" spans="1:14" ht="20.100000000000001" customHeight="1" x14ac:dyDescent="0.25">
      <c r="A10" s="150">
        <v>4</v>
      </c>
      <c r="B10" s="141">
        <v>46057</v>
      </c>
      <c r="C10" s="120" t="s">
        <v>106</v>
      </c>
      <c r="D10" s="121" t="s">
        <v>150</v>
      </c>
      <c r="E10" s="152" t="s">
        <v>305</v>
      </c>
      <c r="F10" s="124">
        <v>10</v>
      </c>
      <c r="G10" s="124">
        <v>1</v>
      </c>
      <c r="H10" s="124"/>
      <c r="I10" s="124"/>
      <c r="J10" s="153">
        <v>10000000</v>
      </c>
      <c r="K10" s="153"/>
      <c r="L10" s="124">
        <v>30</v>
      </c>
    </row>
    <row r="11" spans="1:14" ht="20.100000000000001" customHeight="1" x14ac:dyDescent="0.25">
      <c r="A11" s="150">
        <v>5</v>
      </c>
      <c r="B11" s="141">
        <v>46059</v>
      </c>
      <c r="C11" s="121" t="s">
        <v>96</v>
      </c>
      <c r="D11" s="121" t="s">
        <v>123</v>
      </c>
      <c r="E11" s="120" t="s">
        <v>163</v>
      </c>
      <c r="F11" s="122">
        <v>5</v>
      </c>
      <c r="G11" s="122">
        <v>1</v>
      </c>
      <c r="H11" s="122">
        <v>1</v>
      </c>
      <c r="I11" s="122"/>
      <c r="J11" s="123">
        <v>5500000</v>
      </c>
      <c r="K11" s="123"/>
      <c r="L11" s="124">
        <v>47</v>
      </c>
    </row>
    <row r="12" spans="1:14" ht="20.100000000000001" customHeight="1" x14ac:dyDescent="0.25">
      <c r="A12" s="150">
        <v>6</v>
      </c>
      <c r="B12" s="125">
        <v>46066</v>
      </c>
      <c r="C12" s="126" t="s">
        <v>112</v>
      </c>
      <c r="D12" s="127" t="s">
        <v>78</v>
      </c>
      <c r="E12" s="126" t="s">
        <v>193</v>
      </c>
      <c r="F12" s="128">
        <v>8</v>
      </c>
      <c r="G12" s="128">
        <v>1</v>
      </c>
      <c r="H12" s="128"/>
      <c r="I12" s="128"/>
      <c r="J12" s="129">
        <v>8000000</v>
      </c>
      <c r="K12" s="129"/>
      <c r="L12" s="124">
        <v>11</v>
      </c>
    </row>
    <row r="13" spans="1:14" ht="20.100000000000001" customHeight="1" x14ac:dyDescent="0.25">
      <c r="A13" s="150">
        <v>7</v>
      </c>
      <c r="B13" s="141">
        <v>46077</v>
      </c>
      <c r="C13" s="130" t="s">
        <v>120</v>
      </c>
      <c r="D13" s="131" t="s">
        <v>121</v>
      </c>
      <c r="E13" s="132" t="s">
        <v>155</v>
      </c>
      <c r="F13" s="122">
        <v>8</v>
      </c>
      <c r="G13" s="122">
        <v>1</v>
      </c>
      <c r="H13" s="122"/>
      <c r="I13" s="122"/>
      <c r="J13" s="123">
        <v>8000000</v>
      </c>
      <c r="K13" s="123"/>
      <c r="L13" s="124">
        <v>18</v>
      </c>
    </row>
    <row r="14" spans="1:14" ht="27.75" customHeight="1" x14ac:dyDescent="0.25">
      <c r="A14" s="150">
        <v>8</v>
      </c>
      <c r="B14" s="141"/>
      <c r="C14" s="120" t="s">
        <v>96</v>
      </c>
      <c r="D14" s="133" t="s">
        <v>123</v>
      </c>
      <c r="E14" s="132" t="s">
        <v>191</v>
      </c>
      <c r="F14" s="134">
        <v>14</v>
      </c>
      <c r="G14" s="134">
        <v>1</v>
      </c>
      <c r="H14" s="134">
        <v>1</v>
      </c>
      <c r="I14" s="134"/>
      <c r="J14" s="123">
        <v>15400000</v>
      </c>
      <c r="K14" s="123"/>
      <c r="L14" s="124">
        <v>16</v>
      </c>
    </row>
    <row r="15" spans="1:14" ht="20.100000000000001" customHeight="1" x14ac:dyDescent="0.25">
      <c r="A15" s="150">
        <v>9</v>
      </c>
      <c r="B15" s="135">
        <v>46080</v>
      </c>
      <c r="C15" s="130" t="s">
        <v>114</v>
      </c>
      <c r="D15" s="131" t="s">
        <v>52</v>
      </c>
      <c r="E15" s="132" t="s">
        <v>125</v>
      </c>
      <c r="F15" s="134">
        <v>9</v>
      </c>
      <c r="G15" s="134">
        <v>3</v>
      </c>
      <c r="H15" s="134">
        <v>3</v>
      </c>
      <c r="I15" s="134"/>
      <c r="J15" s="123">
        <v>29700000</v>
      </c>
      <c r="K15" s="123"/>
      <c r="L15" s="124" t="s">
        <v>194</v>
      </c>
    </row>
    <row r="16" spans="1:14" ht="20.100000000000001" customHeight="1" x14ac:dyDescent="0.25">
      <c r="A16" s="150">
        <v>10</v>
      </c>
      <c r="B16" s="135"/>
      <c r="C16" s="136" t="s">
        <v>126</v>
      </c>
      <c r="D16" s="137" t="s">
        <v>127</v>
      </c>
      <c r="E16" s="132" t="s">
        <v>155</v>
      </c>
      <c r="F16" s="134">
        <v>8</v>
      </c>
      <c r="G16" s="134">
        <v>1</v>
      </c>
      <c r="H16" s="134"/>
      <c r="I16" s="134"/>
      <c r="J16" s="123">
        <v>8000000</v>
      </c>
      <c r="K16" s="123"/>
      <c r="L16" s="124">
        <v>66</v>
      </c>
      <c r="N16" s="155">
        <f>SUM(J10:J16)</f>
        <v>84600000</v>
      </c>
    </row>
    <row r="17" spans="1:12" ht="29.25" customHeight="1" x14ac:dyDescent="0.25">
      <c r="A17" s="150">
        <v>11</v>
      </c>
      <c r="B17" s="142">
        <v>46083</v>
      </c>
      <c r="C17" s="31" t="s">
        <v>132</v>
      </c>
      <c r="D17" s="46" t="s">
        <v>133</v>
      </c>
      <c r="E17" s="143" t="s">
        <v>159</v>
      </c>
      <c r="F17" s="53">
        <v>8</v>
      </c>
      <c r="G17" s="53">
        <v>1</v>
      </c>
      <c r="H17" s="53"/>
      <c r="I17" s="53"/>
      <c r="J17" s="139">
        <v>8000000</v>
      </c>
      <c r="K17" s="53"/>
      <c r="L17" s="124">
        <v>19</v>
      </c>
    </row>
    <row r="18" spans="1:12" s="140" customFormat="1" ht="20.100000000000001" customHeight="1" x14ac:dyDescent="0.25">
      <c r="A18" s="150">
        <v>12</v>
      </c>
      <c r="B18" s="142">
        <v>46085</v>
      </c>
      <c r="C18" s="46" t="s">
        <v>134</v>
      </c>
      <c r="D18" s="46" t="s">
        <v>141</v>
      </c>
      <c r="E18" s="138" t="s">
        <v>135</v>
      </c>
      <c r="F18" s="53">
        <v>11</v>
      </c>
      <c r="G18" s="53">
        <v>2</v>
      </c>
      <c r="H18" s="53"/>
      <c r="I18" s="53"/>
      <c r="J18" s="139">
        <v>22000000</v>
      </c>
      <c r="K18" s="49"/>
      <c r="L18" s="124">
        <v>35.65</v>
      </c>
    </row>
    <row r="19" spans="1:12" ht="20.100000000000001" customHeight="1" x14ac:dyDescent="0.25">
      <c r="A19" s="150">
        <v>13</v>
      </c>
      <c r="B19" s="142"/>
      <c r="C19" s="46" t="s">
        <v>73</v>
      </c>
      <c r="D19" s="46" t="s">
        <v>276</v>
      </c>
      <c r="E19" s="138" t="s">
        <v>155</v>
      </c>
      <c r="F19" s="53">
        <v>8</v>
      </c>
      <c r="G19" s="53">
        <v>1</v>
      </c>
      <c r="H19" s="53">
        <v>1</v>
      </c>
      <c r="I19" s="53"/>
      <c r="J19" s="139">
        <v>8800000</v>
      </c>
      <c r="K19" s="49"/>
      <c r="L19" s="124">
        <v>22</v>
      </c>
    </row>
    <row r="20" spans="1:12" ht="20.100000000000001" customHeight="1" x14ac:dyDescent="0.25">
      <c r="A20" s="150">
        <v>14</v>
      </c>
      <c r="B20" s="142"/>
      <c r="C20" s="147" t="s">
        <v>142</v>
      </c>
      <c r="D20" s="46" t="s">
        <v>143</v>
      </c>
      <c r="E20" s="146" t="s">
        <v>144</v>
      </c>
      <c r="F20" s="53">
        <v>5</v>
      </c>
      <c r="G20" s="146">
        <v>1</v>
      </c>
      <c r="H20" s="53">
        <v>1</v>
      </c>
      <c r="I20" s="53"/>
      <c r="J20" s="139">
        <v>5500000</v>
      </c>
      <c r="K20" s="49"/>
      <c r="L20" s="124">
        <v>51</v>
      </c>
    </row>
    <row r="21" spans="1:12" ht="26.25" customHeight="1" x14ac:dyDescent="0.25">
      <c r="A21" s="150">
        <v>15</v>
      </c>
      <c r="B21" s="142">
        <v>46087</v>
      </c>
      <c r="C21" s="46" t="s">
        <v>145</v>
      </c>
      <c r="D21" s="46" t="s">
        <v>146</v>
      </c>
      <c r="E21" s="138" t="s">
        <v>147</v>
      </c>
      <c r="F21" s="53">
        <v>7</v>
      </c>
      <c r="G21" s="53">
        <v>1</v>
      </c>
      <c r="H21" s="53">
        <v>1</v>
      </c>
      <c r="I21" s="53"/>
      <c r="J21" s="139">
        <v>7700000</v>
      </c>
      <c r="K21" s="49"/>
      <c r="L21" s="124">
        <v>52</v>
      </c>
    </row>
    <row r="22" spans="1:12" ht="20.100000000000001" customHeight="1" x14ac:dyDescent="0.25">
      <c r="A22" s="150">
        <v>16</v>
      </c>
      <c r="B22" s="142"/>
      <c r="C22" s="46" t="s">
        <v>161</v>
      </c>
      <c r="D22" s="46" t="s">
        <v>162</v>
      </c>
      <c r="E22" s="138" t="s">
        <v>163</v>
      </c>
      <c r="F22" s="53">
        <v>5</v>
      </c>
      <c r="G22" s="53">
        <v>1</v>
      </c>
      <c r="H22" s="53">
        <v>4</v>
      </c>
      <c r="I22" s="53">
        <v>1</v>
      </c>
      <c r="J22" s="139">
        <v>7500000</v>
      </c>
      <c r="K22" s="49"/>
      <c r="L22" s="124">
        <v>25</v>
      </c>
    </row>
    <row r="23" spans="1:12" ht="27.75" customHeight="1" x14ac:dyDescent="0.25">
      <c r="A23" s="150">
        <v>17</v>
      </c>
      <c r="B23" s="142">
        <v>46088</v>
      </c>
      <c r="C23" s="46" t="s">
        <v>136</v>
      </c>
      <c r="D23" s="46" t="s">
        <v>148</v>
      </c>
      <c r="E23" s="31" t="s">
        <v>137</v>
      </c>
      <c r="F23" s="51">
        <v>6</v>
      </c>
      <c r="G23" s="51">
        <v>3</v>
      </c>
      <c r="H23" s="51">
        <v>2</v>
      </c>
      <c r="I23" s="51">
        <v>1</v>
      </c>
      <c r="J23" s="52">
        <v>19800000</v>
      </c>
      <c r="K23" s="53"/>
      <c r="L23" s="124" t="s">
        <v>151</v>
      </c>
    </row>
    <row r="24" spans="1:12" ht="20.100000000000001" customHeight="1" x14ac:dyDescent="0.25">
      <c r="A24" s="150">
        <v>18</v>
      </c>
      <c r="B24" s="50"/>
      <c r="C24" s="54" t="s">
        <v>138</v>
      </c>
      <c r="D24" s="55" t="s">
        <v>139</v>
      </c>
      <c r="E24" s="54" t="s">
        <v>155</v>
      </c>
      <c r="F24" s="56">
        <v>8</v>
      </c>
      <c r="G24" s="56">
        <v>1</v>
      </c>
      <c r="H24" s="56"/>
      <c r="I24" s="56"/>
      <c r="J24" s="57">
        <v>8000000</v>
      </c>
      <c r="K24" s="53"/>
      <c r="L24" s="53">
        <v>53</v>
      </c>
    </row>
    <row r="25" spans="1:12" ht="20.100000000000001" customHeight="1" x14ac:dyDescent="0.25">
      <c r="A25" s="150">
        <v>19</v>
      </c>
      <c r="B25" s="142">
        <v>46090</v>
      </c>
      <c r="C25" s="58" t="s">
        <v>109</v>
      </c>
      <c r="D25" s="59" t="s">
        <v>110</v>
      </c>
      <c r="E25" s="80" t="s">
        <v>192</v>
      </c>
      <c r="F25" s="51">
        <v>12</v>
      </c>
      <c r="G25" s="51">
        <v>1</v>
      </c>
      <c r="H25" s="51"/>
      <c r="I25" s="51"/>
      <c r="J25" s="52">
        <v>12000000</v>
      </c>
      <c r="K25" s="53"/>
      <c r="L25" s="53">
        <v>30</v>
      </c>
    </row>
    <row r="26" spans="1:12" ht="29.25" customHeight="1" x14ac:dyDescent="0.25">
      <c r="A26" s="150">
        <v>20</v>
      </c>
      <c r="B26" s="142"/>
      <c r="C26" s="31" t="s">
        <v>153</v>
      </c>
      <c r="D26" s="60" t="s">
        <v>154</v>
      </c>
      <c r="E26" s="80" t="s">
        <v>155</v>
      </c>
      <c r="F26" s="61">
        <v>8</v>
      </c>
      <c r="G26" s="61">
        <v>3</v>
      </c>
      <c r="H26" s="61"/>
      <c r="I26" s="61"/>
      <c r="J26" s="52">
        <v>29000000</v>
      </c>
      <c r="K26" s="53" t="s">
        <v>156</v>
      </c>
      <c r="L26" s="53" t="s">
        <v>158</v>
      </c>
    </row>
    <row r="27" spans="1:12" ht="19.5" customHeight="1" x14ac:dyDescent="0.25">
      <c r="A27" s="150">
        <v>21</v>
      </c>
      <c r="B27" s="142"/>
      <c r="C27" s="31" t="s">
        <v>264</v>
      </c>
      <c r="D27" s="60" t="s">
        <v>265</v>
      </c>
      <c r="E27" s="80" t="s">
        <v>155</v>
      </c>
      <c r="F27" s="61">
        <v>8</v>
      </c>
      <c r="G27" s="61">
        <v>1</v>
      </c>
      <c r="H27" s="61">
        <v>2</v>
      </c>
      <c r="I27" s="61"/>
      <c r="J27" s="52">
        <v>9600000</v>
      </c>
      <c r="K27" s="53"/>
      <c r="L27" s="53">
        <v>24</v>
      </c>
    </row>
    <row r="28" spans="1:12" ht="19.5" customHeight="1" x14ac:dyDescent="0.25">
      <c r="A28" s="150">
        <v>22</v>
      </c>
      <c r="B28" s="142"/>
      <c r="C28" s="31" t="s">
        <v>264</v>
      </c>
      <c r="D28" s="60" t="s">
        <v>266</v>
      </c>
      <c r="E28" s="80" t="s">
        <v>155</v>
      </c>
      <c r="F28" s="61">
        <v>8</v>
      </c>
      <c r="G28" s="61">
        <v>1</v>
      </c>
      <c r="H28" s="61">
        <v>1</v>
      </c>
      <c r="I28" s="61"/>
      <c r="J28" s="52">
        <v>8800000</v>
      </c>
      <c r="K28" s="53"/>
      <c r="L28" s="53">
        <v>72</v>
      </c>
    </row>
    <row r="29" spans="1:12" ht="20.100000000000001" customHeight="1" x14ac:dyDescent="0.25">
      <c r="A29" s="150">
        <v>23</v>
      </c>
      <c r="B29" s="142">
        <v>46091</v>
      </c>
      <c r="C29" s="58" t="s">
        <v>188</v>
      </c>
      <c r="D29" s="59" t="s">
        <v>63</v>
      </c>
      <c r="E29" s="80" t="s">
        <v>155</v>
      </c>
      <c r="F29" s="61">
        <v>9</v>
      </c>
      <c r="G29" s="61">
        <v>1</v>
      </c>
      <c r="H29" s="61">
        <v>1</v>
      </c>
      <c r="I29" s="61"/>
      <c r="J29" s="52">
        <v>9900000</v>
      </c>
      <c r="K29" s="53" t="s">
        <v>189</v>
      </c>
      <c r="L29" s="53">
        <v>28</v>
      </c>
    </row>
    <row r="30" spans="1:12" ht="20.100000000000001" customHeight="1" x14ac:dyDescent="0.25">
      <c r="A30" s="150">
        <v>24</v>
      </c>
      <c r="B30" s="62"/>
      <c r="C30" s="63" t="s">
        <v>186</v>
      </c>
      <c r="D30" s="64" t="s">
        <v>187</v>
      </c>
      <c r="E30" s="80" t="s">
        <v>165</v>
      </c>
      <c r="F30" s="61">
        <v>1</v>
      </c>
      <c r="G30" s="61">
        <v>1</v>
      </c>
      <c r="H30" s="61"/>
      <c r="I30" s="61"/>
      <c r="J30" s="52">
        <v>3000000</v>
      </c>
      <c r="K30" s="53"/>
      <c r="L30" s="53">
        <v>26</v>
      </c>
    </row>
    <row r="31" spans="1:12" ht="20.100000000000001" customHeight="1" x14ac:dyDescent="0.25">
      <c r="A31" s="150">
        <v>25</v>
      </c>
      <c r="B31" s="45">
        <v>46092</v>
      </c>
      <c r="C31" s="64" t="s">
        <v>91</v>
      </c>
      <c r="D31" s="64" t="s">
        <v>164</v>
      </c>
      <c r="E31" s="80" t="s">
        <v>306</v>
      </c>
      <c r="F31" s="61">
        <v>7</v>
      </c>
      <c r="G31" s="61">
        <v>2</v>
      </c>
      <c r="H31" s="61"/>
      <c r="I31" s="61"/>
      <c r="J31" s="52">
        <v>14000000</v>
      </c>
      <c r="K31" s="53"/>
      <c r="L31" s="53">
        <v>23.42</v>
      </c>
    </row>
    <row r="32" spans="1:12" ht="29.25" customHeight="1" x14ac:dyDescent="0.25">
      <c r="A32" s="150">
        <v>26</v>
      </c>
      <c r="B32" s="45"/>
      <c r="C32" s="58" t="s">
        <v>185</v>
      </c>
      <c r="D32" s="59" t="s">
        <v>65</v>
      </c>
      <c r="E32" s="80" t="s">
        <v>155</v>
      </c>
      <c r="F32" s="61">
        <v>8</v>
      </c>
      <c r="G32" s="61">
        <v>1</v>
      </c>
      <c r="H32" s="61"/>
      <c r="I32" s="61"/>
      <c r="J32" s="52">
        <v>11000000</v>
      </c>
      <c r="K32" s="53" t="s">
        <v>166</v>
      </c>
      <c r="L32" s="53">
        <v>20.46</v>
      </c>
    </row>
    <row r="33" spans="1:12" ht="20.100000000000001" customHeight="1" x14ac:dyDescent="0.25">
      <c r="A33" s="67"/>
      <c r="B33" s="67"/>
      <c r="C33" s="222" t="s">
        <v>8</v>
      </c>
      <c r="D33" s="223"/>
      <c r="E33" s="224"/>
      <c r="F33" s="68">
        <f>SUM(F7:F32)</f>
        <v>200</v>
      </c>
      <c r="G33" s="68">
        <f t="shared" ref="G33:J33" si="0">SUM(G7:G32)</f>
        <v>35</v>
      </c>
      <c r="H33" s="68">
        <f t="shared" si="0"/>
        <v>18</v>
      </c>
      <c r="I33" s="68">
        <f t="shared" si="0"/>
        <v>2</v>
      </c>
      <c r="J33" s="69">
        <f t="shared" si="0"/>
        <v>301200000</v>
      </c>
      <c r="K33" s="69"/>
      <c r="L33" s="70"/>
    </row>
    <row r="34" spans="1:12" ht="15.75" x14ac:dyDescent="0.25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</row>
    <row r="35" spans="1:12" ht="15.75" x14ac:dyDescent="0.25">
      <c r="A35" s="33"/>
      <c r="B35" s="33"/>
      <c r="C35" s="33"/>
      <c r="D35" s="33"/>
      <c r="E35" s="33"/>
      <c r="F35" s="33"/>
      <c r="G35" s="33"/>
      <c r="H35" s="33"/>
      <c r="I35" s="33"/>
      <c r="J35" s="71"/>
      <c r="K35" s="71"/>
      <c r="L35" s="72"/>
    </row>
    <row r="36" spans="1:12" ht="18.75" customHeight="1" x14ac:dyDescent="0.25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</row>
    <row r="37" spans="1:12" ht="18.75" customHeight="1" x14ac:dyDescent="0.25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</row>
    <row r="38" spans="1:12" ht="45" x14ac:dyDescent="0.25">
      <c r="A38" s="34" t="s">
        <v>0</v>
      </c>
      <c r="B38" s="34" t="s">
        <v>10</v>
      </c>
      <c r="C38" s="34" t="s">
        <v>5</v>
      </c>
      <c r="D38" s="35" t="s">
        <v>1</v>
      </c>
      <c r="E38" s="35" t="s">
        <v>6</v>
      </c>
      <c r="F38" s="35" t="s">
        <v>3</v>
      </c>
      <c r="G38" s="35" t="s">
        <v>4</v>
      </c>
      <c r="H38" s="35" t="s">
        <v>7</v>
      </c>
      <c r="I38" s="35" t="s">
        <v>32</v>
      </c>
      <c r="J38" s="35" t="s">
        <v>2</v>
      </c>
      <c r="K38" s="115" t="s">
        <v>190</v>
      </c>
      <c r="L38" s="36" t="s">
        <v>34</v>
      </c>
    </row>
    <row r="39" spans="1:12" ht="20.100000000000001" customHeight="1" x14ac:dyDescent="0.25">
      <c r="A39" s="73"/>
      <c r="B39" s="251" t="s">
        <v>11</v>
      </c>
      <c r="C39" s="252"/>
      <c r="D39" s="252"/>
      <c r="E39" s="253"/>
      <c r="F39" s="37">
        <f>SUM(F33)</f>
        <v>200</v>
      </c>
      <c r="G39" s="37">
        <f>SUM(G33)</f>
        <v>35</v>
      </c>
      <c r="H39" s="37">
        <f>SUM(H33)</f>
        <v>18</v>
      </c>
      <c r="I39" s="37">
        <f>SUM(I33)</f>
        <v>2</v>
      </c>
      <c r="J39" s="74">
        <f>SUM(J33)</f>
        <v>301200000</v>
      </c>
      <c r="K39" s="74"/>
      <c r="L39" s="43"/>
    </row>
    <row r="40" spans="1:12" ht="20.100000000000001" customHeight="1" x14ac:dyDescent="0.25">
      <c r="A40" s="150">
        <v>27</v>
      </c>
      <c r="B40" s="62"/>
      <c r="C40" s="46" t="s">
        <v>167</v>
      </c>
      <c r="D40" s="46" t="s">
        <v>168</v>
      </c>
      <c r="E40" s="80" t="s">
        <v>165</v>
      </c>
      <c r="F40" s="61">
        <v>3</v>
      </c>
      <c r="G40" s="61">
        <v>1</v>
      </c>
      <c r="H40" s="61">
        <v>2</v>
      </c>
      <c r="I40" s="61"/>
      <c r="J40" s="52">
        <v>3600000</v>
      </c>
      <c r="K40" s="53"/>
      <c r="L40" s="53">
        <v>9</v>
      </c>
    </row>
    <row r="41" spans="1:12" ht="20.100000000000001" customHeight="1" x14ac:dyDescent="0.25">
      <c r="A41" s="119">
        <v>28</v>
      </c>
      <c r="B41" s="45"/>
      <c r="C41" s="31" t="s">
        <v>169</v>
      </c>
      <c r="D41" s="46" t="s">
        <v>170</v>
      </c>
      <c r="E41" s="89" t="s">
        <v>307</v>
      </c>
      <c r="F41" s="61">
        <v>7</v>
      </c>
      <c r="G41" s="61">
        <v>1</v>
      </c>
      <c r="H41" s="61"/>
      <c r="I41" s="61">
        <v>1</v>
      </c>
      <c r="J41" s="52">
        <v>7700000</v>
      </c>
      <c r="K41" s="53"/>
      <c r="L41" s="53">
        <v>73</v>
      </c>
    </row>
    <row r="42" spans="1:12" ht="20.100000000000001" customHeight="1" x14ac:dyDescent="0.25">
      <c r="A42" s="150">
        <v>29</v>
      </c>
      <c r="B42" s="62"/>
      <c r="C42" s="46" t="s">
        <v>167</v>
      </c>
      <c r="D42" s="46" t="s">
        <v>171</v>
      </c>
      <c r="E42" s="80" t="s">
        <v>172</v>
      </c>
      <c r="F42" s="61">
        <v>3</v>
      </c>
      <c r="G42" s="61">
        <v>1</v>
      </c>
      <c r="H42" s="61">
        <v>4</v>
      </c>
      <c r="I42" s="61">
        <v>1</v>
      </c>
      <c r="J42" s="52">
        <v>4500000</v>
      </c>
      <c r="K42" s="53"/>
      <c r="L42" s="53">
        <v>56</v>
      </c>
    </row>
    <row r="43" spans="1:12" ht="20.100000000000001" customHeight="1" x14ac:dyDescent="0.25">
      <c r="A43" s="119">
        <v>30</v>
      </c>
      <c r="B43" s="45"/>
      <c r="C43" s="65" t="s">
        <v>173</v>
      </c>
      <c r="D43" s="66" t="s">
        <v>174</v>
      </c>
      <c r="E43" s="80" t="s">
        <v>175</v>
      </c>
      <c r="F43" s="61">
        <v>4</v>
      </c>
      <c r="G43" s="61">
        <v>2</v>
      </c>
      <c r="H43" s="61">
        <v>2</v>
      </c>
      <c r="I43" s="61">
        <v>1</v>
      </c>
      <c r="J43" s="52">
        <v>9200000</v>
      </c>
      <c r="K43" s="53" t="s">
        <v>176</v>
      </c>
      <c r="L43" s="53" t="s">
        <v>260</v>
      </c>
    </row>
    <row r="44" spans="1:12" ht="27" customHeight="1" x14ac:dyDescent="0.25">
      <c r="A44" s="150">
        <v>31</v>
      </c>
      <c r="B44" s="62"/>
      <c r="C44" s="64" t="s">
        <v>177</v>
      </c>
      <c r="D44" s="64" t="s">
        <v>178</v>
      </c>
      <c r="E44" s="80" t="s">
        <v>179</v>
      </c>
      <c r="F44" s="61">
        <v>16</v>
      </c>
      <c r="G44" s="61">
        <v>2</v>
      </c>
      <c r="H44" s="61"/>
      <c r="I44" s="61"/>
      <c r="J44" s="52">
        <v>32000000</v>
      </c>
      <c r="K44" s="53"/>
      <c r="L44" s="53"/>
    </row>
    <row r="45" spans="1:12" ht="30" customHeight="1" x14ac:dyDescent="0.25">
      <c r="A45" s="119">
        <v>32</v>
      </c>
      <c r="B45" s="142"/>
      <c r="C45" s="63" t="s">
        <v>177</v>
      </c>
      <c r="D45" s="31" t="s">
        <v>146</v>
      </c>
      <c r="E45" s="89" t="s">
        <v>155</v>
      </c>
      <c r="F45" s="47">
        <v>8</v>
      </c>
      <c r="G45" s="47">
        <v>1</v>
      </c>
      <c r="H45" s="47">
        <v>1</v>
      </c>
      <c r="I45" s="47"/>
      <c r="J45" s="48">
        <v>8800000</v>
      </c>
      <c r="K45" s="76"/>
      <c r="L45" s="77">
        <v>48</v>
      </c>
    </row>
    <row r="46" spans="1:12" ht="20.100000000000001" customHeight="1" x14ac:dyDescent="0.25">
      <c r="A46" s="150">
        <v>33</v>
      </c>
      <c r="B46" s="50"/>
      <c r="C46" s="31" t="s">
        <v>167</v>
      </c>
      <c r="D46" s="65" t="s">
        <v>180</v>
      </c>
      <c r="E46" s="80" t="s">
        <v>165</v>
      </c>
      <c r="F46" s="51">
        <v>3</v>
      </c>
      <c r="G46" s="51">
        <v>1</v>
      </c>
      <c r="H46" s="51">
        <v>2</v>
      </c>
      <c r="I46" s="51"/>
      <c r="J46" s="52">
        <v>3600000</v>
      </c>
      <c r="K46" s="76"/>
      <c r="L46" s="49">
        <v>71</v>
      </c>
    </row>
    <row r="47" spans="1:12" ht="20.100000000000001" customHeight="1" x14ac:dyDescent="0.25">
      <c r="A47" s="119">
        <v>34</v>
      </c>
      <c r="B47" s="50"/>
      <c r="C47" s="31" t="s">
        <v>182</v>
      </c>
      <c r="D47" s="80" t="s">
        <v>183</v>
      </c>
      <c r="E47" s="80" t="s">
        <v>155</v>
      </c>
      <c r="F47" s="51">
        <v>8</v>
      </c>
      <c r="G47" s="51">
        <v>1</v>
      </c>
      <c r="H47" s="51">
        <v>1</v>
      </c>
      <c r="I47" s="51"/>
      <c r="J47" s="48">
        <v>8800000</v>
      </c>
      <c r="K47" s="57"/>
      <c r="L47" s="77">
        <v>40</v>
      </c>
    </row>
    <row r="48" spans="1:12" ht="20.100000000000001" customHeight="1" x14ac:dyDescent="0.25">
      <c r="A48" s="150">
        <v>35</v>
      </c>
      <c r="B48" s="79"/>
      <c r="C48" s="31" t="s">
        <v>184</v>
      </c>
      <c r="D48" s="31" t="s">
        <v>184</v>
      </c>
      <c r="E48" s="80" t="s">
        <v>308</v>
      </c>
      <c r="F48" s="51">
        <v>5</v>
      </c>
      <c r="G48" s="51">
        <v>1</v>
      </c>
      <c r="H48" s="51"/>
      <c r="I48" s="51"/>
      <c r="J48" s="48">
        <v>5000000</v>
      </c>
      <c r="K48" s="52"/>
      <c r="L48" s="77">
        <v>44</v>
      </c>
    </row>
    <row r="49" spans="1:12" ht="20.100000000000001" customHeight="1" x14ac:dyDescent="0.25">
      <c r="A49" s="119">
        <v>36</v>
      </c>
      <c r="B49" s="45">
        <v>46093</v>
      </c>
      <c r="C49" s="58" t="s">
        <v>195</v>
      </c>
      <c r="D49" s="58" t="s">
        <v>196</v>
      </c>
      <c r="E49" s="31" t="s">
        <v>197</v>
      </c>
      <c r="F49" s="51">
        <v>3</v>
      </c>
      <c r="G49" s="51">
        <v>1</v>
      </c>
      <c r="H49" s="51"/>
      <c r="I49" s="51"/>
      <c r="J49" s="48">
        <v>3000000</v>
      </c>
      <c r="K49" s="52"/>
      <c r="L49" s="77">
        <v>7</v>
      </c>
    </row>
    <row r="50" spans="1:12" ht="20.100000000000001" customHeight="1" x14ac:dyDescent="0.25">
      <c r="A50" s="150">
        <v>37</v>
      </c>
      <c r="B50" s="45">
        <v>46094</v>
      </c>
      <c r="C50" s="58" t="s">
        <v>198</v>
      </c>
      <c r="D50" s="31" t="s">
        <v>199</v>
      </c>
      <c r="E50" s="31" t="s">
        <v>155</v>
      </c>
      <c r="F50" s="51">
        <v>8</v>
      </c>
      <c r="G50" s="51">
        <v>1</v>
      </c>
      <c r="H50" s="51">
        <v>1</v>
      </c>
      <c r="I50" s="51"/>
      <c r="J50" s="48">
        <v>8800000</v>
      </c>
      <c r="K50" s="52"/>
      <c r="L50" s="77">
        <v>55</v>
      </c>
    </row>
    <row r="51" spans="1:12" ht="20.100000000000001" customHeight="1" x14ac:dyDescent="0.25">
      <c r="A51" s="119">
        <v>38</v>
      </c>
      <c r="B51" s="50"/>
      <c r="C51" s="31" t="s">
        <v>200</v>
      </c>
      <c r="D51" s="31" t="s">
        <v>201</v>
      </c>
      <c r="E51" s="31" t="s">
        <v>202</v>
      </c>
      <c r="F51" s="51">
        <v>2</v>
      </c>
      <c r="G51" s="51">
        <v>1</v>
      </c>
      <c r="H51" s="51">
        <v>2</v>
      </c>
      <c r="I51" s="51">
        <v>3</v>
      </c>
      <c r="J51" s="48">
        <v>3000000</v>
      </c>
      <c r="K51" s="52"/>
      <c r="L51" s="77">
        <v>57</v>
      </c>
    </row>
    <row r="52" spans="1:12" ht="20.100000000000001" customHeight="1" x14ac:dyDescent="0.25">
      <c r="A52" s="150">
        <v>39</v>
      </c>
      <c r="B52" s="50"/>
      <c r="C52" s="31" t="s">
        <v>203</v>
      </c>
      <c r="D52" s="31" t="s">
        <v>222</v>
      </c>
      <c r="E52" s="31" t="s">
        <v>204</v>
      </c>
      <c r="F52" s="51">
        <v>10</v>
      </c>
      <c r="G52" s="51">
        <v>1</v>
      </c>
      <c r="H52" s="51"/>
      <c r="I52" s="51"/>
      <c r="J52" s="52">
        <v>10000000</v>
      </c>
      <c r="K52" s="52"/>
      <c r="L52" s="77">
        <v>29</v>
      </c>
    </row>
    <row r="53" spans="1:12" ht="20.100000000000001" customHeight="1" x14ac:dyDescent="0.25">
      <c r="A53" s="119">
        <v>40</v>
      </c>
      <c r="B53" s="50"/>
      <c r="C53" s="63" t="s">
        <v>205</v>
      </c>
      <c r="D53" s="63" t="s">
        <v>206</v>
      </c>
      <c r="E53" s="31" t="s">
        <v>207</v>
      </c>
      <c r="F53" s="51">
        <v>6</v>
      </c>
      <c r="G53" s="51">
        <v>1</v>
      </c>
      <c r="H53" s="51"/>
      <c r="I53" s="51"/>
      <c r="J53" s="48">
        <v>6000000</v>
      </c>
      <c r="K53" s="52"/>
      <c r="L53" s="77">
        <v>17</v>
      </c>
    </row>
    <row r="54" spans="1:12" ht="26.25" customHeight="1" x14ac:dyDescent="0.25">
      <c r="A54" s="150">
        <v>41</v>
      </c>
      <c r="B54" s="45"/>
      <c r="C54" s="31" t="s">
        <v>208</v>
      </c>
      <c r="D54" s="31" t="s">
        <v>209</v>
      </c>
      <c r="E54" s="143" t="s">
        <v>155</v>
      </c>
      <c r="F54" s="77">
        <v>8</v>
      </c>
      <c r="G54" s="77">
        <v>1</v>
      </c>
      <c r="H54" s="77">
        <v>2</v>
      </c>
      <c r="I54" s="77">
        <v>3</v>
      </c>
      <c r="J54" s="144">
        <v>12000000</v>
      </c>
      <c r="K54" s="77"/>
      <c r="L54" s="77">
        <v>82</v>
      </c>
    </row>
    <row r="55" spans="1:12" ht="20.100000000000001" customHeight="1" x14ac:dyDescent="0.25">
      <c r="A55" s="119">
        <v>42</v>
      </c>
      <c r="B55" s="50"/>
      <c r="C55" s="31" t="s">
        <v>210</v>
      </c>
      <c r="D55" s="31" t="s">
        <v>211</v>
      </c>
      <c r="E55" s="90" t="s">
        <v>223</v>
      </c>
      <c r="F55" s="75">
        <v>9</v>
      </c>
      <c r="G55" s="75">
        <v>1</v>
      </c>
      <c r="H55" s="75">
        <v>2</v>
      </c>
      <c r="I55" s="75">
        <v>2</v>
      </c>
      <c r="J55" s="76">
        <v>12200000</v>
      </c>
      <c r="K55" s="49"/>
      <c r="L55" s="77">
        <v>36</v>
      </c>
    </row>
    <row r="56" spans="1:12" ht="20.100000000000001" customHeight="1" x14ac:dyDescent="0.25">
      <c r="A56" s="150">
        <v>43</v>
      </c>
      <c r="B56" s="50"/>
      <c r="C56" s="31" t="s">
        <v>212</v>
      </c>
      <c r="D56" s="31" t="s">
        <v>213</v>
      </c>
      <c r="E56" s="31" t="s">
        <v>234</v>
      </c>
      <c r="F56" s="51">
        <v>6</v>
      </c>
      <c r="G56" s="51">
        <v>1</v>
      </c>
      <c r="H56" s="51"/>
      <c r="I56" s="51"/>
      <c r="J56" s="52">
        <v>6000000</v>
      </c>
      <c r="K56" s="77"/>
      <c r="L56" s="77">
        <v>1</v>
      </c>
    </row>
    <row r="57" spans="1:12" ht="20.100000000000001" customHeight="1" x14ac:dyDescent="0.25">
      <c r="A57" s="119">
        <v>44</v>
      </c>
      <c r="B57" s="50"/>
      <c r="C57" s="54" t="s">
        <v>104</v>
      </c>
      <c r="D57" s="78" t="s">
        <v>215</v>
      </c>
      <c r="E57" s="54" t="s">
        <v>216</v>
      </c>
      <c r="F57" s="56">
        <v>2</v>
      </c>
      <c r="G57" s="56">
        <v>1</v>
      </c>
      <c r="H57" s="56"/>
      <c r="I57" s="56"/>
      <c r="J57" s="57">
        <v>2000000</v>
      </c>
      <c r="K57" s="77"/>
      <c r="L57" s="77" t="s">
        <v>229</v>
      </c>
    </row>
    <row r="58" spans="1:12" ht="29.25" customHeight="1" x14ac:dyDescent="0.25">
      <c r="A58" s="150">
        <v>45</v>
      </c>
      <c r="B58" s="79"/>
      <c r="C58" s="58" t="s">
        <v>217</v>
      </c>
      <c r="D58" s="58" t="s">
        <v>218</v>
      </c>
      <c r="E58" s="80" t="s">
        <v>224</v>
      </c>
      <c r="F58" s="51">
        <v>8</v>
      </c>
      <c r="G58" s="51">
        <v>2</v>
      </c>
      <c r="H58" s="51">
        <v>1</v>
      </c>
      <c r="I58" s="51">
        <v>1</v>
      </c>
      <c r="J58" s="52">
        <v>17100000</v>
      </c>
      <c r="K58" s="77" t="s">
        <v>225</v>
      </c>
      <c r="L58" s="77" t="s">
        <v>230</v>
      </c>
    </row>
    <row r="59" spans="1:12" ht="20.100000000000001" customHeight="1" x14ac:dyDescent="0.25">
      <c r="A59" s="119">
        <v>46</v>
      </c>
      <c r="B59" s="45"/>
      <c r="C59" s="31" t="s">
        <v>228</v>
      </c>
      <c r="D59" s="80" t="s">
        <v>227</v>
      </c>
      <c r="E59" s="80" t="s">
        <v>147</v>
      </c>
      <c r="F59" s="51">
        <v>7</v>
      </c>
      <c r="G59" s="51">
        <v>1</v>
      </c>
      <c r="H59" s="51">
        <v>2</v>
      </c>
      <c r="I59" s="51"/>
      <c r="J59" s="52">
        <v>8400000</v>
      </c>
      <c r="K59" s="77"/>
      <c r="L59" s="77">
        <v>6</v>
      </c>
    </row>
    <row r="60" spans="1:12" ht="20.100000000000001" customHeight="1" x14ac:dyDescent="0.25">
      <c r="A60" s="150">
        <v>47</v>
      </c>
      <c r="B60" s="45">
        <v>46095</v>
      </c>
      <c r="C60" s="58" t="s">
        <v>219</v>
      </c>
      <c r="D60" s="58" t="s">
        <v>220</v>
      </c>
      <c r="E60" s="80" t="s">
        <v>155</v>
      </c>
      <c r="F60" s="51">
        <v>8</v>
      </c>
      <c r="G60" s="51">
        <v>1</v>
      </c>
      <c r="H60" s="51">
        <v>2</v>
      </c>
      <c r="I60" s="51"/>
      <c r="J60" s="52">
        <v>9600000</v>
      </c>
      <c r="K60" s="77"/>
      <c r="L60" s="77">
        <v>3</v>
      </c>
    </row>
    <row r="61" spans="1:12" ht="29.25" customHeight="1" x14ac:dyDescent="0.25">
      <c r="A61" s="119">
        <v>48</v>
      </c>
      <c r="B61" s="50">
        <v>46097</v>
      </c>
      <c r="C61" s="31" t="s">
        <v>221</v>
      </c>
      <c r="D61" s="31" t="s">
        <v>226</v>
      </c>
      <c r="E61" s="145" t="s">
        <v>175</v>
      </c>
      <c r="F61" s="77">
        <v>4</v>
      </c>
      <c r="G61" s="77">
        <v>3</v>
      </c>
      <c r="H61" s="77">
        <v>2</v>
      </c>
      <c r="I61" s="77"/>
      <c r="J61" s="144">
        <v>12800000</v>
      </c>
      <c r="K61" s="144"/>
      <c r="L61" s="77">
        <v>37</v>
      </c>
    </row>
    <row r="62" spans="1:12" ht="20.100000000000001" customHeight="1" x14ac:dyDescent="0.25">
      <c r="A62" s="150">
        <v>49</v>
      </c>
      <c r="B62" s="50"/>
      <c r="C62" s="31" t="s">
        <v>231</v>
      </c>
      <c r="D62" s="31" t="s">
        <v>232</v>
      </c>
      <c r="E62" s="80" t="s">
        <v>163</v>
      </c>
      <c r="F62" s="51">
        <v>5</v>
      </c>
      <c r="G62" s="51">
        <v>1</v>
      </c>
      <c r="H62" s="51">
        <v>1</v>
      </c>
      <c r="I62" s="51"/>
      <c r="J62" s="52">
        <v>5500000</v>
      </c>
      <c r="K62" s="52"/>
      <c r="L62" s="77">
        <v>84</v>
      </c>
    </row>
    <row r="63" spans="1:12" ht="27.75" customHeight="1" x14ac:dyDescent="0.25">
      <c r="A63" s="119">
        <v>50</v>
      </c>
      <c r="B63" s="50">
        <v>46098</v>
      </c>
      <c r="C63" s="31" t="s">
        <v>228</v>
      </c>
      <c r="D63" s="31" t="s">
        <v>233</v>
      </c>
      <c r="E63" s="80" t="s">
        <v>234</v>
      </c>
      <c r="F63" s="51">
        <v>7</v>
      </c>
      <c r="G63" s="51">
        <v>1</v>
      </c>
      <c r="H63" s="51"/>
      <c r="I63" s="51"/>
      <c r="J63" s="52">
        <v>8000000</v>
      </c>
      <c r="K63" s="52"/>
      <c r="L63" s="53">
        <v>4</v>
      </c>
    </row>
    <row r="64" spans="1:12" ht="20.100000000000001" customHeight="1" x14ac:dyDescent="0.25">
      <c r="A64" s="150">
        <v>51</v>
      </c>
      <c r="B64" s="50"/>
      <c r="C64" s="63" t="s">
        <v>235</v>
      </c>
      <c r="D64" s="63" t="s">
        <v>236</v>
      </c>
      <c r="E64" s="80" t="s">
        <v>155</v>
      </c>
      <c r="F64" s="51">
        <v>8</v>
      </c>
      <c r="G64" s="51">
        <v>1</v>
      </c>
      <c r="H64" s="51">
        <v>3</v>
      </c>
      <c r="I64" s="51"/>
      <c r="J64" s="139">
        <v>10400000</v>
      </c>
      <c r="K64" s="139"/>
      <c r="L64" s="53">
        <v>50</v>
      </c>
    </row>
    <row r="65" spans="1:14" ht="20.100000000000001" customHeight="1" x14ac:dyDescent="0.25">
      <c r="A65" s="119">
        <v>52</v>
      </c>
      <c r="B65" s="50"/>
      <c r="C65" s="146" t="s">
        <v>238</v>
      </c>
      <c r="D65" s="146" t="s">
        <v>237</v>
      </c>
      <c r="E65" s="92" t="s">
        <v>155</v>
      </c>
      <c r="F65" s="51">
        <v>8</v>
      </c>
      <c r="G65" s="51">
        <v>1</v>
      </c>
      <c r="H65" s="51"/>
      <c r="I65" s="51"/>
      <c r="J65" s="139">
        <v>8000000</v>
      </c>
      <c r="K65" s="139"/>
      <c r="L65" s="53">
        <v>41</v>
      </c>
    </row>
    <row r="66" spans="1:14" ht="30.75" customHeight="1" x14ac:dyDescent="0.25">
      <c r="A66" s="150">
        <v>53</v>
      </c>
      <c r="B66" s="50"/>
      <c r="C66" s="58" t="s">
        <v>239</v>
      </c>
      <c r="D66" s="58" t="s">
        <v>240</v>
      </c>
      <c r="E66" s="31" t="s">
        <v>216</v>
      </c>
      <c r="F66" s="51">
        <v>2</v>
      </c>
      <c r="G66" s="51">
        <v>1</v>
      </c>
      <c r="H66" s="51">
        <v>2</v>
      </c>
      <c r="I66" s="51"/>
      <c r="J66" s="139">
        <v>2400000</v>
      </c>
      <c r="K66" s="139"/>
      <c r="L66" s="53">
        <v>69</v>
      </c>
    </row>
    <row r="67" spans="1:14" ht="20.100000000000001" customHeight="1" x14ac:dyDescent="0.25">
      <c r="A67" s="67"/>
      <c r="B67" s="67"/>
      <c r="C67" s="256" t="s">
        <v>8</v>
      </c>
      <c r="D67" s="257"/>
      <c r="E67" s="258"/>
      <c r="F67" s="68">
        <f>SUM(F39:F66)</f>
        <v>368</v>
      </c>
      <c r="G67" s="68">
        <f t="shared" ref="G67:J67" si="1">SUM(G39:G66)</f>
        <v>67</v>
      </c>
      <c r="H67" s="68">
        <f t="shared" si="1"/>
        <v>50</v>
      </c>
      <c r="I67" s="68">
        <f t="shared" si="1"/>
        <v>14</v>
      </c>
      <c r="J67" s="69">
        <f t="shared" si="1"/>
        <v>529600000</v>
      </c>
      <c r="K67" s="83"/>
      <c r="L67" s="70"/>
    </row>
    <row r="68" spans="1:14" ht="20.100000000000001" customHeight="1" x14ac:dyDescent="0.25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4" ht="20.100000000000001" customHeight="1" x14ac:dyDescent="0.2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4" ht="15.75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</row>
    <row r="71" spans="1:14" ht="15.75" x14ac:dyDescent="0.2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4" ht="45" x14ac:dyDescent="0.25">
      <c r="A72" s="34" t="s">
        <v>0</v>
      </c>
      <c r="B72" s="34" t="s">
        <v>10</v>
      </c>
      <c r="C72" s="34" t="s">
        <v>5</v>
      </c>
      <c r="D72" s="35" t="s">
        <v>1</v>
      </c>
      <c r="E72" s="35" t="s">
        <v>6</v>
      </c>
      <c r="F72" s="35" t="s">
        <v>3</v>
      </c>
      <c r="G72" s="35" t="s">
        <v>4</v>
      </c>
      <c r="H72" s="35" t="s">
        <v>7</v>
      </c>
      <c r="I72" s="35" t="s">
        <v>32</v>
      </c>
      <c r="J72" s="35" t="s">
        <v>2</v>
      </c>
      <c r="K72" s="35"/>
      <c r="L72" s="36" t="s">
        <v>34</v>
      </c>
    </row>
    <row r="73" spans="1:14" ht="19.5" customHeight="1" x14ac:dyDescent="0.25">
      <c r="A73" s="73"/>
      <c r="B73" s="251" t="s">
        <v>11</v>
      </c>
      <c r="C73" s="252"/>
      <c r="D73" s="252"/>
      <c r="E73" s="253"/>
      <c r="F73" s="37">
        <f>SUM(F67)</f>
        <v>368</v>
      </c>
      <c r="G73" s="37">
        <f>SUM(G67)</f>
        <v>67</v>
      </c>
      <c r="H73" s="37">
        <f>SUM(H67)</f>
        <v>50</v>
      </c>
      <c r="I73" s="37">
        <f>SUM(I67)</f>
        <v>14</v>
      </c>
      <c r="J73" s="74">
        <f>SUM(J67)</f>
        <v>529600000</v>
      </c>
      <c r="K73" s="74"/>
      <c r="L73" s="43"/>
    </row>
    <row r="74" spans="1:14" ht="28.5" customHeight="1" x14ac:dyDescent="0.25">
      <c r="A74" s="44">
        <v>54</v>
      </c>
      <c r="B74" s="50">
        <v>46098</v>
      </c>
      <c r="C74" s="31" t="s">
        <v>241</v>
      </c>
      <c r="D74" s="31" t="s">
        <v>242</v>
      </c>
      <c r="E74" s="31" t="s">
        <v>243</v>
      </c>
      <c r="F74" s="51">
        <v>5</v>
      </c>
      <c r="G74" s="51">
        <v>1</v>
      </c>
      <c r="H74" s="51">
        <v>1</v>
      </c>
      <c r="I74" s="51"/>
      <c r="J74" s="139">
        <v>10500000</v>
      </c>
      <c r="K74" s="139"/>
      <c r="L74" s="53">
        <v>14</v>
      </c>
    </row>
    <row r="75" spans="1:14" ht="19.5" customHeight="1" x14ac:dyDescent="0.25">
      <c r="A75" s="44">
        <v>55</v>
      </c>
      <c r="B75" s="50"/>
      <c r="C75" s="31" t="s">
        <v>244</v>
      </c>
      <c r="D75" s="31" t="s">
        <v>81</v>
      </c>
      <c r="E75" s="31" t="s">
        <v>245</v>
      </c>
      <c r="F75" s="51">
        <v>2</v>
      </c>
      <c r="G75" s="51">
        <v>1</v>
      </c>
      <c r="H75" s="51"/>
      <c r="I75" s="51"/>
      <c r="J75" s="139">
        <v>2000000</v>
      </c>
      <c r="K75" s="139"/>
      <c r="L75" s="53">
        <v>75</v>
      </c>
    </row>
    <row r="76" spans="1:14" ht="27.75" customHeight="1" x14ac:dyDescent="0.25">
      <c r="A76" s="44">
        <v>56</v>
      </c>
      <c r="B76" s="50"/>
      <c r="C76" s="31" t="s">
        <v>246</v>
      </c>
      <c r="D76" s="31" t="s">
        <v>248</v>
      </c>
      <c r="E76" s="31" t="s">
        <v>263</v>
      </c>
      <c r="F76" s="51">
        <v>8</v>
      </c>
      <c r="G76" s="51">
        <v>2</v>
      </c>
      <c r="H76" s="51"/>
      <c r="I76" s="51"/>
      <c r="J76" s="139">
        <v>13000000</v>
      </c>
      <c r="K76" s="156" t="s">
        <v>274</v>
      </c>
      <c r="L76" s="146" t="s">
        <v>261</v>
      </c>
      <c r="M76" t="s">
        <v>270</v>
      </c>
      <c r="N76" t="s">
        <v>271</v>
      </c>
    </row>
    <row r="77" spans="1:14" ht="19.5" customHeight="1" x14ac:dyDescent="0.25">
      <c r="A77" s="44">
        <v>57</v>
      </c>
      <c r="B77" s="62"/>
      <c r="C77" s="31" t="s">
        <v>258</v>
      </c>
      <c r="D77" s="46" t="s">
        <v>257</v>
      </c>
      <c r="E77" s="80" t="s">
        <v>245</v>
      </c>
      <c r="F77" s="51">
        <v>2</v>
      </c>
      <c r="G77" s="51">
        <v>1</v>
      </c>
      <c r="H77" s="51"/>
      <c r="I77" s="51"/>
      <c r="J77" s="52">
        <v>2000000</v>
      </c>
      <c r="K77" s="52"/>
      <c r="L77" s="53" t="s">
        <v>262</v>
      </c>
      <c r="N77" t="s">
        <v>272</v>
      </c>
    </row>
    <row r="78" spans="1:14" ht="19.5" customHeight="1" x14ac:dyDescent="0.25">
      <c r="A78" s="44">
        <v>58</v>
      </c>
      <c r="B78" s="50">
        <v>46099</v>
      </c>
      <c r="C78" s="31" t="s">
        <v>252</v>
      </c>
      <c r="D78" s="80" t="s">
        <v>253</v>
      </c>
      <c r="E78" s="93" t="s">
        <v>223</v>
      </c>
      <c r="F78" s="51">
        <v>9</v>
      </c>
      <c r="G78" s="51">
        <v>1</v>
      </c>
      <c r="H78" s="51">
        <v>2</v>
      </c>
      <c r="I78" s="51"/>
      <c r="J78" s="48">
        <v>10600000</v>
      </c>
      <c r="K78" s="48"/>
      <c r="L78" s="53">
        <v>32</v>
      </c>
      <c r="N78" t="s">
        <v>273</v>
      </c>
    </row>
    <row r="79" spans="1:14" ht="20.100000000000001" customHeight="1" x14ac:dyDescent="0.25">
      <c r="A79" s="44">
        <v>59</v>
      </c>
      <c r="B79" s="50"/>
      <c r="C79" s="31" t="s">
        <v>254</v>
      </c>
      <c r="D79" s="46" t="s">
        <v>255</v>
      </c>
      <c r="E79" s="31" t="s">
        <v>163</v>
      </c>
      <c r="F79" s="51">
        <v>5</v>
      </c>
      <c r="G79" s="51">
        <v>2</v>
      </c>
      <c r="H79" s="51">
        <v>1</v>
      </c>
      <c r="I79" s="51"/>
      <c r="J79" s="52">
        <v>10500000</v>
      </c>
      <c r="K79" s="52"/>
      <c r="L79" s="77">
        <v>5</v>
      </c>
    </row>
    <row r="80" spans="1:14" ht="20.100000000000001" customHeight="1" x14ac:dyDescent="0.25">
      <c r="A80" s="44">
        <v>60</v>
      </c>
      <c r="B80" s="50"/>
      <c r="C80" s="31" t="s">
        <v>259</v>
      </c>
      <c r="D80" s="46" t="s">
        <v>57</v>
      </c>
      <c r="E80" s="90" t="s">
        <v>155</v>
      </c>
      <c r="F80" s="75">
        <v>8</v>
      </c>
      <c r="G80" s="75">
        <v>1</v>
      </c>
      <c r="H80" s="75">
        <v>1</v>
      </c>
      <c r="I80" s="75"/>
      <c r="J80" s="76">
        <v>8800000</v>
      </c>
      <c r="K80" s="76"/>
      <c r="L80" s="77">
        <v>68</v>
      </c>
    </row>
    <row r="81" spans="1:12" ht="20.100000000000001" customHeight="1" x14ac:dyDescent="0.25">
      <c r="A81" s="44">
        <v>61</v>
      </c>
      <c r="B81" s="50">
        <v>46104</v>
      </c>
      <c r="C81" s="31" t="s">
        <v>51</v>
      </c>
      <c r="D81" s="31" t="s">
        <v>52</v>
      </c>
      <c r="E81" s="31" t="s">
        <v>155</v>
      </c>
      <c r="F81" s="51">
        <v>8</v>
      </c>
      <c r="G81" s="51">
        <v>5</v>
      </c>
      <c r="H81" s="51"/>
      <c r="I81" s="51"/>
      <c r="J81" s="52">
        <v>40000000</v>
      </c>
      <c r="K81" s="76"/>
      <c r="L81" s="77"/>
    </row>
    <row r="82" spans="1:12" ht="20.100000000000001" customHeight="1" x14ac:dyDescent="0.25">
      <c r="A82" s="44">
        <v>62</v>
      </c>
      <c r="B82" s="79">
        <v>46107</v>
      </c>
      <c r="C82" s="31" t="s">
        <v>284</v>
      </c>
      <c r="D82" s="80" t="s">
        <v>285</v>
      </c>
      <c r="E82" s="80" t="s">
        <v>282</v>
      </c>
      <c r="F82" s="51">
        <v>3</v>
      </c>
      <c r="G82" s="51">
        <v>1</v>
      </c>
      <c r="H82" s="51"/>
      <c r="I82" s="51"/>
      <c r="J82" s="76">
        <v>3000000</v>
      </c>
      <c r="K82" s="76"/>
      <c r="L82" s="77"/>
    </row>
    <row r="83" spans="1:12" ht="20.100000000000001" customHeight="1" x14ac:dyDescent="0.25">
      <c r="A83" s="44">
        <v>63</v>
      </c>
      <c r="B83" s="50"/>
      <c r="C83" s="31" t="s">
        <v>286</v>
      </c>
      <c r="D83" s="80" t="s">
        <v>78</v>
      </c>
      <c r="E83" s="80" t="s">
        <v>282</v>
      </c>
      <c r="F83" s="51">
        <v>3</v>
      </c>
      <c r="G83" s="51">
        <v>1</v>
      </c>
      <c r="H83" s="51"/>
      <c r="I83" s="51"/>
      <c r="J83" s="76">
        <v>3000000</v>
      </c>
      <c r="K83" s="76"/>
      <c r="L83" s="77"/>
    </row>
    <row r="84" spans="1:12" ht="20.100000000000001" customHeight="1" x14ac:dyDescent="0.25">
      <c r="A84" s="44">
        <v>64</v>
      </c>
      <c r="B84" s="50"/>
      <c r="C84" s="31" t="s">
        <v>287</v>
      </c>
      <c r="D84" s="80" t="s">
        <v>288</v>
      </c>
      <c r="E84" s="80" t="s">
        <v>282</v>
      </c>
      <c r="F84" s="51">
        <v>3</v>
      </c>
      <c r="G84" s="51">
        <v>1</v>
      </c>
      <c r="H84" s="51">
        <v>1</v>
      </c>
      <c r="I84" s="51"/>
      <c r="J84" s="76">
        <v>3300000</v>
      </c>
      <c r="K84" s="76"/>
      <c r="L84" s="77"/>
    </row>
    <row r="85" spans="1:12" ht="20.100000000000001" customHeight="1" x14ac:dyDescent="0.25">
      <c r="A85" s="84"/>
      <c r="B85" s="84"/>
      <c r="C85" s="259" t="s">
        <v>8</v>
      </c>
      <c r="D85" s="260"/>
      <c r="E85" s="261"/>
      <c r="F85" s="85">
        <f>SUM(F73:F84)</f>
        <v>424</v>
      </c>
      <c r="G85" s="85">
        <f t="shared" ref="G85:J85" si="2">SUM(G73:G84)</f>
        <v>84</v>
      </c>
      <c r="H85" s="85">
        <f t="shared" si="2"/>
        <v>56</v>
      </c>
      <c r="I85" s="85">
        <f t="shared" si="2"/>
        <v>14</v>
      </c>
      <c r="J85" s="86">
        <f t="shared" si="2"/>
        <v>636300000</v>
      </c>
      <c r="K85" s="86"/>
      <c r="L85" s="87"/>
    </row>
    <row r="86" spans="1:12" ht="15.75" x14ac:dyDescent="0.25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  <row r="87" spans="1:12" ht="15.75" x14ac:dyDescent="0.25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</row>
    <row r="88" spans="1:12" ht="15.75" x14ac:dyDescent="0.25">
      <c r="A88" s="33"/>
      <c r="B88" s="33"/>
      <c r="C88" s="33"/>
      <c r="D88" s="33"/>
      <c r="E88" s="33"/>
      <c r="F88" s="33"/>
      <c r="G88" s="33"/>
      <c r="H88" s="218" t="s">
        <v>41</v>
      </c>
      <c r="I88" s="219"/>
      <c r="J88" s="219"/>
      <c r="K88" s="219"/>
      <c r="L88" s="219"/>
    </row>
    <row r="89" spans="1:12" ht="15.75" x14ac:dyDescent="0.25">
      <c r="A89" s="33"/>
      <c r="B89" s="33"/>
      <c r="C89" s="33"/>
      <c r="D89" s="33"/>
      <c r="E89" s="33"/>
      <c r="F89" s="33"/>
      <c r="G89" s="33"/>
      <c r="H89" s="218" t="s">
        <v>42</v>
      </c>
      <c r="I89" s="219"/>
      <c r="J89" s="219"/>
      <c r="K89" s="219"/>
      <c r="L89" s="219"/>
    </row>
    <row r="90" spans="1:12" ht="15.75" x14ac:dyDescent="0.25">
      <c r="A90" s="33"/>
      <c r="B90" s="33"/>
      <c r="C90" s="33"/>
      <c r="D90" s="33"/>
      <c r="E90" s="33"/>
      <c r="F90" s="33"/>
      <c r="G90" s="33"/>
      <c r="H90" s="218" t="s">
        <v>38</v>
      </c>
      <c r="I90" s="219"/>
      <c r="J90" s="219"/>
      <c r="K90" s="219"/>
      <c r="L90" s="219"/>
    </row>
    <row r="91" spans="1:12" ht="15.75" x14ac:dyDescent="0.25">
      <c r="A91" s="33"/>
      <c r="B91" s="33"/>
      <c r="C91" s="33"/>
      <c r="D91" s="33"/>
      <c r="E91" s="33"/>
      <c r="F91" s="33"/>
      <c r="G91" s="33"/>
      <c r="H91" s="218" t="s">
        <v>39</v>
      </c>
      <c r="I91" s="219"/>
      <c r="J91" s="219"/>
      <c r="K91" s="219"/>
      <c r="L91" s="219"/>
    </row>
    <row r="92" spans="1:12" ht="15.75" x14ac:dyDescent="0.25">
      <c r="A92" s="33"/>
      <c r="B92" s="33"/>
      <c r="C92" s="33"/>
      <c r="D92" s="33"/>
      <c r="E92" s="33"/>
      <c r="F92" s="33"/>
      <c r="G92" s="33"/>
      <c r="H92" s="220" t="s">
        <v>40</v>
      </c>
      <c r="I92" s="220"/>
      <c r="J92" s="220"/>
      <c r="K92" s="220"/>
      <c r="L92" s="220"/>
    </row>
    <row r="93" spans="1:12" ht="15.75" x14ac:dyDescent="0.25">
      <c r="A93" s="33"/>
      <c r="B93" s="33"/>
      <c r="C93" s="33"/>
      <c r="D93" s="33"/>
      <c r="E93" s="33"/>
      <c r="F93" s="33"/>
      <c r="G93" s="33"/>
      <c r="H93" s="29"/>
      <c r="I93" s="32"/>
      <c r="J93" s="32"/>
      <c r="K93" s="32"/>
      <c r="L93" s="32"/>
    </row>
    <row r="94" spans="1:12" ht="15.75" x14ac:dyDescent="0.25">
      <c r="A94" s="33"/>
      <c r="B94" s="33"/>
      <c r="C94" s="33"/>
      <c r="D94" s="33"/>
      <c r="E94" s="33"/>
      <c r="F94" s="33"/>
      <c r="G94" s="33"/>
      <c r="H94" s="29"/>
      <c r="I94" s="30"/>
      <c r="J94" s="30"/>
      <c r="K94" s="30"/>
      <c r="L94" s="29"/>
    </row>
    <row r="95" spans="1:12" ht="15.75" x14ac:dyDescent="0.25">
      <c r="A95" s="33"/>
      <c r="B95" s="33"/>
      <c r="C95" s="33"/>
      <c r="D95" s="33"/>
      <c r="E95" s="33"/>
      <c r="F95" s="33"/>
      <c r="G95" s="33"/>
      <c r="H95" s="218" t="s">
        <v>43</v>
      </c>
      <c r="I95" s="219"/>
      <c r="J95" s="219"/>
      <c r="K95" s="219"/>
      <c r="L95" s="219"/>
    </row>
    <row r="96" spans="1:12" ht="15.75" x14ac:dyDescent="0.25">
      <c r="A96" s="33"/>
      <c r="B96" s="33"/>
      <c r="C96" s="33"/>
      <c r="D96" s="33"/>
      <c r="E96" s="33"/>
      <c r="F96" s="33"/>
      <c r="G96" s="33"/>
      <c r="H96" s="218" t="s">
        <v>44</v>
      </c>
      <c r="I96" s="219"/>
      <c r="J96" s="219"/>
      <c r="K96" s="219"/>
      <c r="L96" s="219"/>
    </row>
    <row r="97" spans="1:12" ht="15.75" x14ac:dyDescent="0.25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</row>
    <row r="98" spans="1:12" ht="15.75" x14ac:dyDescent="0.25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</row>
    <row r="99" spans="1:12" ht="15.75" x14ac:dyDescent="0.25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</row>
    <row r="100" spans="1:12" ht="15.75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</row>
  </sheetData>
  <mergeCells count="16">
    <mergeCell ref="H91:L91"/>
    <mergeCell ref="H92:L92"/>
    <mergeCell ref="H95:L95"/>
    <mergeCell ref="H96:L96"/>
    <mergeCell ref="C67:E67"/>
    <mergeCell ref="B73:E73"/>
    <mergeCell ref="C85:E85"/>
    <mergeCell ref="H88:L88"/>
    <mergeCell ref="H89:L89"/>
    <mergeCell ref="H90:L90"/>
    <mergeCell ref="B39:E39"/>
    <mergeCell ref="A1:L1"/>
    <mergeCell ref="A2:L2"/>
    <mergeCell ref="A3:L3"/>
    <mergeCell ref="A4:L4"/>
    <mergeCell ref="C33:E33"/>
  </mergeCells>
  <pageMargins left="0.23622047244094491" right="3.937007874015748E-2" top="0.23622047244094491" bottom="0.15748031496062992" header="0.31496062992125984" footer="0.31496062992125984"/>
  <pageSetup paperSize="122" scale="8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CADC0-B7BF-48B4-A9B4-D3A92224DB53}">
  <dimension ref="A1:E23"/>
  <sheetViews>
    <sheetView showGridLines="0" zoomScaleNormal="100" workbookViewId="0">
      <selection activeCell="L11" sqref="L11"/>
    </sheetView>
  </sheetViews>
  <sheetFormatPr defaultRowHeight="15" x14ac:dyDescent="0.25"/>
  <cols>
    <col min="1" max="1" width="4.28515625" customWidth="1"/>
    <col min="2" max="2" width="39.42578125" customWidth="1"/>
    <col min="3" max="3" width="22.5703125" customWidth="1"/>
    <col min="4" max="4" width="8" customWidth="1"/>
    <col min="5" max="5" width="9.7109375" customWidth="1"/>
    <col min="11" max="11" width="10.140625" bestFit="1" customWidth="1"/>
    <col min="13" max="13" width="14.28515625" customWidth="1"/>
  </cols>
  <sheetData>
    <row r="1" spans="1:5" ht="21" customHeight="1" x14ac:dyDescent="0.25">
      <c r="A1" s="33"/>
      <c r="B1" s="33"/>
      <c r="C1" s="33"/>
      <c r="D1" s="33"/>
      <c r="E1" s="33"/>
    </row>
    <row r="2" spans="1:5" ht="29.25" customHeight="1" x14ac:dyDescent="0.25">
      <c r="A2" s="34" t="s">
        <v>0</v>
      </c>
      <c r="B2" s="34" t="s">
        <v>5</v>
      </c>
      <c r="C2" s="35" t="s">
        <v>1</v>
      </c>
      <c r="D2" s="35" t="s">
        <v>4</v>
      </c>
      <c r="E2" s="35" t="s">
        <v>7</v>
      </c>
    </row>
    <row r="3" spans="1:5" ht="18.75" customHeight="1" x14ac:dyDescent="0.25">
      <c r="A3" s="37">
        <v>1</v>
      </c>
      <c r="B3" s="39" t="s">
        <v>126</v>
      </c>
      <c r="C3" s="40" t="s">
        <v>311</v>
      </c>
      <c r="D3" s="43">
        <v>1</v>
      </c>
      <c r="E3" s="43"/>
    </row>
    <row r="4" spans="1:5" ht="20.100000000000001" customHeight="1" x14ac:dyDescent="0.25">
      <c r="A4" s="44">
        <v>2</v>
      </c>
      <c r="B4" s="31" t="s">
        <v>91</v>
      </c>
      <c r="C4" s="31" t="s">
        <v>164</v>
      </c>
      <c r="D4" s="53">
        <v>2</v>
      </c>
      <c r="E4" s="53"/>
    </row>
    <row r="5" spans="1:5" ht="23.25" customHeight="1" x14ac:dyDescent="0.25">
      <c r="A5" s="44">
        <v>3</v>
      </c>
      <c r="B5" s="31" t="s">
        <v>132</v>
      </c>
      <c r="C5" s="60" t="s">
        <v>133</v>
      </c>
      <c r="D5" s="61">
        <v>1</v>
      </c>
      <c r="E5" s="51"/>
    </row>
    <row r="6" spans="1:5" ht="20.100000000000001" customHeight="1" x14ac:dyDescent="0.25">
      <c r="A6" s="44">
        <v>4</v>
      </c>
      <c r="B6" s="46" t="s">
        <v>96</v>
      </c>
      <c r="C6" s="46" t="s">
        <v>123</v>
      </c>
      <c r="D6" s="61">
        <v>1</v>
      </c>
      <c r="E6" s="51">
        <v>1</v>
      </c>
    </row>
    <row r="7" spans="1:5" ht="20.100000000000001" customHeight="1" x14ac:dyDescent="0.25">
      <c r="A7" s="44">
        <v>5</v>
      </c>
      <c r="B7" s="46" t="s">
        <v>114</v>
      </c>
      <c r="C7" s="46" t="s">
        <v>52</v>
      </c>
      <c r="D7" s="61">
        <v>2</v>
      </c>
      <c r="E7" s="51">
        <v>1</v>
      </c>
    </row>
    <row r="8" spans="1:5" ht="20.100000000000001" customHeight="1" x14ac:dyDescent="0.25">
      <c r="A8" s="44">
        <v>6</v>
      </c>
      <c r="B8" s="54" t="s">
        <v>286</v>
      </c>
      <c r="C8" s="55" t="s">
        <v>78</v>
      </c>
      <c r="D8" s="61">
        <v>1</v>
      </c>
      <c r="E8" s="51"/>
    </row>
    <row r="9" spans="1:5" ht="20.100000000000001" customHeight="1" x14ac:dyDescent="0.25">
      <c r="A9" s="44">
        <v>7</v>
      </c>
      <c r="B9" s="46" t="s">
        <v>335</v>
      </c>
      <c r="C9" s="46" t="s">
        <v>336</v>
      </c>
      <c r="D9" s="61">
        <v>1</v>
      </c>
      <c r="E9" s="51"/>
    </row>
    <row r="10" spans="1:5" ht="20.100000000000001" customHeight="1" x14ac:dyDescent="0.25">
      <c r="A10" s="44">
        <v>8</v>
      </c>
      <c r="B10" s="46" t="s">
        <v>134</v>
      </c>
      <c r="C10" s="46" t="s">
        <v>322</v>
      </c>
      <c r="D10" s="61">
        <v>1</v>
      </c>
      <c r="E10" s="51"/>
    </row>
    <row r="11" spans="1:5" ht="20.100000000000001" customHeight="1" x14ac:dyDescent="0.25">
      <c r="A11" s="44">
        <v>9</v>
      </c>
      <c r="B11" s="31" t="s">
        <v>324</v>
      </c>
      <c r="C11" s="31" t="s">
        <v>52</v>
      </c>
      <c r="D11" s="61">
        <v>4</v>
      </c>
      <c r="E11" s="51"/>
    </row>
    <row r="12" spans="1:5" ht="20.100000000000001" customHeight="1" x14ac:dyDescent="0.25">
      <c r="A12" s="44">
        <v>10</v>
      </c>
      <c r="B12" s="31" t="s">
        <v>109</v>
      </c>
      <c r="C12" s="46" t="s">
        <v>110</v>
      </c>
      <c r="D12" s="61">
        <v>1</v>
      </c>
      <c r="E12" s="51"/>
    </row>
    <row r="13" spans="1:5" ht="23.25" customHeight="1" x14ac:dyDescent="0.25">
      <c r="A13" s="44">
        <v>11</v>
      </c>
      <c r="B13" s="58" t="s">
        <v>185</v>
      </c>
      <c r="C13" s="59" t="s">
        <v>65</v>
      </c>
      <c r="D13" s="61">
        <v>1</v>
      </c>
      <c r="E13" s="51"/>
    </row>
    <row r="14" spans="1:5" ht="20.100000000000001" customHeight="1" x14ac:dyDescent="0.25">
      <c r="A14" s="44">
        <v>12</v>
      </c>
      <c r="B14" s="31" t="s">
        <v>341</v>
      </c>
      <c r="C14" s="80" t="s">
        <v>340</v>
      </c>
      <c r="D14" s="61">
        <v>1</v>
      </c>
      <c r="E14" s="51"/>
    </row>
    <row r="15" spans="1:5" ht="20.100000000000001" customHeight="1" x14ac:dyDescent="0.25">
      <c r="A15" s="44">
        <v>13</v>
      </c>
      <c r="B15" s="31" t="s">
        <v>338</v>
      </c>
      <c r="C15" s="80" t="s">
        <v>339</v>
      </c>
      <c r="D15" s="61">
        <v>1</v>
      </c>
      <c r="E15" s="51"/>
    </row>
    <row r="16" spans="1:5" ht="20.100000000000001" customHeight="1" x14ac:dyDescent="0.25">
      <c r="A16" s="44">
        <v>14</v>
      </c>
      <c r="B16" s="31" t="s">
        <v>298</v>
      </c>
      <c r="C16" s="80" t="s">
        <v>268</v>
      </c>
      <c r="D16" s="51">
        <v>3</v>
      </c>
      <c r="E16" s="190"/>
    </row>
    <row r="17" spans="1:5" ht="20.100000000000001" customHeight="1" x14ac:dyDescent="0.25">
      <c r="A17" s="67"/>
      <c r="B17" s="222" t="s">
        <v>8</v>
      </c>
      <c r="C17" s="223"/>
      <c r="D17" s="68">
        <f>SUM(D3:D16)</f>
        <v>21</v>
      </c>
      <c r="E17" s="68">
        <f>SUM(E3:E16)</f>
        <v>2</v>
      </c>
    </row>
    <row r="18" spans="1:5" ht="15.75" x14ac:dyDescent="0.25">
      <c r="A18" s="33"/>
      <c r="B18" s="33"/>
      <c r="C18" s="33"/>
      <c r="D18" s="33"/>
      <c r="E18" s="33"/>
    </row>
    <row r="19" spans="1:5" ht="15.75" x14ac:dyDescent="0.25">
      <c r="A19" s="33"/>
      <c r="B19" s="33"/>
      <c r="C19" s="33"/>
      <c r="D19" s="33"/>
      <c r="E19" s="33"/>
    </row>
    <row r="20" spans="1:5" ht="15.75" x14ac:dyDescent="0.25">
      <c r="A20" s="33"/>
      <c r="B20" s="33"/>
      <c r="C20" s="33"/>
      <c r="D20" s="33"/>
      <c r="E20" s="33"/>
    </row>
    <row r="21" spans="1:5" ht="15.75" x14ac:dyDescent="0.25">
      <c r="A21" s="33"/>
      <c r="B21" s="33"/>
      <c r="C21" s="33"/>
      <c r="D21" s="33"/>
      <c r="E21" s="33"/>
    </row>
    <row r="22" spans="1:5" ht="15.75" x14ac:dyDescent="0.25">
      <c r="A22" s="33"/>
      <c r="B22" s="33"/>
      <c r="C22" s="33"/>
      <c r="D22" s="33"/>
      <c r="E22" s="33"/>
    </row>
    <row r="23" spans="1:5" ht="15.75" x14ac:dyDescent="0.25">
      <c r="A23" s="33"/>
      <c r="B23" s="33"/>
      <c r="C23" s="33"/>
      <c r="D23" s="33"/>
      <c r="E23" s="33"/>
    </row>
  </sheetData>
  <mergeCells count="1">
    <mergeCell ref="B17:C17"/>
  </mergeCells>
  <pageMargins left="0.70866141732283472" right="0.51181102362204722" top="0.74803149606299213" bottom="0.74803149606299213" header="0.31496062992125984" footer="0.31496062992125984"/>
  <pageSetup paperSize="9" scale="9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3"/>
  <dimension ref="A1:K20"/>
  <sheetViews>
    <sheetView workbookViewId="0">
      <selection activeCell="E9" sqref="E9"/>
    </sheetView>
  </sheetViews>
  <sheetFormatPr defaultRowHeight="15" x14ac:dyDescent="0.25"/>
  <cols>
    <col min="1" max="1" width="4.85546875" customWidth="1"/>
    <col min="2" max="2" width="16.42578125" customWidth="1"/>
    <col min="3" max="3" width="8.5703125" customWidth="1"/>
    <col min="4" max="4" width="17.7109375" customWidth="1"/>
    <col min="5" max="5" width="9.28515625" customWidth="1"/>
    <col min="6" max="6" width="17.28515625" customWidth="1"/>
    <col min="7" max="7" width="9.140625" customWidth="1"/>
    <col min="8" max="9" width="17.7109375" customWidth="1"/>
    <col min="10" max="10" width="17.140625" customWidth="1"/>
  </cols>
  <sheetData>
    <row r="1" spans="1:11" ht="15.75" x14ac:dyDescent="0.25">
      <c r="A1" s="267" t="s">
        <v>48</v>
      </c>
      <c r="B1" s="267"/>
      <c r="C1" s="267"/>
      <c r="D1" s="267"/>
      <c r="E1" s="267"/>
      <c r="F1" s="267"/>
      <c r="G1" s="267"/>
      <c r="H1" s="267"/>
      <c r="I1" s="267"/>
      <c r="J1" s="267"/>
    </row>
    <row r="2" spans="1:11" ht="15.75" x14ac:dyDescent="0.25">
      <c r="A2" s="267" t="s">
        <v>9</v>
      </c>
      <c r="B2" s="267"/>
      <c r="C2" s="267"/>
      <c r="D2" s="267"/>
      <c r="E2" s="267"/>
      <c r="F2" s="267"/>
      <c r="G2" s="267"/>
      <c r="H2" s="267"/>
      <c r="I2" s="267"/>
      <c r="J2" s="267"/>
    </row>
    <row r="3" spans="1:11" ht="15.75" x14ac:dyDescent="0.25">
      <c r="A3" s="267" t="s">
        <v>45</v>
      </c>
      <c r="B3" s="267"/>
      <c r="C3" s="267"/>
      <c r="D3" s="267"/>
      <c r="E3" s="267"/>
      <c r="F3" s="267"/>
      <c r="G3" s="267"/>
      <c r="H3" s="267"/>
      <c r="I3" s="267"/>
      <c r="J3" s="267"/>
    </row>
    <row r="4" spans="1:11" ht="15.75" x14ac:dyDescent="0.25">
      <c r="A4" s="267" t="s">
        <v>49</v>
      </c>
      <c r="B4" s="267"/>
      <c r="C4" s="267"/>
      <c r="D4" s="267"/>
      <c r="E4" s="267"/>
      <c r="F4" s="267"/>
      <c r="G4" s="267"/>
      <c r="H4" s="267"/>
      <c r="I4" s="267"/>
      <c r="J4" s="267"/>
    </row>
    <row r="5" spans="1:11" ht="20.25" customHeight="1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</row>
    <row r="6" spans="1:11" ht="31.9" customHeight="1" x14ac:dyDescent="0.25">
      <c r="A6" s="265" t="s">
        <v>0</v>
      </c>
      <c r="B6" s="265" t="s">
        <v>12</v>
      </c>
      <c r="C6" s="263" t="s">
        <v>15</v>
      </c>
      <c r="D6" s="264"/>
      <c r="E6" s="263" t="s">
        <v>16</v>
      </c>
      <c r="F6" s="264"/>
      <c r="G6" s="263" t="s">
        <v>18</v>
      </c>
      <c r="H6" s="264"/>
      <c r="I6" s="265" t="s">
        <v>31</v>
      </c>
      <c r="J6" s="268" t="s">
        <v>33</v>
      </c>
    </row>
    <row r="7" spans="1:11" ht="17.45" customHeight="1" x14ac:dyDescent="0.25">
      <c r="A7" s="266"/>
      <c r="B7" s="266"/>
      <c r="C7" s="95" t="s">
        <v>13</v>
      </c>
      <c r="D7" s="97" t="s">
        <v>14</v>
      </c>
      <c r="E7" s="95" t="s">
        <v>17</v>
      </c>
      <c r="F7" s="97" t="s">
        <v>14</v>
      </c>
      <c r="G7" s="95" t="s">
        <v>17</v>
      </c>
      <c r="H7" s="97" t="s">
        <v>14</v>
      </c>
      <c r="I7" s="266"/>
      <c r="J7" s="269"/>
    </row>
    <row r="8" spans="1:11" ht="24" customHeight="1" x14ac:dyDescent="0.25">
      <c r="A8" s="34">
        <v>1</v>
      </c>
      <c r="B8" s="94" t="s">
        <v>19</v>
      </c>
      <c r="C8" s="98">
        <v>131</v>
      </c>
      <c r="D8" s="99">
        <f>C8*1000000</f>
        <v>131000000</v>
      </c>
      <c r="E8" s="100">
        <v>31</v>
      </c>
      <c r="F8" s="100">
        <f>E8*100000</f>
        <v>3100000</v>
      </c>
      <c r="G8" s="100">
        <v>2</v>
      </c>
      <c r="H8" s="100">
        <f>G8*100000</f>
        <v>200000</v>
      </c>
      <c r="I8" s="100">
        <f>D8+F8+H8</f>
        <v>134300000</v>
      </c>
      <c r="J8" s="101"/>
    </row>
    <row r="9" spans="1:11" ht="24" customHeight="1" x14ac:dyDescent="0.25">
      <c r="A9" s="34">
        <v>2</v>
      </c>
      <c r="B9" s="94" t="s">
        <v>20</v>
      </c>
      <c r="C9" s="102"/>
      <c r="D9" s="99">
        <f t="shared" ref="D9:D19" si="0">C9*1000000</f>
        <v>0</v>
      </c>
      <c r="E9" s="100"/>
      <c r="F9" s="100">
        <f t="shared" ref="F9:F19" si="1">E9*100000</f>
        <v>0</v>
      </c>
      <c r="G9" s="100"/>
      <c r="H9" s="100">
        <f t="shared" ref="H9:H19" si="2">G9*100000</f>
        <v>0</v>
      </c>
      <c r="I9" s="100">
        <f t="shared" ref="I9:I19" si="3">D9+F9+H9</f>
        <v>0</v>
      </c>
      <c r="J9" s="101"/>
    </row>
    <row r="10" spans="1:11" ht="24" customHeight="1" x14ac:dyDescent="0.25">
      <c r="A10" s="34">
        <v>3</v>
      </c>
      <c r="B10" s="94" t="s">
        <v>21</v>
      </c>
      <c r="C10" s="102"/>
      <c r="D10" s="99">
        <f t="shared" si="0"/>
        <v>0</v>
      </c>
      <c r="E10" s="100"/>
      <c r="F10" s="100">
        <f t="shared" si="1"/>
        <v>0</v>
      </c>
      <c r="G10" s="100"/>
      <c r="H10" s="100">
        <f t="shared" si="2"/>
        <v>0</v>
      </c>
      <c r="I10" s="100">
        <f t="shared" si="3"/>
        <v>0</v>
      </c>
      <c r="J10" s="101"/>
    </row>
    <row r="11" spans="1:11" ht="24" customHeight="1" x14ac:dyDescent="0.25">
      <c r="A11" s="34">
        <v>4</v>
      </c>
      <c r="B11" s="94" t="s">
        <v>22</v>
      </c>
      <c r="C11" s="102"/>
      <c r="D11" s="99">
        <f t="shared" si="0"/>
        <v>0</v>
      </c>
      <c r="E11" s="100"/>
      <c r="F11" s="100">
        <f t="shared" si="1"/>
        <v>0</v>
      </c>
      <c r="G11" s="100"/>
      <c r="H11" s="100">
        <f t="shared" si="2"/>
        <v>0</v>
      </c>
      <c r="I11" s="100">
        <f t="shared" si="3"/>
        <v>0</v>
      </c>
      <c r="J11" s="101"/>
    </row>
    <row r="12" spans="1:11" ht="24" customHeight="1" x14ac:dyDescent="0.25">
      <c r="A12" s="34">
        <v>5</v>
      </c>
      <c r="B12" s="94" t="s">
        <v>23</v>
      </c>
      <c r="C12" s="103"/>
      <c r="D12" s="99">
        <f t="shared" si="0"/>
        <v>0</v>
      </c>
      <c r="E12" s="104"/>
      <c r="F12" s="100">
        <f t="shared" si="1"/>
        <v>0</v>
      </c>
      <c r="G12" s="104"/>
      <c r="H12" s="100">
        <f t="shared" si="2"/>
        <v>0</v>
      </c>
      <c r="I12" s="100">
        <f t="shared" si="3"/>
        <v>0</v>
      </c>
      <c r="J12" s="105"/>
      <c r="K12" s="16"/>
    </row>
    <row r="13" spans="1:11" ht="24" customHeight="1" x14ac:dyDescent="0.25">
      <c r="A13" s="34">
        <v>6</v>
      </c>
      <c r="B13" s="94" t="s">
        <v>24</v>
      </c>
      <c r="C13" s="103"/>
      <c r="D13" s="99">
        <f t="shared" si="0"/>
        <v>0</v>
      </c>
      <c r="E13" s="104"/>
      <c r="F13" s="100">
        <f t="shared" si="1"/>
        <v>0</v>
      </c>
      <c r="G13" s="104"/>
      <c r="H13" s="100">
        <f t="shared" si="2"/>
        <v>0</v>
      </c>
      <c r="I13" s="100">
        <f t="shared" si="3"/>
        <v>0</v>
      </c>
      <c r="J13" s="101"/>
      <c r="K13" s="17"/>
    </row>
    <row r="14" spans="1:11" ht="24" customHeight="1" x14ac:dyDescent="0.25">
      <c r="A14" s="34">
        <v>7</v>
      </c>
      <c r="B14" s="94" t="s">
        <v>25</v>
      </c>
      <c r="C14" s="103"/>
      <c r="D14" s="99">
        <f t="shared" si="0"/>
        <v>0</v>
      </c>
      <c r="E14" s="104"/>
      <c r="F14" s="100">
        <f t="shared" si="1"/>
        <v>0</v>
      </c>
      <c r="G14" s="104"/>
      <c r="H14" s="100">
        <f t="shared" si="2"/>
        <v>0</v>
      </c>
      <c r="I14" s="100">
        <f t="shared" si="3"/>
        <v>0</v>
      </c>
      <c r="J14" s="105"/>
      <c r="K14" s="16"/>
    </row>
    <row r="15" spans="1:11" ht="24" customHeight="1" x14ac:dyDescent="0.25">
      <c r="A15" s="34">
        <v>8</v>
      </c>
      <c r="B15" s="94" t="s">
        <v>26</v>
      </c>
      <c r="C15" s="106"/>
      <c r="D15" s="99">
        <f t="shared" si="0"/>
        <v>0</v>
      </c>
      <c r="E15" s="104"/>
      <c r="F15" s="100">
        <f t="shared" si="1"/>
        <v>0</v>
      </c>
      <c r="G15" s="104"/>
      <c r="H15" s="100">
        <f t="shared" si="2"/>
        <v>0</v>
      </c>
      <c r="I15" s="100">
        <f t="shared" si="3"/>
        <v>0</v>
      </c>
      <c r="J15" s="101"/>
    </row>
    <row r="16" spans="1:11" ht="24" customHeight="1" x14ac:dyDescent="0.25">
      <c r="A16" s="34">
        <v>9</v>
      </c>
      <c r="B16" s="94" t="s">
        <v>27</v>
      </c>
      <c r="C16" s="98"/>
      <c r="D16" s="99">
        <f t="shared" si="0"/>
        <v>0</v>
      </c>
      <c r="E16" s="100"/>
      <c r="F16" s="100">
        <f t="shared" si="1"/>
        <v>0</v>
      </c>
      <c r="G16" s="100"/>
      <c r="H16" s="100">
        <f t="shared" si="2"/>
        <v>0</v>
      </c>
      <c r="I16" s="100">
        <f t="shared" si="3"/>
        <v>0</v>
      </c>
      <c r="J16" s="101"/>
    </row>
    <row r="17" spans="1:10" ht="24" customHeight="1" x14ac:dyDescent="0.25">
      <c r="A17" s="34">
        <v>10</v>
      </c>
      <c r="B17" s="94" t="s">
        <v>28</v>
      </c>
      <c r="C17" s="102"/>
      <c r="D17" s="99">
        <f t="shared" si="0"/>
        <v>0</v>
      </c>
      <c r="E17" s="100"/>
      <c r="F17" s="100">
        <f t="shared" si="1"/>
        <v>0</v>
      </c>
      <c r="G17" s="100"/>
      <c r="H17" s="100">
        <f t="shared" si="2"/>
        <v>0</v>
      </c>
      <c r="I17" s="100">
        <f t="shared" si="3"/>
        <v>0</v>
      </c>
      <c r="J17" s="101"/>
    </row>
    <row r="18" spans="1:10" ht="24" customHeight="1" x14ac:dyDescent="0.25">
      <c r="A18" s="34">
        <v>11</v>
      </c>
      <c r="B18" s="94" t="s">
        <v>29</v>
      </c>
      <c r="C18" s="103"/>
      <c r="D18" s="99">
        <f t="shared" si="0"/>
        <v>0</v>
      </c>
      <c r="E18" s="100"/>
      <c r="F18" s="100">
        <f t="shared" si="1"/>
        <v>0</v>
      </c>
      <c r="G18" s="100"/>
      <c r="H18" s="100">
        <f t="shared" si="2"/>
        <v>0</v>
      </c>
      <c r="I18" s="100">
        <f t="shared" si="3"/>
        <v>0</v>
      </c>
      <c r="J18" s="101"/>
    </row>
    <row r="19" spans="1:10" ht="24" customHeight="1" thickBot="1" x14ac:dyDescent="0.3">
      <c r="A19" s="73">
        <v>12</v>
      </c>
      <c r="B19" s="96" t="s">
        <v>30</v>
      </c>
      <c r="C19" s="107"/>
      <c r="D19" s="108">
        <f t="shared" si="0"/>
        <v>0</v>
      </c>
      <c r="E19" s="109"/>
      <c r="F19" s="109">
        <f t="shared" si="1"/>
        <v>0</v>
      </c>
      <c r="G19" s="109"/>
      <c r="H19" s="109">
        <f t="shared" si="2"/>
        <v>0</v>
      </c>
      <c r="I19" s="109">
        <f t="shared" si="3"/>
        <v>0</v>
      </c>
      <c r="J19" s="110"/>
    </row>
    <row r="20" spans="1:10" ht="24" customHeight="1" thickTop="1" x14ac:dyDescent="0.25">
      <c r="A20" s="262" t="s">
        <v>8</v>
      </c>
      <c r="B20" s="262"/>
      <c r="C20" s="111">
        <f>SUM(C8:C19)</f>
        <v>131</v>
      </c>
      <c r="D20" s="111">
        <f t="shared" ref="D20:J20" si="4">SUM(D8:D19)</f>
        <v>131000000</v>
      </c>
      <c r="E20" s="111">
        <f t="shared" si="4"/>
        <v>31</v>
      </c>
      <c r="F20" s="111">
        <f t="shared" si="4"/>
        <v>3100000</v>
      </c>
      <c r="G20" s="111">
        <f t="shared" si="4"/>
        <v>2</v>
      </c>
      <c r="H20" s="111">
        <f t="shared" si="4"/>
        <v>200000</v>
      </c>
      <c r="I20" s="111">
        <f t="shared" si="4"/>
        <v>134300000</v>
      </c>
      <c r="J20" s="111">
        <f t="shared" si="4"/>
        <v>0</v>
      </c>
    </row>
  </sheetData>
  <mergeCells count="12">
    <mergeCell ref="A20:B20"/>
    <mergeCell ref="G6:H6"/>
    <mergeCell ref="I6:I7"/>
    <mergeCell ref="A1:J1"/>
    <mergeCell ref="A3:J3"/>
    <mergeCell ref="A6:A7"/>
    <mergeCell ref="B6:B7"/>
    <mergeCell ref="C6:D6"/>
    <mergeCell ref="E6:F6"/>
    <mergeCell ref="J6:J7"/>
    <mergeCell ref="A2:J2"/>
    <mergeCell ref="A4:J4"/>
  </mergeCells>
  <pageMargins left="0.43307086614173229" right="0.23622047244094491" top="0.35433070866141736" bottom="0.55118110236220474" header="0.31496062992125984" footer="0.31496062992125984"/>
  <pageSetup paperSize="9" orientation="landscape" horizontalDpi="4294967293" vertic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C9CE8-8C5D-406E-A03B-96293B7CAF26}">
  <dimension ref="A1:J13"/>
  <sheetViews>
    <sheetView topLeftCell="A3" workbookViewId="0">
      <selection activeCell="M28" sqref="M28"/>
    </sheetView>
  </sheetViews>
  <sheetFormatPr defaultRowHeight="15" x14ac:dyDescent="0.25"/>
  <cols>
    <col min="1" max="1" width="4.85546875" customWidth="1"/>
    <col min="2" max="2" width="16.42578125" customWidth="1"/>
    <col min="3" max="3" width="9.42578125" customWidth="1"/>
    <col min="4" max="4" width="17.7109375" customWidth="1"/>
    <col min="5" max="5" width="11.140625" customWidth="1"/>
    <col min="6" max="6" width="17.28515625" customWidth="1"/>
    <col min="7" max="7" width="10.7109375" customWidth="1"/>
    <col min="8" max="9" width="17.7109375" customWidth="1"/>
    <col min="10" max="10" width="17.140625" customWidth="1"/>
  </cols>
  <sheetData>
    <row r="1" spans="1:10" ht="15.75" x14ac:dyDescent="0.25">
      <c r="A1" s="217" t="s">
        <v>47</v>
      </c>
      <c r="B1" s="217"/>
      <c r="C1" s="217"/>
      <c r="D1" s="217"/>
      <c r="E1" s="217"/>
      <c r="F1" s="217"/>
      <c r="G1" s="217"/>
      <c r="H1" s="217"/>
      <c r="I1" s="217"/>
      <c r="J1" s="217"/>
    </row>
    <row r="2" spans="1:10" ht="15.75" x14ac:dyDescent="0.25">
      <c r="A2" s="217" t="s">
        <v>9</v>
      </c>
      <c r="B2" s="217"/>
      <c r="C2" s="217"/>
      <c r="D2" s="217"/>
      <c r="E2" s="217"/>
      <c r="F2" s="217"/>
      <c r="G2" s="217"/>
      <c r="H2" s="217"/>
      <c r="I2" s="217"/>
      <c r="J2" s="217"/>
    </row>
    <row r="3" spans="1:10" ht="15.75" x14ac:dyDescent="0.25">
      <c r="A3" s="217" t="s">
        <v>45</v>
      </c>
      <c r="B3" s="217"/>
      <c r="C3" s="217"/>
      <c r="D3" s="217"/>
      <c r="E3" s="217"/>
      <c r="F3" s="217"/>
      <c r="G3" s="217"/>
      <c r="H3" s="217"/>
      <c r="I3" s="217"/>
      <c r="J3" s="217"/>
    </row>
    <row r="4" spans="1:10" ht="20.25" customHeight="1" x14ac:dyDescent="0.25">
      <c r="A4" s="33"/>
      <c r="B4" s="33"/>
      <c r="C4" s="33"/>
      <c r="D4" s="33"/>
      <c r="E4" s="33"/>
      <c r="F4" s="33"/>
      <c r="G4" s="33"/>
      <c r="H4" s="33"/>
      <c r="I4" s="33"/>
      <c r="J4" s="33"/>
    </row>
    <row r="5" spans="1:10" ht="31.9" customHeight="1" x14ac:dyDescent="0.25">
      <c r="A5" s="265" t="s">
        <v>0</v>
      </c>
      <c r="B5" s="265" t="s">
        <v>12</v>
      </c>
      <c r="C5" s="263" t="s">
        <v>15</v>
      </c>
      <c r="D5" s="264"/>
      <c r="E5" s="263" t="s">
        <v>16</v>
      </c>
      <c r="F5" s="264"/>
      <c r="G5" s="263" t="s">
        <v>18</v>
      </c>
      <c r="H5" s="264"/>
      <c r="I5" s="265" t="s">
        <v>31</v>
      </c>
      <c r="J5" s="268" t="s">
        <v>33</v>
      </c>
    </row>
    <row r="6" spans="1:10" ht="24.75" customHeight="1" x14ac:dyDescent="0.25">
      <c r="A6" s="266"/>
      <c r="B6" s="266"/>
      <c r="C6" s="95" t="s">
        <v>13</v>
      </c>
      <c r="D6" s="97" t="s">
        <v>14</v>
      </c>
      <c r="E6" s="95" t="s">
        <v>17</v>
      </c>
      <c r="F6" s="97" t="s">
        <v>14</v>
      </c>
      <c r="G6" s="95" t="s">
        <v>17</v>
      </c>
      <c r="H6" s="97" t="s">
        <v>14</v>
      </c>
      <c r="I6" s="266"/>
      <c r="J6" s="269"/>
    </row>
    <row r="7" spans="1:10" ht="24" customHeight="1" x14ac:dyDescent="0.25">
      <c r="A7" s="34">
        <v>1</v>
      </c>
      <c r="B7" s="94" t="s">
        <v>19</v>
      </c>
      <c r="C7" s="98">
        <v>187</v>
      </c>
      <c r="D7" s="99">
        <f>C7*1000000</f>
        <v>187000000</v>
      </c>
      <c r="E7" s="100">
        <v>29</v>
      </c>
      <c r="F7" s="100">
        <f>E7*100000</f>
        <v>2900000</v>
      </c>
      <c r="G7" s="100">
        <v>0</v>
      </c>
      <c r="H7" s="100">
        <f>G7*100000</f>
        <v>0</v>
      </c>
      <c r="I7" s="100">
        <f>D7+F7+H7</f>
        <v>189900000</v>
      </c>
      <c r="J7" s="101"/>
    </row>
    <row r="8" spans="1:10" ht="24" customHeight="1" x14ac:dyDescent="0.25">
      <c r="A8" s="34">
        <v>2</v>
      </c>
      <c r="B8" s="94" t="s">
        <v>20</v>
      </c>
      <c r="C8" s="102">
        <v>31</v>
      </c>
      <c r="D8" s="99">
        <f t="shared" ref="D8:D9" si="0">C8*1000000</f>
        <v>31000000</v>
      </c>
      <c r="E8" s="100">
        <v>28</v>
      </c>
      <c r="F8" s="100">
        <f t="shared" ref="F8:F9" si="1">E8*100000</f>
        <v>2800000</v>
      </c>
      <c r="G8" s="100">
        <v>4</v>
      </c>
      <c r="H8" s="100">
        <f t="shared" ref="H8:H9" si="2">G8*100000</f>
        <v>400000</v>
      </c>
      <c r="I8" s="100">
        <f t="shared" ref="I8:I9" si="3">D8+F8+H8</f>
        <v>34200000</v>
      </c>
      <c r="J8" s="101"/>
    </row>
    <row r="9" spans="1:10" ht="24" customHeight="1" thickBot="1" x14ac:dyDescent="0.3">
      <c r="A9" s="34">
        <v>3</v>
      </c>
      <c r="B9" s="94" t="s">
        <v>21</v>
      </c>
      <c r="C9" s="102">
        <v>371</v>
      </c>
      <c r="D9" s="99">
        <f t="shared" si="0"/>
        <v>371000000</v>
      </c>
      <c r="E9" s="100">
        <v>185</v>
      </c>
      <c r="F9" s="100">
        <f t="shared" si="1"/>
        <v>18500000</v>
      </c>
      <c r="G9" s="100">
        <v>38</v>
      </c>
      <c r="H9" s="100">
        <f t="shared" si="2"/>
        <v>3800000</v>
      </c>
      <c r="I9" s="100">
        <f t="shared" si="3"/>
        <v>393300000</v>
      </c>
      <c r="J9" s="101"/>
    </row>
    <row r="10" spans="1:10" ht="24" customHeight="1" thickTop="1" x14ac:dyDescent="0.25">
      <c r="A10" s="262" t="s">
        <v>8</v>
      </c>
      <c r="B10" s="262"/>
      <c r="C10" s="111">
        <f t="shared" ref="C10:J10" si="4">SUM(C7:C9)</f>
        <v>589</v>
      </c>
      <c r="D10" s="111">
        <f t="shared" si="4"/>
        <v>589000000</v>
      </c>
      <c r="E10" s="111">
        <f t="shared" si="4"/>
        <v>242</v>
      </c>
      <c r="F10" s="111">
        <f t="shared" si="4"/>
        <v>24200000</v>
      </c>
      <c r="G10" s="111">
        <f t="shared" si="4"/>
        <v>42</v>
      </c>
      <c r="H10" s="111">
        <f t="shared" si="4"/>
        <v>4200000</v>
      </c>
      <c r="I10" s="111">
        <f t="shared" si="4"/>
        <v>617400000</v>
      </c>
      <c r="J10" s="111">
        <f t="shared" si="4"/>
        <v>0</v>
      </c>
    </row>
    <row r="13" spans="1:10" ht="15.75" x14ac:dyDescent="0.25">
      <c r="I13" s="33" t="s">
        <v>46</v>
      </c>
    </row>
  </sheetData>
  <mergeCells count="11">
    <mergeCell ref="A10:B10"/>
    <mergeCell ref="A1:J1"/>
    <mergeCell ref="A2:J2"/>
    <mergeCell ref="A3:J3"/>
    <mergeCell ref="A5:A6"/>
    <mergeCell ref="B5:B6"/>
    <mergeCell ref="C5:D5"/>
    <mergeCell ref="E5:F5"/>
    <mergeCell ref="G5:H5"/>
    <mergeCell ref="I5:I6"/>
    <mergeCell ref="J5:J6"/>
  </mergeCells>
  <pageMargins left="0.62992125984251968" right="0.23622047244094491" top="0.35433070866141736" bottom="0.55118110236220474" header="0.31496062992125984" footer="0.31496062992125984"/>
  <pageSetup paperSize="122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9"/>
  <sheetViews>
    <sheetView zoomScaleNormal="100" workbookViewId="0">
      <selection activeCell="L56" sqref="L56"/>
    </sheetView>
  </sheetViews>
  <sheetFormatPr defaultRowHeight="15" x14ac:dyDescent="0.25"/>
  <cols>
    <col min="1" max="1" width="4.28515625" customWidth="1"/>
    <col min="2" max="2" width="12.5703125" customWidth="1"/>
    <col min="3" max="3" width="33.42578125" customWidth="1"/>
    <col min="4" max="4" width="20" customWidth="1"/>
    <col min="5" max="5" width="35" customWidth="1"/>
    <col min="6" max="6" width="7.140625" customWidth="1"/>
    <col min="7" max="7" width="7.28515625" customWidth="1"/>
    <col min="8" max="8" width="8" customWidth="1"/>
    <col min="9" max="9" width="8.7109375" customWidth="1"/>
    <col min="10" max="10" width="30.42578125" customWidth="1"/>
    <col min="16" max="16" width="10.140625" bestFit="1" customWidth="1"/>
    <col min="18" max="18" width="14.28515625" customWidth="1"/>
  </cols>
  <sheetData>
    <row r="1" spans="1:18" ht="21" x14ac:dyDescent="0.35">
      <c r="A1" s="270" t="s">
        <v>37</v>
      </c>
      <c r="B1" s="270"/>
      <c r="C1" s="270"/>
      <c r="D1" s="270"/>
      <c r="E1" s="270"/>
      <c r="F1" s="270"/>
      <c r="G1" s="270"/>
      <c r="H1" s="270"/>
      <c r="I1" s="270"/>
      <c r="J1" s="270"/>
    </row>
    <row r="2" spans="1:18" ht="21" x14ac:dyDescent="0.35">
      <c r="A2" s="270" t="s">
        <v>9</v>
      </c>
      <c r="B2" s="270"/>
      <c r="C2" s="270"/>
      <c r="D2" s="270"/>
      <c r="E2" s="270"/>
      <c r="F2" s="270"/>
      <c r="G2" s="270"/>
      <c r="H2" s="270"/>
      <c r="I2" s="270"/>
      <c r="J2" s="270"/>
    </row>
    <row r="3" spans="1:18" ht="21" x14ac:dyDescent="0.35">
      <c r="A3" s="18"/>
      <c r="B3" s="18"/>
      <c r="C3" s="18"/>
      <c r="D3" s="18"/>
      <c r="E3" s="18"/>
      <c r="F3" s="18"/>
      <c r="G3" s="18"/>
      <c r="H3" s="18"/>
      <c r="I3" s="18"/>
      <c r="J3" s="18"/>
    </row>
    <row r="4" spans="1:18" ht="37.5" customHeight="1" x14ac:dyDescent="0.25">
      <c r="A4" s="13" t="s">
        <v>0</v>
      </c>
      <c r="B4" s="13" t="s">
        <v>36</v>
      </c>
      <c r="C4" s="13" t="s">
        <v>5</v>
      </c>
      <c r="D4" s="1" t="s">
        <v>1</v>
      </c>
      <c r="E4" s="1" t="s">
        <v>6</v>
      </c>
      <c r="F4" s="1" t="s">
        <v>3</v>
      </c>
      <c r="G4" s="1" t="s">
        <v>4</v>
      </c>
      <c r="H4" s="1" t="s">
        <v>7</v>
      </c>
      <c r="I4" s="1" t="s">
        <v>32</v>
      </c>
      <c r="J4" s="6" t="s">
        <v>34</v>
      </c>
    </row>
    <row r="5" spans="1:18" ht="19.149999999999999" customHeight="1" x14ac:dyDescent="0.25">
      <c r="A5" s="13">
        <v>1</v>
      </c>
      <c r="B5" s="14"/>
      <c r="C5" s="3"/>
      <c r="D5" s="3"/>
      <c r="E5" s="7"/>
      <c r="F5" s="13"/>
      <c r="G5" s="13"/>
      <c r="H5" s="13"/>
      <c r="I5" s="13"/>
      <c r="J5" s="6"/>
    </row>
    <row r="6" spans="1:18" ht="19.149999999999999" customHeight="1" x14ac:dyDescent="0.25">
      <c r="A6" s="1">
        <v>2</v>
      </c>
      <c r="B6" s="27"/>
      <c r="C6" s="9"/>
      <c r="D6" s="9"/>
      <c r="E6" s="19"/>
      <c r="F6" s="1"/>
      <c r="G6" s="1"/>
      <c r="H6" s="1"/>
      <c r="I6" s="1"/>
      <c r="J6" s="6"/>
    </row>
    <row r="7" spans="1:18" ht="19.149999999999999" customHeight="1" x14ac:dyDescent="0.25">
      <c r="A7" s="1">
        <v>3</v>
      </c>
      <c r="B7" s="27"/>
      <c r="C7" s="9"/>
      <c r="D7" s="9"/>
      <c r="E7" s="19"/>
      <c r="F7" s="1"/>
      <c r="G7" s="1"/>
      <c r="H7" s="1"/>
      <c r="I7" s="1"/>
      <c r="J7" s="6"/>
    </row>
    <row r="8" spans="1:18" ht="19.149999999999999" customHeight="1" x14ac:dyDescent="0.25">
      <c r="A8" s="1">
        <v>4</v>
      </c>
      <c r="B8" s="27"/>
      <c r="C8" s="9"/>
      <c r="D8" s="9"/>
      <c r="E8" s="19"/>
      <c r="F8" s="26"/>
      <c r="G8" s="26"/>
      <c r="H8" s="26"/>
      <c r="I8" s="26"/>
      <c r="J8" s="20"/>
    </row>
    <row r="9" spans="1:18" ht="19.149999999999999" customHeight="1" x14ac:dyDescent="0.25">
      <c r="A9" s="1">
        <v>5</v>
      </c>
      <c r="B9" s="27"/>
      <c r="C9" s="9"/>
      <c r="D9" s="9"/>
      <c r="E9" s="19"/>
      <c r="F9" s="26"/>
      <c r="G9" s="26"/>
      <c r="H9" s="26"/>
      <c r="I9" s="26"/>
      <c r="J9" s="20"/>
    </row>
    <row r="10" spans="1:18" ht="19.149999999999999" customHeight="1" x14ac:dyDescent="0.25">
      <c r="A10" s="1">
        <v>6</v>
      </c>
      <c r="B10" s="27"/>
      <c r="C10" s="9"/>
      <c r="D10" s="9"/>
      <c r="E10" s="19"/>
      <c r="F10" s="1"/>
      <c r="G10" s="1"/>
      <c r="H10" s="1"/>
      <c r="I10" s="1"/>
      <c r="J10" s="6"/>
    </row>
    <row r="11" spans="1:18" ht="19.149999999999999" customHeight="1" x14ac:dyDescent="0.25">
      <c r="A11" s="1">
        <v>7</v>
      </c>
      <c r="B11" s="27"/>
      <c r="C11" s="9"/>
      <c r="D11" s="9"/>
      <c r="E11" s="19"/>
      <c r="F11" s="1"/>
      <c r="G11" s="1"/>
      <c r="H11" s="1"/>
      <c r="I11" s="1"/>
      <c r="J11" s="6"/>
      <c r="P11" s="24">
        <v>20000000</v>
      </c>
      <c r="R11" s="25" t="s">
        <v>35</v>
      </c>
    </row>
    <row r="12" spans="1:18" ht="19.149999999999999" customHeight="1" x14ac:dyDescent="0.25">
      <c r="A12" s="1">
        <v>8</v>
      </c>
      <c r="B12" s="27"/>
      <c r="C12" s="9"/>
      <c r="D12" s="9"/>
      <c r="E12" s="19"/>
      <c r="F12" s="1"/>
      <c r="G12" s="1"/>
      <c r="H12" s="1"/>
      <c r="I12" s="1"/>
      <c r="J12" s="6"/>
    </row>
    <row r="13" spans="1:18" ht="19.149999999999999" customHeight="1" x14ac:dyDescent="0.25">
      <c r="A13" s="1">
        <v>9</v>
      </c>
      <c r="B13" s="27"/>
      <c r="C13" s="9"/>
      <c r="D13" s="9"/>
      <c r="E13" s="19"/>
      <c r="F13" s="1"/>
      <c r="G13" s="1"/>
      <c r="H13" s="1"/>
      <c r="I13" s="1"/>
      <c r="J13" s="6"/>
    </row>
    <row r="14" spans="1:18" ht="19.149999999999999" customHeight="1" x14ac:dyDescent="0.25">
      <c r="A14" s="1">
        <v>10</v>
      </c>
      <c r="B14" s="27"/>
      <c r="C14" s="9"/>
      <c r="D14" s="9"/>
      <c r="E14" s="19"/>
      <c r="F14" s="1"/>
      <c r="G14" s="1"/>
      <c r="H14" s="1"/>
      <c r="I14" s="1"/>
      <c r="J14" s="6"/>
    </row>
    <row r="15" spans="1:18" ht="19.149999999999999" customHeight="1" x14ac:dyDescent="0.25">
      <c r="A15" s="1">
        <v>11</v>
      </c>
      <c r="B15" s="27"/>
      <c r="C15" s="9"/>
      <c r="D15" s="9"/>
      <c r="E15" s="19"/>
      <c r="F15" s="1"/>
      <c r="G15" s="1"/>
      <c r="H15" s="1"/>
      <c r="I15" s="1"/>
      <c r="J15" s="6"/>
    </row>
    <row r="16" spans="1:18" ht="19.149999999999999" customHeight="1" x14ac:dyDescent="0.25">
      <c r="A16" s="1">
        <v>12</v>
      </c>
      <c r="B16" s="27"/>
      <c r="C16" s="9"/>
      <c r="D16" s="9"/>
      <c r="E16" s="19"/>
      <c r="F16" s="1"/>
      <c r="G16" s="1"/>
      <c r="H16" s="1"/>
      <c r="I16" s="1"/>
      <c r="J16" s="6"/>
    </row>
    <row r="17" spans="1:10" ht="19.5" customHeight="1" x14ac:dyDescent="0.25">
      <c r="A17" s="1">
        <v>13</v>
      </c>
      <c r="B17" s="27"/>
      <c r="C17" s="9"/>
      <c r="D17" s="9"/>
      <c r="E17" s="19"/>
      <c r="F17" s="1"/>
      <c r="G17" s="1"/>
      <c r="H17" s="1"/>
      <c r="I17" s="1"/>
      <c r="J17" s="6"/>
    </row>
    <row r="18" spans="1:10" ht="19.5" customHeight="1" x14ac:dyDescent="0.25">
      <c r="A18" s="1">
        <v>14</v>
      </c>
      <c r="B18" s="27"/>
      <c r="C18" s="9"/>
      <c r="D18" s="9"/>
      <c r="E18" s="19"/>
      <c r="F18" s="1"/>
      <c r="G18" s="1"/>
      <c r="H18" s="1"/>
      <c r="I18" s="1"/>
      <c r="J18" s="6"/>
    </row>
    <row r="19" spans="1:10" ht="19.5" customHeight="1" x14ac:dyDescent="0.25">
      <c r="A19" s="1">
        <v>15</v>
      </c>
      <c r="B19" s="27"/>
      <c r="C19" s="9"/>
      <c r="D19" s="9"/>
      <c r="E19" s="19"/>
      <c r="F19" s="1"/>
      <c r="G19" s="1"/>
      <c r="H19" s="1"/>
      <c r="I19" s="1"/>
      <c r="J19" s="6"/>
    </row>
    <row r="20" spans="1:10" ht="19.5" customHeight="1" x14ac:dyDescent="0.25">
      <c r="A20" s="1">
        <v>16</v>
      </c>
      <c r="B20" s="27"/>
      <c r="C20" s="9"/>
      <c r="D20" s="9"/>
      <c r="E20" s="19"/>
      <c r="F20" s="1"/>
      <c r="G20" s="1"/>
      <c r="H20" s="1"/>
      <c r="I20" s="1"/>
      <c r="J20" s="6"/>
    </row>
    <row r="21" spans="1:10" ht="19.5" customHeight="1" x14ac:dyDescent="0.25">
      <c r="A21" s="1">
        <v>17</v>
      </c>
      <c r="B21" s="27"/>
      <c r="C21" s="9"/>
      <c r="D21" s="9"/>
      <c r="E21" s="22"/>
      <c r="F21" s="1"/>
      <c r="G21" s="1"/>
      <c r="H21" s="1"/>
      <c r="I21" s="1"/>
      <c r="J21" s="6"/>
    </row>
    <row r="22" spans="1:10" ht="19.5" customHeight="1" x14ac:dyDescent="0.25">
      <c r="A22" s="1">
        <v>18</v>
      </c>
      <c r="B22" s="27"/>
      <c r="C22" s="9"/>
      <c r="D22" s="9"/>
      <c r="E22" s="19"/>
      <c r="F22" s="1"/>
      <c r="G22" s="1"/>
      <c r="H22" s="1"/>
      <c r="I22" s="1"/>
      <c r="J22" s="6"/>
    </row>
    <row r="23" spans="1:10" ht="19.5" customHeight="1" x14ac:dyDescent="0.25">
      <c r="A23" s="1">
        <v>19</v>
      </c>
      <c r="B23" s="27"/>
      <c r="C23" s="9"/>
      <c r="D23" s="9"/>
      <c r="E23" s="19"/>
      <c r="F23" s="1"/>
      <c r="G23" s="1"/>
      <c r="H23" s="1"/>
      <c r="I23" s="1"/>
      <c r="J23" s="6"/>
    </row>
    <row r="24" spans="1:10" ht="19.5" customHeight="1" x14ac:dyDescent="0.25">
      <c r="A24" s="1">
        <v>20</v>
      </c>
      <c r="B24" s="27"/>
      <c r="C24" s="5"/>
      <c r="D24" s="4"/>
      <c r="E24" s="22"/>
      <c r="F24" s="1"/>
      <c r="G24" s="1"/>
      <c r="H24" s="1"/>
      <c r="I24" s="1"/>
      <c r="J24" s="6"/>
    </row>
    <row r="25" spans="1:10" ht="19.5" customHeight="1" x14ac:dyDescent="0.25">
      <c r="A25" s="1">
        <v>21</v>
      </c>
      <c r="B25" s="27"/>
      <c r="C25" s="9"/>
      <c r="D25" s="9"/>
      <c r="E25" s="22"/>
      <c r="F25" s="1"/>
      <c r="G25" s="1"/>
      <c r="H25" s="1"/>
      <c r="I25" s="1"/>
      <c r="J25" s="6"/>
    </row>
    <row r="26" spans="1:10" ht="19.5" customHeight="1" x14ac:dyDescent="0.25">
      <c r="A26" s="1">
        <v>22</v>
      </c>
      <c r="B26" s="27"/>
      <c r="C26" s="9"/>
      <c r="D26" s="9"/>
      <c r="E26" s="19"/>
      <c r="F26" s="1"/>
      <c r="G26" s="1"/>
      <c r="H26" s="1"/>
      <c r="I26" s="1"/>
      <c r="J26" s="6"/>
    </row>
    <row r="27" spans="1:10" ht="19.5" customHeight="1" x14ac:dyDescent="0.25">
      <c r="A27" s="1">
        <v>23</v>
      </c>
      <c r="B27" s="27"/>
      <c r="C27" s="9"/>
      <c r="D27" s="9"/>
      <c r="E27" s="19"/>
      <c r="F27" s="1"/>
      <c r="G27" s="1"/>
      <c r="H27" s="1"/>
      <c r="I27" s="1"/>
      <c r="J27" s="6"/>
    </row>
    <row r="28" spans="1:10" ht="20.100000000000001" customHeight="1" x14ac:dyDescent="0.25">
      <c r="A28" s="11"/>
      <c r="B28" s="11"/>
      <c r="C28" s="271" t="s">
        <v>8</v>
      </c>
      <c r="D28" s="272"/>
      <c r="E28" s="273"/>
      <c r="F28" s="12">
        <f>SUM(F5:F27)</f>
        <v>0</v>
      </c>
      <c r="G28" s="12">
        <f>SUM(G5:G27)</f>
        <v>0</v>
      </c>
      <c r="H28" s="12">
        <f>SUM(H5:H27)</f>
        <v>0</v>
      </c>
      <c r="I28" s="12"/>
      <c r="J28" s="5"/>
    </row>
    <row r="33" spans="1:10" ht="29.25" customHeight="1" x14ac:dyDescent="0.25">
      <c r="A33" s="13" t="s">
        <v>0</v>
      </c>
      <c r="B33" s="13" t="s">
        <v>10</v>
      </c>
      <c r="C33" s="13" t="s">
        <v>5</v>
      </c>
      <c r="D33" s="1" t="s">
        <v>1</v>
      </c>
      <c r="E33" s="1" t="s">
        <v>6</v>
      </c>
      <c r="F33" s="1" t="s">
        <v>3</v>
      </c>
      <c r="G33" s="1" t="s">
        <v>4</v>
      </c>
      <c r="H33" s="1" t="s">
        <v>7</v>
      </c>
      <c r="I33" s="1"/>
      <c r="J33" s="6" t="s">
        <v>34</v>
      </c>
    </row>
    <row r="34" spans="1:10" ht="20.100000000000001" customHeight="1" x14ac:dyDescent="0.25">
      <c r="A34" s="13"/>
      <c r="B34" s="274" t="s">
        <v>11</v>
      </c>
      <c r="C34" s="275"/>
      <c r="D34" s="275"/>
      <c r="E34" s="276"/>
      <c r="F34" s="21">
        <f>F28</f>
        <v>0</v>
      </c>
      <c r="G34" s="21">
        <f t="shared" ref="G34:H34" si="0">G28</f>
        <v>0</v>
      </c>
      <c r="H34" s="21">
        <f t="shared" si="0"/>
        <v>0</v>
      </c>
      <c r="I34" s="21"/>
      <c r="J34" s="6"/>
    </row>
    <row r="35" spans="1:10" ht="20.100000000000001" customHeight="1" x14ac:dyDescent="0.25">
      <c r="A35" s="13">
        <v>24</v>
      </c>
      <c r="B35" s="14"/>
      <c r="C35" s="3"/>
      <c r="D35" s="3"/>
      <c r="E35" s="7"/>
      <c r="F35" s="13"/>
      <c r="G35" s="13"/>
      <c r="H35" s="13"/>
      <c r="I35" s="13"/>
      <c r="J35" s="6"/>
    </row>
    <row r="36" spans="1:10" ht="20.100000000000001" customHeight="1" x14ac:dyDescent="0.25">
      <c r="A36" s="13">
        <v>25</v>
      </c>
      <c r="B36" s="14"/>
      <c r="C36" s="3"/>
      <c r="D36" s="9"/>
      <c r="E36" s="7"/>
      <c r="F36" s="13"/>
      <c r="G36" s="13"/>
      <c r="H36" s="13"/>
      <c r="I36" s="13"/>
      <c r="J36" s="6"/>
    </row>
    <row r="37" spans="1:10" ht="20.100000000000001" customHeight="1" x14ac:dyDescent="0.25">
      <c r="A37" s="13">
        <v>26</v>
      </c>
      <c r="B37" s="14"/>
      <c r="C37" s="3"/>
      <c r="D37" s="3"/>
      <c r="E37" s="7"/>
      <c r="F37" s="13"/>
      <c r="G37" s="13"/>
      <c r="H37" s="13"/>
      <c r="I37" s="13"/>
      <c r="J37" s="23"/>
    </row>
    <row r="38" spans="1:10" ht="20.100000000000001" customHeight="1" x14ac:dyDescent="0.25">
      <c r="A38" s="13">
        <v>27</v>
      </c>
      <c r="B38" s="14"/>
      <c r="C38" s="3"/>
      <c r="D38" s="3"/>
      <c r="E38" s="7"/>
      <c r="F38" s="13"/>
      <c r="G38" s="1"/>
      <c r="H38" s="1"/>
      <c r="I38" s="1"/>
      <c r="J38" s="6"/>
    </row>
    <row r="39" spans="1:10" ht="20.100000000000001" customHeight="1" x14ac:dyDescent="0.25">
      <c r="A39" s="13">
        <v>28</v>
      </c>
      <c r="B39" s="14"/>
      <c r="C39" s="2"/>
      <c r="D39" s="4"/>
      <c r="E39" s="7"/>
      <c r="F39" s="13"/>
      <c r="G39" s="13"/>
      <c r="H39" s="13"/>
      <c r="I39" s="28"/>
      <c r="J39" s="6"/>
    </row>
    <row r="40" spans="1:10" ht="20.100000000000001" customHeight="1" x14ac:dyDescent="0.25">
      <c r="A40" s="13">
        <v>29</v>
      </c>
      <c r="B40" s="14"/>
      <c r="C40" s="3"/>
      <c r="D40" s="3"/>
      <c r="E40" s="7"/>
      <c r="F40" s="13"/>
      <c r="G40" s="13"/>
      <c r="H40" s="13"/>
      <c r="I40" s="13"/>
      <c r="J40" s="23"/>
    </row>
    <row r="41" spans="1:10" ht="20.100000000000001" customHeight="1" x14ac:dyDescent="0.25">
      <c r="A41" s="13">
        <v>30</v>
      </c>
      <c r="B41" s="8"/>
      <c r="C41" s="3"/>
      <c r="D41" s="3"/>
      <c r="E41" s="7"/>
      <c r="F41" s="13"/>
      <c r="G41" s="13"/>
      <c r="H41" s="13"/>
      <c r="I41" s="13"/>
      <c r="J41" s="6"/>
    </row>
    <row r="42" spans="1:10" ht="20.100000000000001" customHeight="1" x14ac:dyDescent="0.25">
      <c r="A42" s="13">
        <v>31</v>
      </c>
      <c r="B42" s="8"/>
      <c r="C42" s="2"/>
      <c r="D42" s="4"/>
      <c r="E42" s="7"/>
      <c r="F42" s="13"/>
      <c r="G42" s="13"/>
      <c r="H42" s="13"/>
      <c r="I42" s="13"/>
      <c r="J42" s="6"/>
    </row>
    <row r="43" spans="1:10" ht="20.100000000000001" customHeight="1" x14ac:dyDescent="0.25">
      <c r="A43" s="13">
        <v>32</v>
      </c>
      <c r="B43" s="8"/>
      <c r="C43" s="3"/>
      <c r="D43" s="9"/>
      <c r="E43" s="7"/>
      <c r="F43" s="13"/>
      <c r="G43" s="13"/>
      <c r="H43" s="13"/>
      <c r="I43" s="13"/>
      <c r="J43" s="6"/>
    </row>
    <row r="44" spans="1:10" ht="20.100000000000001" customHeight="1" x14ac:dyDescent="0.25">
      <c r="A44" s="13">
        <v>33</v>
      </c>
      <c r="B44" s="14"/>
      <c r="C44" s="3"/>
      <c r="D44" s="9"/>
      <c r="E44" s="7"/>
      <c r="F44" s="13"/>
      <c r="G44" s="13"/>
      <c r="H44" s="13"/>
      <c r="I44" s="13"/>
      <c r="J44" s="6"/>
    </row>
    <row r="45" spans="1:10" ht="20.100000000000001" customHeight="1" x14ac:dyDescent="0.25">
      <c r="A45" s="13">
        <v>34</v>
      </c>
      <c r="B45" s="14"/>
      <c r="C45" s="3"/>
      <c r="D45" s="3"/>
      <c r="E45" s="7"/>
      <c r="F45" s="13"/>
      <c r="G45" s="13"/>
      <c r="H45" s="13"/>
      <c r="I45" s="13"/>
      <c r="J45" s="6"/>
    </row>
    <row r="46" spans="1:10" ht="20.100000000000001" customHeight="1" x14ac:dyDescent="0.25">
      <c r="A46" s="13">
        <v>35</v>
      </c>
      <c r="B46" s="14"/>
      <c r="C46" s="3"/>
      <c r="D46" s="9"/>
      <c r="E46" s="7"/>
      <c r="F46" s="13"/>
      <c r="G46" s="13"/>
      <c r="H46" s="13"/>
      <c r="I46" s="13"/>
      <c r="J46" s="6"/>
    </row>
    <row r="47" spans="1:10" ht="20.100000000000001" customHeight="1" x14ac:dyDescent="0.25">
      <c r="A47" s="13">
        <v>36</v>
      </c>
      <c r="B47" s="14"/>
      <c r="C47" s="3"/>
      <c r="D47" s="9"/>
      <c r="E47" s="7"/>
      <c r="F47" s="13"/>
      <c r="G47" s="13"/>
      <c r="H47" s="13"/>
      <c r="I47" s="13"/>
      <c r="J47" s="6"/>
    </row>
    <row r="48" spans="1:10" ht="20.100000000000001" customHeight="1" x14ac:dyDescent="0.25">
      <c r="A48" s="13">
        <v>37</v>
      </c>
      <c r="B48" s="14"/>
      <c r="C48" s="10"/>
      <c r="D48" s="15"/>
      <c r="E48" s="7"/>
      <c r="F48" s="13"/>
      <c r="G48" s="13"/>
      <c r="H48" s="13"/>
      <c r="I48" s="13"/>
      <c r="J48" s="6"/>
    </row>
    <row r="49" spans="1:10" ht="20.100000000000001" customHeight="1" x14ac:dyDescent="0.25">
      <c r="A49" s="13">
        <v>38</v>
      </c>
      <c r="B49" s="14"/>
      <c r="C49" s="3"/>
      <c r="D49" s="3"/>
      <c r="E49" s="7"/>
      <c r="F49" s="13"/>
      <c r="G49" s="13"/>
      <c r="H49" s="13"/>
      <c r="I49" s="13"/>
      <c r="J49" s="6"/>
    </row>
    <row r="50" spans="1:10" ht="20.100000000000001" customHeight="1" x14ac:dyDescent="0.25">
      <c r="A50" s="13">
        <v>39</v>
      </c>
      <c r="B50" s="14"/>
      <c r="C50" s="10"/>
      <c r="D50" s="15"/>
      <c r="E50" s="7"/>
      <c r="F50" s="13"/>
      <c r="G50" s="13"/>
      <c r="H50" s="13"/>
      <c r="I50" s="13"/>
      <c r="J50" s="6"/>
    </row>
    <row r="51" spans="1:10" ht="20.100000000000001" customHeight="1" x14ac:dyDescent="0.25">
      <c r="A51" s="13">
        <v>40</v>
      </c>
      <c r="B51" s="14"/>
      <c r="C51" s="2"/>
      <c r="D51" s="4"/>
      <c r="E51" s="7"/>
      <c r="F51" s="13"/>
      <c r="G51" s="13"/>
      <c r="H51" s="13"/>
      <c r="I51" s="13"/>
      <c r="J51" s="6"/>
    </row>
    <row r="52" spans="1:10" ht="20.100000000000001" customHeight="1" x14ac:dyDescent="0.25">
      <c r="A52" s="13">
        <v>41</v>
      </c>
      <c r="B52" s="14"/>
      <c r="C52" s="3"/>
      <c r="D52" s="4"/>
      <c r="E52" s="7"/>
      <c r="F52" s="13"/>
      <c r="G52" s="13"/>
      <c r="H52" s="13"/>
      <c r="I52" s="13"/>
      <c r="J52" s="6"/>
    </row>
    <row r="53" spans="1:10" ht="20.100000000000001" customHeight="1" x14ac:dyDescent="0.25">
      <c r="A53" s="13">
        <v>42</v>
      </c>
      <c r="B53" s="14"/>
      <c r="C53" s="2"/>
      <c r="D53" s="4"/>
      <c r="E53" s="19"/>
      <c r="F53" s="13"/>
      <c r="G53" s="13"/>
      <c r="H53" s="13"/>
      <c r="I53" s="13"/>
      <c r="J53" s="6"/>
    </row>
    <row r="54" spans="1:10" ht="20.100000000000001" customHeight="1" x14ac:dyDescent="0.25">
      <c r="A54" s="13">
        <v>43</v>
      </c>
      <c r="B54" s="14"/>
      <c r="C54" s="2"/>
      <c r="D54" s="4"/>
      <c r="E54" s="7"/>
      <c r="F54" s="13"/>
      <c r="G54" s="13"/>
      <c r="H54" s="13"/>
      <c r="I54" s="13"/>
      <c r="J54" s="6"/>
    </row>
    <row r="55" spans="1:10" ht="20.100000000000001" customHeight="1" x14ac:dyDescent="0.25">
      <c r="A55" s="13">
        <v>44</v>
      </c>
      <c r="B55" s="14"/>
      <c r="C55" s="3"/>
      <c r="D55" s="3"/>
      <c r="E55" s="7"/>
      <c r="F55" s="13"/>
      <c r="G55" s="13"/>
      <c r="H55" s="13"/>
      <c r="I55" s="13"/>
      <c r="J55" s="6"/>
    </row>
    <row r="56" spans="1:10" ht="20.100000000000001" customHeight="1" x14ac:dyDescent="0.25">
      <c r="A56" s="13">
        <v>45</v>
      </c>
      <c r="B56" s="14"/>
      <c r="C56" s="3"/>
      <c r="D56" s="9"/>
      <c r="E56" s="7"/>
      <c r="F56" s="13"/>
      <c r="G56" s="13"/>
      <c r="H56" s="13"/>
      <c r="I56" s="13"/>
      <c r="J56" s="6"/>
    </row>
    <row r="57" spans="1:10" ht="20.100000000000001" customHeight="1" x14ac:dyDescent="0.25">
      <c r="A57" s="13">
        <v>46</v>
      </c>
      <c r="B57" s="14"/>
      <c r="C57" s="3"/>
      <c r="D57" s="9"/>
      <c r="E57" s="7"/>
      <c r="F57" s="13"/>
      <c r="G57" s="13"/>
      <c r="H57" s="13"/>
      <c r="I57" s="13"/>
      <c r="J57" s="6"/>
    </row>
    <row r="58" spans="1:10" ht="20.100000000000001" customHeight="1" x14ac:dyDescent="0.25">
      <c r="A58" s="13">
        <v>47</v>
      </c>
      <c r="B58" s="8"/>
      <c r="C58" s="3"/>
      <c r="D58" s="3"/>
      <c r="E58" s="7"/>
      <c r="F58" s="13"/>
      <c r="G58" s="13"/>
      <c r="H58" s="13"/>
      <c r="I58" s="13"/>
      <c r="J58" s="6"/>
    </row>
    <row r="59" spans="1:10" ht="20.100000000000001" customHeight="1" x14ac:dyDescent="0.25">
      <c r="A59" s="11"/>
      <c r="B59" s="11"/>
      <c r="C59" s="271" t="s">
        <v>8</v>
      </c>
      <c r="D59" s="272"/>
      <c r="E59" s="273"/>
      <c r="F59" s="12">
        <f>SUM(F34:F58)</f>
        <v>0</v>
      </c>
      <c r="G59" s="12">
        <f>SUM(G34:G58)</f>
        <v>0</v>
      </c>
      <c r="H59" s="12">
        <f>SUM(H34:H58)</f>
        <v>0</v>
      </c>
      <c r="I59" s="12"/>
      <c r="J59" s="5"/>
    </row>
  </sheetData>
  <mergeCells count="5">
    <mergeCell ref="A1:J1"/>
    <mergeCell ref="A2:J2"/>
    <mergeCell ref="C28:E28"/>
    <mergeCell ref="B34:E34"/>
    <mergeCell ref="C59:E59"/>
  </mergeCells>
  <pageMargins left="0.43307086614173229" right="3.937007874015748E-2" top="0.35433070866141736" bottom="0.35433070866141736" header="0.31496062992125984" footer="0.31496062992125984"/>
  <pageSetup paperSize="206" scale="90" orientation="landscape" horizontalDpi="4294967293" vertic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6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54E88-F978-419A-9390-7F7BCF696AF1}">
  <dimension ref="A1:E70"/>
  <sheetViews>
    <sheetView showGridLines="0" zoomScaleNormal="100" workbookViewId="0">
      <selection activeCell="I41" sqref="I41"/>
    </sheetView>
  </sheetViews>
  <sheetFormatPr defaultRowHeight="15" x14ac:dyDescent="0.25"/>
  <cols>
    <col min="1" max="1" width="6.7109375" customWidth="1"/>
    <col min="2" max="2" width="34.7109375" customWidth="1"/>
    <col min="3" max="3" width="20.85546875" customWidth="1"/>
    <col min="4" max="4" width="12.140625" customWidth="1"/>
    <col min="5" max="5" width="16.7109375" customWidth="1"/>
    <col min="10" max="10" width="10.140625" bestFit="1" customWidth="1"/>
    <col min="12" max="12" width="14.28515625" customWidth="1"/>
  </cols>
  <sheetData>
    <row r="1" spans="1:5" ht="21" customHeight="1" x14ac:dyDescent="0.25">
      <c r="A1" s="217" t="s">
        <v>556</v>
      </c>
      <c r="B1" s="217"/>
      <c r="C1" s="217"/>
      <c r="D1" s="217"/>
      <c r="E1" s="217"/>
    </row>
    <row r="2" spans="1:5" ht="21" customHeight="1" x14ac:dyDescent="0.25">
      <c r="A2" s="33"/>
      <c r="B2" s="33"/>
      <c r="C2" s="33"/>
      <c r="D2" s="33"/>
    </row>
    <row r="3" spans="1:5" ht="29.25" customHeight="1" x14ac:dyDescent="0.25">
      <c r="A3" s="35" t="s">
        <v>0</v>
      </c>
      <c r="B3" s="35" t="s">
        <v>555</v>
      </c>
      <c r="C3" s="35" t="s">
        <v>554</v>
      </c>
      <c r="D3" s="35" t="s">
        <v>553</v>
      </c>
      <c r="E3" s="36" t="s">
        <v>33</v>
      </c>
    </row>
    <row r="4" spans="1:5" ht="21.95" customHeight="1" x14ac:dyDescent="0.25">
      <c r="A4" s="35">
        <v>1</v>
      </c>
      <c r="B4" s="213"/>
      <c r="C4" s="213"/>
      <c r="D4" s="36"/>
      <c r="E4" s="5"/>
    </row>
    <row r="5" spans="1:5" ht="21.95" customHeight="1" x14ac:dyDescent="0.25">
      <c r="A5" s="35">
        <v>2</v>
      </c>
      <c r="B5" s="213"/>
      <c r="C5" s="213"/>
      <c r="D5" s="36"/>
      <c r="E5" s="5"/>
    </row>
    <row r="6" spans="1:5" ht="21.95" customHeight="1" x14ac:dyDescent="0.25">
      <c r="A6" s="35">
        <v>3</v>
      </c>
      <c r="B6" s="213"/>
      <c r="C6" s="213"/>
      <c r="D6" s="36"/>
      <c r="E6" s="5"/>
    </row>
    <row r="7" spans="1:5" ht="21.95" customHeight="1" x14ac:dyDescent="0.25">
      <c r="A7" s="35">
        <v>4</v>
      </c>
      <c r="B7" s="213"/>
      <c r="C7" s="213"/>
      <c r="D7" s="36"/>
      <c r="E7" s="5"/>
    </row>
    <row r="8" spans="1:5" ht="21.95" customHeight="1" x14ac:dyDescent="0.25">
      <c r="A8" s="35">
        <v>5</v>
      </c>
      <c r="B8" s="213"/>
      <c r="C8" s="213"/>
      <c r="D8" s="36"/>
      <c r="E8" s="5"/>
    </row>
    <row r="9" spans="1:5" ht="21.95" customHeight="1" x14ac:dyDescent="0.25">
      <c r="A9" s="35">
        <v>6</v>
      </c>
      <c r="B9" s="213"/>
      <c r="C9" s="213"/>
      <c r="D9" s="36"/>
      <c r="E9" s="5"/>
    </row>
    <row r="10" spans="1:5" ht="21.95" customHeight="1" x14ac:dyDescent="0.25">
      <c r="A10" s="35">
        <v>7</v>
      </c>
      <c r="B10" s="213"/>
      <c r="C10" s="213"/>
      <c r="D10" s="36"/>
      <c r="E10" s="5"/>
    </row>
    <row r="11" spans="1:5" ht="21.95" customHeight="1" x14ac:dyDescent="0.25">
      <c r="A11" s="35">
        <v>8</v>
      </c>
      <c r="B11" s="213"/>
      <c r="C11" s="213"/>
      <c r="D11" s="36"/>
      <c r="E11" s="5"/>
    </row>
    <row r="12" spans="1:5" ht="21.95" customHeight="1" x14ac:dyDescent="0.25">
      <c r="A12" s="35">
        <v>9</v>
      </c>
      <c r="B12" s="213"/>
      <c r="C12" s="213"/>
      <c r="D12" s="36"/>
      <c r="E12" s="5"/>
    </row>
    <row r="13" spans="1:5" ht="21.95" customHeight="1" x14ac:dyDescent="0.25">
      <c r="A13" s="35">
        <v>10</v>
      </c>
      <c r="B13" s="213"/>
      <c r="C13" s="213"/>
      <c r="D13" s="36"/>
      <c r="E13" s="5"/>
    </row>
    <row r="14" spans="1:5" ht="21.95" customHeight="1" x14ac:dyDescent="0.25">
      <c r="A14" s="35">
        <v>11</v>
      </c>
      <c r="B14" s="213"/>
      <c r="C14" s="213"/>
      <c r="D14" s="36"/>
      <c r="E14" s="5"/>
    </row>
    <row r="15" spans="1:5" ht="21.95" customHeight="1" x14ac:dyDescent="0.25">
      <c r="A15" s="35">
        <v>12</v>
      </c>
      <c r="B15" s="213"/>
      <c r="C15" s="213"/>
      <c r="D15" s="36"/>
      <c r="E15" s="5"/>
    </row>
    <row r="16" spans="1:5" ht="21.95" customHeight="1" x14ac:dyDescent="0.25">
      <c r="A16" s="35">
        <v>13</v>
      </c>
      <c r="B16" s="213"/>
      <c r="C16" s="213"/>
      <c r="D16" s="36"/>
      <c r="E16" s="5"/>
    </row>
    <row r="17" spans="1:5" ht="21.95" customHeight="1" x14ac:dyDescent="0.25">
      <c r="A17" s="35">
        <v>14</v>
      </c>
      <c r="B17" s="213"/>
      <c r="C17" s="213"/>
      <c r="D17" s="36"/>
      <c r="E17" s="5"/>
    </row>
    <row r="18" spans="1:5" ht="21.95" customHeight="1" x14ac:dyDescent="0.25">
      <c r="A18" s="35">
        <v>15</v>
      </c>
      <c r="B18" s="213"/>
      <c r="C18" s="213"/>
      <c r="D18" s="36"/>
      <c r="E18" s="5"/>
    </row>
    <row r="19" spans="1:5" ht="21.95" customHeight="1" x14ac:dyDescent="0.25">
      <c r="A19" s="35">
        <v>16</v>
      </c>
      <c r="B19" s="213"/>
      <c r="C19" s="213"/>
      <c r="D19" s="36"/>
      <c r="E19" s="5"/>
    </row>
    <row r="20" spans="1:5" ht="21.95" customHeight="1" x14ac:dyDescent="0.25">
      <c r="A20" s="35">
        <v>17</v>
      </c>
      <c r="B20" s="213"/>
      <c r="C20" s="213"/>
      <c r="D20" s="36"/>
      <c r="E20" s="5"/>
    </row>
    <row r="21" spans="1:5" ht="21.95" customHeight="1" x14ac:dyDescent="0.25">
      <c r="A21" s="35">
        <v>18</v>
      </c>
      <c r="B21" s="213"/>
      <c r="C21" s="213"/>
      <c r="D21" s="36"/>
      <c r="E21" s="5"/>
    </row>
    <row r="22" spans="1:5" ht="21.95" customHeight="1" x14ac:dyDescent="0.25">
      <c r="A22" s="35">
        <v>19</v>
      </c>
      <c r="B22" s="213"/>
      <c r="C22" s="213"/>
      <c r="D22" s="36"/>
      <c r="E22" s="5"/>
    </row>
    <row r="23" spans="1:5" ht="21.95" customHeight="1" x14ac:dyDescent="0.25">
      <c r="A23" s="35">
        <v>20</v>
      </c>
      <c r="B23" s="213"/>
      <c r="C23" s="213"/>
      <c r="D23" s="36"/>
      <c r="E23" s="5"/>
    </row>
    <row r="24" spans="1:5" ht="21.95" customHeight="1" x14ac:dyDescent="0.25">
      <c r="A24" s="35">
        <v>21</v>
      </c>
      <c r="B24" s="213"/>
      <c r="C24" s="213"/>
      <c r="D24" s="36"/>
      <c r="E24" s="5"/>
    </row>
    <row r="25" spans="1:5" ht="21.95" customHeight="1" x14ac:dyDescent="0.25">
      <c r="A25" s="35">
        <v>22</v>
      </c>
      <c r="B25" s="213"/>
      <c r="C25" s="213"/>
      <c r="D25" s="36"/>
      <c r="E25" s="5"/>
    </row>
    <row r="26" spans="1:5" ht="21.95" customHeight="1" x14ac:dyDescent="0.25">
      <c r="A26" s="35">
        <v>23</v>
      </c>
      <c r="B26" s="213"/>
      <c r="C26" s="214"/>
      <c r="D26" s="97"/>
      <c r="E26" s="5"/>
    </row>
    <row r="27" spans="1:5" ht="21.95" customHeight="1" x14ac:dyDescent="0.25">
      <c r="A27" s="35">
        <v>24</v>
      </c>
      <c r="B27" s="213"/>
      <c r="C27" s="213"/>
      <c r="D27" s="97"/>
      <c r="E27" s="5"/>
    </row>
    <row r="28" spans="1:5" ht="21.95" customHeight="1" x14ac:dyDescent="0.25">
      <c r="A28" s="35">
        <v>25</v>
      </c>
      <c r="B28" s="213"/>
      <c r="C28" s="213"/>
      <c r="D28" s="97"/>
      <c r="E28" s="5"/>
    </row>
    <row r="29" spans="1:5" ht="21.95" customHeight="1" x14ac:dyDescent="0.25">
      <c r="A29" s="35">
        <v>26</v>
      </c>
      <c r="B29" s="215"/>
      <c r="C29" s="216"/>
      <c r="D29" s="97"/>
      <c r="E29" s="5"/>
    </row>
    <row r="30" spans="1:5" ht="21.95" customHeight="1" x14ac:dyDescent="0.25">
      <c r="A30" s="35">
        <v>27</v>
      </c>
      <c r="B30" s="213"/>
      <c r="C30" s="213"/>
      <c r="D30" s="97"/>
      <c r="E30" s="5"/>
    </row>
    <row r="31" spans="1:5" ht="21.95" customHeight="1" x14ac:dyDescent="0.25">
      <c r="A31" s="35">
        <v>28</v>
      </c>
      <c r="B31" s="213"/>
      <c r="C31" s="213"/>
      <c r="D31" s="97"/>
      <c r="E31" s="5"/>
    </row>
    <row r="32" spans="1:5" ht="21.95" customHeight="1" x14ac:dyDescent="0.25">
      <c r="A32" s="35">
        <v>29</v>
      </c>
      <c r="B32" s="213"/>
      <c r="C32" s="213"/>
      <c r="D32" s="97"/>
      <c r="E32" s="5"/>
    </row>
    <row r="33" spans="1:5" ht="21.95" customHeight="1" x14ac:dyDescent="0.25">
      <c r="A33" s="35">
        <v>30</v>
      </c>
      <c r="B33" s="213"/>
      <c r="C33" s="213"/>
      <c r="D33" s="97"/>
      <c r="E33" s="5"/>
    </row>
    <row r="34" spans="1:5" ht="15.75" x14ac:dyDescent="0.25">
      <c r="A34" s="33"/>
      <c r="B34" s="33"/>
      <c r="C34" s="33"/>
      <c r="D34" s="33"/>
    </row>
    <row r="35" spans="1:5" ht="15.75" x14ac:dyDescent="0.25">
      <c r="A35" s="33"/>
      <c r="B35" s="33"/>
      <c r="C35" s="33"/>
      <c r="D35" s="33"/>
    </row>
    <row r="36" spans="1:5" ht="15.75" x14ac:dyDescent="0.25">
      <c r="A36" s="33"/>
      <c r="B36" s="33"/>
      <c r="C36" s="33"/>
      <c r="D36" s="33"/>
    </row>
    <row r="37" spans="1:5" ht="15.75" x14ac:dyDescent="0.25">
      <c r="A37" s="33"/>
      <c r="B37" s="33"/>
      <c r="C37" s="33"/>
      <c r="D37" s="33"/>
    </row>
    <row r="38" spans="1:5" ht="15.75" x14ac:dyDescent="0.25">
      <c r="A38" s="217" t="s">
        <v>556</v>
      </c>
      <c r="B38" s="217"/>
      <c r="C38" s="217"/>
      <c r="D38" s="217"/>
      <c r="E38" s="217"/>
    </row>
    <row r="39" spans="1:5" ht="18" customHeight="1" x14ac:dyDescent="0.25">
      <c r="A39" s="33"/>
      <c r="B39" s="33"/>
      <c r="C39" s="33"/>
      <c r="D39" s="33"/>
    </row>
    <row r="40" spans="1:5" ht="29.25" customHeight="1" x14ac:dyDescent="0.25">
      <c r="A40" s="35" t="s">
        <v>0</v>
      </c>
      <c r="B40" s="35" t="s">
        <v>555</v>
      </c>
      <c r="C40" s="35" t="s">
        <v>554</v>
      </c>
      <c r="D40" s="35" t="s">
        <v>553</v>
      </c>
      <c r="E40" s="36" t="s">
        <v>33</v>
      </c>
    </row>
    <row r="41" spans="1:5" ht="21.95" customHeight="1" x14ac:dyDescent="0.25">
      <c r="A41" s="35">
        <v>31</v>
      </c>
      <c r="B41" s="213"/>
      <c r="C41" s="213"/>
      <c r="D41" s="36"/>
      <c r="E41" s="5"/>
    </row>
    <row r="42" spans="1:5" ht="21.95" customHeight="1" x14ac:dyDescent="0.25">
      <c r="A42" s="35">
        <v>32</v>
      </c>
      <c r="B42" s="213"/>
      <c r="C42" s="213"/>
      <c r="D42" s="36"/>
      <c r="E42" s="5"/>
    </row>
    <row r="43" spans="1:5" ht="21.95" customHeight="1" x14ac:dyDescent="0.25">
      <c r="A43" s="35">
        <v>33</v>
      </c>
      <c r="B43" s="213"/>
      <c r="C43" s="213"/>
      <c r="D43" s="36"/>
      <c r="E43" s="5"/>
    </row>
    <row r="44" spans="1:5" ht="21.95" customHeight="1" x14ac:dyDescent="0.25">
      <c r="A44" s="35">
        <v>34</v>
      </c>
      <c r="B44" s="213"/>
      <c r="C44" s="213"/>
      <c r="D44" s="36"/>
      <c r="E44" s="5"/>
    </row>
    <row r="45" spans="1:5" ht="21.95" customHeight="1" x14ac:dyDescent="0.25">
      <c r="A45" s="35">
        <v>35</v>
      </c>
      <c r="B45" s="213"/>
      <c r="C45" s="213"/>
      <c r="D45" s="36"/>
      <c r="E45" s="5"/>
    </row>
    <row r="46" spans="1:5" ht="21.95" customHeight="1" x14ac:dyDescent="0.25">
      <c r="A46" s="35">
        <v>36</v>
      </c>
      <c r="B46" s="213"/>
      <c r="C46" s="213"/>
      <c r="D46" s="36"/>
      <c r="E46" s="5"/>
    </row>
    <row r="47" spans="1:5" ht="21.95" customHeight="1" x14ac:dyDescent="0.25">
      <c r="A47" s="35">
        <v>37</v>
      </c>
      <c r="B47" s="213"/>
      <c r="C47" s="213"/>
      <c r="D47" s="36"/>
      <c r="E47" s="5"/>
    </row>
    <row r="48" spans="1:5" ht="21.95" customHeight="1" x14ac:dyDescent="0.25">
      <c r="A48" s="35">
        <v>38</v>
      </c>
      <c r="B48" s="213"/>
      <c r="C48" s="213"/>
      <c r="D48" s="36"/>
      <c r="E48" s="5"/>
    </row>
    <row r="49" spans="1:5" ht="21.95" customHeight="1" x14ac:dyDescent="0.25">
      <c r="A49" s="35">
        <v>39</v>
      </c>
      <c r="B49" s="213"/>
      <c r="C49" s="213"/>
      <c r="D49" s="36"/>
      <c r="E49" s="5"/>
    </row>
    <row r="50" spans="1:5" ht="21.95" customHeight="1" x14ac:dyDescent="0.25">
      <c r="A50" s="35">
        <v>40</v>
      </c>
      <c r="B50" s="213"/>
      <c r="C50" s="213"/>
      <c r="D50" s="36"/>
      <c r="E50" s="5"/>
    </row>
    <row r="51" spans="1:5" ht="21.95" customHeight="1" x14ac:dyDescent="0.25">
      <c r="A51" s="35">
        <v>41</v>
      </c>
      <c r="B51" s="213"/>
      <c r="C51" s="213"/>
      <c r="D51" s="36"/>
      <c r="E51" s="5"/>
    </row>
    <row r="52" spans="1:5" ht="21.95" customHeight="1" x14ac:dyDescent="0.25">
      <c r="A52" s="35">
        <v>42</v>
      </c>
      <c r="B52" s="213"/>
      <c r="C52" s="213"/>
      <c r="D52" s="36"/>
      <c r="E52" s="5"/>
    </row>
    <row r="53" spans="1:5" ht="21.95" customHeight="1" x14ac:dyDescent="0.25">
      <c r="A53" s="35">
        <v>43</v>
      </c>
      <c r="B53" s="213"/>
      <c r="C53" s="213"/>
      <c r="D53" s="36"/>
      <c r="E53" s="5"/>
    </row>
    <row r="54" spans="1:5" ht="21.95" customHeight="1" x14ac:dyDescent="0.25">
      <c r="A54" s="35">
        <v>44</v>
      </c>
      <c r="B54" s="213"/>
      <c r="C54" s="213"/>
      <c r="D54" s="36"/>
      <c r="E54" s="5"/>
    </row>
    <row r="55" spans="1:5" ht="21.95" customHeight="1" x14ac:dyDescent="0.25">
      <c r="A55" s="35">
        <v>45</v>
      </c>
      <c r="B55" s="213"/>
      <c r="C55" s="213"/>
      <c r="D55" s="36"/>
      <c r="E55" s="5"/>
    </row>
    <row r="56" spans="1:5" ht="21.95" customHeight="1" x14ac:dyDescent="0.25">
      <c r="A56" s="35">
        <v>46</v>
      </c>
      <c r="B56" s="213"/>
      <c r="C56" s="213"/>
      <c r="D56" s="36"/>
      <c r="E56" s="5"/>
    </row>
    <row r="57" spans="1:5" ht="21.95" customHeight="1" x14ac:dyDescent="0.25">
      <c r="A57" s="35">
        <v>47</v>
      </c>
      <c r="B57" s="213"/>
      <c r="C57" s="213"/>
      <c r="D57" s="36"/>
      <c r="E57" s="5"/>
    </row>
    <row r="58" spans="1:5" ht="21.95" customHeight="1" x14ac:dyDescent="0.25">
      <c r="A58" s="35">
        <v>48</v>
      </c>
      <c r="B58" s="213"/>
      <c r="C58" s="213"/>
      <c r="D58" s="36"/>
      <c r="E58" s="5"/>
    </row>
    <row r="59" spans="1:5" ht="21.95" customHeight="1" x14ac:dyDescent="0.25">
      <c r="A59" s="35">
        <v>49</v>
      </c>
      <c r="B59" s="213"/>
      <c r="C59" s="213"/>
      <c r="D59" s="36"/>
      <c r="E59" s="5"/>
    </row>
    <row r="60" spans="1:5" ht="21.95" customHeight="1" x14ac:dyDescent="0.25">
      <c r="A60" s="35">
        <v>50</v>
      </c>
      <c r="B60" s="213"/>
      <c r="C60" s="213"/>
      <c r="D60" s="36"/>
      <c r="E60" s="5"/>
    </row>
    <row r="61" spans="1:5" ht="21.95" customHeight="1" x14ac:dyDescent="0.25">
      <c r="A61" s="35">
        <v>51</v>
      </c>
      <c r="B61" s="213"/>
      <c r="C61" s="213"/>
      <c r="D61" s="36"/>
      <c r="E61" s="5"/>
    </row>
    <row r="62" spans="1:5" ht="21.95" customHeight="1" x14ac:dyDescent="0.25">
      <c r="A62" s="35">
        <v>52</v>
      </c>
      <c r="B62" s="213"/>
      <c r="C62" s="213"/>
      <c r="D62" s="36"/>
      <c r="E62" s="5"/>
    </row>
    <row r="63" spans="1:5" ht="21.95" customHeight="1" x14ac:dyDescent="0.25">
      <c r="A63" s="35">
        <v>53</v>
      </c>
      <c r="B63" s="213"/>
      <c r="C63" s="214"/>
      <c r="D63" s="97"/>
      <c r="E63" s="5"/>
    </row>
    <row r="64" spans="1:5" ht="21.95" customHeight="1" x14ac:dyDescent="0.25">
      <c r="A64" s="35">
        <v>54</v>
      </c>
      <c r="B64" s="213"/>
      <c r="C64" s="213"/>
      <c r="D64" s="97"/>
      <c r="E64" s="5"/>
    </row>
    <row r="65" spans="1:5" ht="21.95" customHeight="1" x14ac:dyDescent="0.25">
      <c r="A65" s="35">
        <v>55</v>
      </c>
      <c r="B65" s="213"/>
      <c r="C65" s="213"/>
      <c r="D65" s="97"/>
      <c r="E65" s="5"/>
    </row>
    <row r="66" spans="1:5" ht="21.95" customHeight="1" x14ac:dyDescent="0.25">
      <c r="A66" s="35">
        <v>56</v>
      </c>
      <c r="B66" s="215"/>
      <c r="C66" s="216"/>
      <c r="D66" s="97"/>
      <c r="E66" s="5"/>
    </row>
    <row r="67" spans="1:5" ht="21.95" customHeight="1" x14ac:dyDescent="0.25">
      <c r="A67" s="35">
        <v>57</v>
      </c>
      <c r="B67" s="213"/>
      <c r="C67" s="213"/>
      <c r="D67" s="97"/>
      <c r="E67" s="5"/>
    </row>
    <row r="68" spans="1:5" ht="21.95" customHeight="1" x14ac:dyDescent="0.25">
      <c r="A68" s="35">
        <v>58</v>
      </c>
      <c r="B68" s="213"/>
      <c r="C68" s="213"/>
      <c r="D68" s="97"/>
      <c r="E68" s="5"/>
    </row>
    <row r="69" spans="1:5" ht="21.95" customHeight="1" x14ac:dyDescent="0.25">
      <c r="A69" s="35">
        <v>59</v>
      </c>
      <c r="B69" s="213"/>
      <c r="C69" s="213"/>
      <c r="D69" s="97"/>
      <c r="E69" s="5"/>
    </row>
    <row r="70" spans="1:5" ht="21.95" customHeight="1" x14ac:dyDescent="0.25">
      <c r="A70" s="35">
        <v>60</v>
      </c>
      <c r="B70" s="213"/>
      <c r="C70" s="213"/>
      <c r="D70" s="97"/>
      <c r="E70" s="5"/>
    </row>
  </sheetData>
  <mergeCells count="2">
    <mergeCell ref="A1:E1"/>
    <mergeCell ref="A38:E38"/>
  </mergeCells>
  <pageMargins left="0.70866141732283472" right="0.51181102362204722" top="0.74803149606299213" bottom="0.74803149606299213" header="0.31496062992125984" footer="0.31496062992125984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Januari 26</vt:lpstr>
      <vt:lpstr>Februari 26</vt:lpstr>
      <vt:lpstr>maret 26</vt:lpstr>
      <vt:lpstr>April 26</vt:lpstr>
      <vt:lpstr>Mei 26 </vt:lpstr>
      <vt:lpstr>Mei 26  (2)</vt:lpstr>
      <vt:lpstr>juni</vt:lpstr>
      <vt:lpstr>Juli</vt:lpstr>
      <vt:lpstr>Agustus</vt:lpstr>
      <vt:lpstr>September</vt:lpstr>
      <vt:lpstr>Oktober</vt:lpstr>
      <vt:lpstr>lebaran</vt:lpstr>
      <vt:lpstr>April 26 (2)</vt:lpstr>
      <vt:lpstr>TAHUN 2026</vt:lpstr>
      <vt:lpstr>TW 1</vt:lpstr>
      <vt:lpstr>SURAT</vt:lpstr>
      <vt:lpstr>Sheet3</vt:lpstr>
      <vt:lpstr>absen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2026-10-01T13:42:33Z</cp:lastPrinted>
  <dcterms:created xsi:type="dcterms:W3CDTF">2013-07-27T02:03:18Z</dcterms:created>
  <dcterms:modified xsi:type="dcterms:W3CDTF">2026-10-12T07:36:12Z</dcterms:modified>
</cp:coreProperties>
</file>