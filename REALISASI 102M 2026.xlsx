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BC\K    A    R     C    I     S\OPNAME 2026\"/>
    </mc:Choice>
  </mc:AlternateContent>
  <xr:revisionPtr revIDLastSave="0" documentId="13_ncr:1_{837A7D7E-06AD-4D9C-A928-CB7A3D0ABE9B}" xr6:coauthVersionLast="47" xr6:coauthVersionMax="47" xr10:uidLastSave="{00000000-0000-0000-0000-000000000000}"/>
  <bookViews>
    <workbookView xWindow="-120" yWindow="-120" windowWidth="29040" windowHeight="15720" tabRatio="810" activeTab="8" xr2:uid="{00000000-000D-0000-FFFF-FFFF00000000}"/>
  </bookViews>
  <sheets>
    <sheet name="Januari 26" sheetId="67" r:id="rId1"/>
    <sheet name="Februari 26" sheetId="70" r:id="rId2"/>
    <sheet name="mARET 26" sheetId="73" r:id="rId3"/>
    <sheet name="April 26" sheetId="75" r:id="rId4"/>
    <sheet name="Mei 26" sheetId="77" r:id="rId5"/>
    <sheet name="Juni 26" sheetId="79" r:id="rId6"/>
    <sheet name="Juli 26" sheetId="81" r:id="rId7"/>
    <sheet name="Agustus 26" sheetId="83" r:id="rId8"/>
    <sheet name="September 26" sheetId="85" r:id="rId9"/>
    <sheet name="September 26 (2)" sheetId="86" r:id="rId10"/>
    <sheet name="Agustus 26 (2)" sheetId="84" r:id="rId11"/>
    <sheet name="Juli 26 (2)" sheetId="82" r:id="rId12"/>
    <sheet name="Juni 26 (2)" sheetId="80" r:id="rId13"/>
    <sheet name="Mei 26 (2)" sheetId="78" r:id="rId14"/>
    <sheet name="April 26 (2)" sheetId="76" r:id="rId15"/>
    <sheet name="mARET 26 (2)" sheetId="74" r:id="rId16"/>
    <sheet name="Februari 26 (2)" sheetId="72" r:id="rId17"/>
    <sheet name="Januari 26 (2)" sheetId="69" r:id="rId18"/>
    <sheet name="RETRIBUSI" sheetId="44" r:id="rId19"/>
    <sheet name="Sheet1" sheetId="14" r:id="rId20"/>
    <sheet name="Sheet2" sheetId="71" r:id="rId21"/>
  </sheets>
  <externalReferences>
    <externalReference r:id="rId22"/>
  </externalReferences>
  <definedNames>
    <definedName name="_xlnm.Print_Area" localSheetId="7">'Agustus 26'!$A$1:$M$81</definedName>
    <definedName name="_xlnm.Print_Area" localSheetId="10">'Agustus 26 (2)'!$D$1:$K$80</definedName>
    <definedName name="_xlnm.Print_Area" localSheetId="3">'April 26'!$A$1:$M$81</definedName>
    <definedName name="_xlnm.Print_Area" localSheetId="14">'April 26 (2)'!$D$1:$K$80</definedName>
    <definedName name="_xlnm.Print_Area" localSheetId="1">'Februari 26'!$A$1:$M$81</definedName>
    <definedName name="_xlnm.Print_Area" localSheetId="16">'Februari 26 (2)'!$D$1:$K$80</definedName>
    <definedName name="_xlnm.Print_Area" localSheetId="0">'Januari 26'!$A$1:$M$81</definedName>
    <definedName name="_xlnm.Print_Area" localSheetId="17">'Januari 26 (2)'!$D$1:$K$82</definedName>
    <definedName name="_xlnm.Print_Area" localSheetId="6">'Juli 26'!$A$1:$M$81</definedName>
    <definedName name="_xlnm.Print_Area" localSheetId="11">'Juli 26 (2)'!$D$1:$K$80</definedName>
    <definedName name="_xlnm.Print_Area" localSheetId="5">'Juni 26'!$A$1:$M$81</definedName>
    <definedName name="_xlnm.Print_Area" localSheetId="12">'Juni 26 (2)'!$D$1:$K$80</definedName>
    <definedName name="_xlnm.Print_Area" localSheetId="2">'mARET 26'!$A$1:$M$81</definedName>
    <definedName name="_xlnm.Print_Area" localSheetId="15">'mARET 26 (2)'!$D$1:$K$82</definedName>
    <definedName name="_xlnm.Print_Area" localSheetId="13">'Mei 26 (2)'!$D$1:$K$80</definedName>
    <definedName name="_xlnm.Print_Area" localSheetId="18">RETRIBUSI!$A$1:$H$82</definedName>
    <definedName name="_xlnm.Print_Area" localSheetId="8">'September 26'!$A$1:$M$81</definedName>
    <definedName name="_xlnm.Print_Area" localSheetId="9">'September 26 (2)'!$D$1:$K$80</definedName>
    <definedName name="_xlnm.Print_Titles" localSheetId="7">'Agustus 26'!$6:$8</definedName>
    <definedName name="_xlnm.Print_Titles" localSheetId="10">'Agustus 26 (2)'!$6:$8</definedName>
    <definedName name="_xlnm.Print_Titles" localSheetId="3">'April 26'!$6:$8</definedName>
    <definedName name="_xlnm.Print_Titles" localSheetId="14">'April 26 (2)'!$6:$8</definedName>
    <definedName name="_xlnm.Print_Titles" localSheetId="1">'Februari 26'!$6:$8</definedName>
    <definedName name="_xlnm.Print_Titles" localSheetId="16">'Februari 26 (2)'!$6:$8</definedName>
    <definedName name="_xlnm.Print_Titles" localSheetId="0">'Januari 26'!$6:$8</definedName>
    <definedName name="_xlnm.Print_Titles" localSheetId="17">'Januari 26 (2)'!$7:$9</definedName>
    <definedName name="_xlnm.Print_Titles" localSheetId="6">'Juli 26'!$6:$8</definedName>
    <definedName name="_xlnm.Print_Titles" localSheetId="11">'Juli 26 (2)'!$6:$8</definedName>
    <definedName name="_xlnm.Print_Titles" localSheetId="5">'Juni 26'!$6:$8</definedName>
    <definedName name="_xlnm.Print_Titles" localSheetId="12">'Juni 26 (2)'!$6:$8</definedName>
    <definedName name="_xlnm.Print_Titles" localSheetId="2">'mARET 26'!$6:$8</definedName>
    <definedName name="_xlnm.Print_Titles" localSheetId="15">'mARET 26 (2)'!$7:$9</definedName>
    <definedName name="_xlnm.Print_Titles" localSheetId="4">'Mei 26'!$6:$8</definedName>
    <definedName name="_xlnm.Print_Titles" localSheetId="13">'Mei 26 (2)'!$6:$8</definedName>
    <definedName name="_xlnm.Print_Titles" localSheetId="18">RETRIBUSI!$7:$9</definedName>
    <definedName name="_xlnm.Print_Titles" localSheetId="8">'September 26'!$6:$8</definedName>
    <definedName name="_xlnm.Print_Titles" localSheetId="9">'September 26 (2)'!$6:$8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86" l="1"/>
  <c r="J68" i="86"/>
  <c r="J67" i="86"/>
  <c r="J66" i="86"/>
  <c r="K66" i="86" s="1"/>
  <c r="J65" i="86"/>
  <c r="K65" i="86" s="1"/>
  <c r="J64" i="86"/>
  <c r="K64" i="86" s="1"/>
  <c r="J63" i="86"/>
  <c r="K63" i="86" s="1"/>
  <c r="J62" i="86"/>
  <c r="K62" i="86" s="1"/>
  <c r="J61" i="86"/>
  <c r="K61" i="86" s="1"/>
  <c r="J60" i="86"/>
  <c r="K60" i="86" s="1"/>
  <c r="J59" i="86"/>
  <c r="K59" i="86" s="1"/>
  <c r="J58" i="86"/>
  <c r="K58" i="86" s="1"/>
  <c r="J57" i="86"/>
  <c r="K57" i="86" s="1"/>
  <c r="J56" i="86"/>
  <c r="K56" i="86" s="1"/>
  <c r="J55" i="86"/>
  <c r="K55" i="86" s="1"/>
  <c r="J54" i="86"/>
  <c r="K54" i="86" s="1"/>
  <c r="J53" i="86"/>
  <c r="K53" i="86" s="1"/>
  <c r="J52" i="86"/>
  <c r="K52" i="86" s="1"/>
  <c r="J51" i="86"/>
  <c r="K51" i="86" s="1"/>
  <c r="J50" i="86"/>
  <c r="K50" i="86" s="1"/>
  <c r="J49" i="86"/>
  <c r="K49" i="86" s="1"/>
  <c r="J48" i="86"/>
  <c r="K48" i="86" s="1"/>
  <c r="J47" i="86"/>
  <c r="K47" i="86" s="1"/>
  <c r="K44" i="86" s="1"/>
  <c r="J44" i="86"/>
  <c r="J43" i="86"/>
  <c r="K43" i="86" s="1"/>
  <c r="J42" i="86"/>
  <c r="K42" i="86" s="1"/>
  <c r="J41" i="86"/>
  <c r="J40" i="86"/>
  <c r="K40" i="86" s="1"/>
  <c r="J39" i="86"/>
  <c r="K39" i="86" s="1"/>
  <c r="J35" i="86"/>
  <c r="K35" i="86" s="1"/>
  <c r="J34" i="86"/>
  <c r="K34" i="86" s="1"/>
  <c r="J33" i="86"/>
  <c r="K33" i="86" s="1"/>
  <c r="K30" i="86" s="1"/>
  <c r="J30" i="86"/>
  <c r="J29" i="86"/>
  <c r="K29" i="86" s="1"/>
  <c r="J28" i="86"/>
  <c r="K28" i="86" s="1"/>
  <c r="J27" i="86"/>
  <c r="K27" i="86" s="1"/>
  <c r="J25" i="86"/>
  <c r="K25" i="86" s="1"/>
  <c r="J24" i="86"/>
  <c r="K24" i="86" s="1"/>
  <c r="J22" i="86"/>
  <c r="K22" i="86" s="1"/>
  <c r="J21" i="86"/>
  <c r="K21" i="86" s="1"/>
  <c r="J20" i="86"/>
  <c r="K20" i="86" s="1"/>
  <c r="J19" i="86"/>
  <c r="K19" i="86" s="1"/>
  <c r="J16" i="86"/>
  <c r="K16" i="86" s="1"/>
  <c r="J15" i="86"/>
  <c r="K15" i="86" s="1"/>
  <c r="J13" i="86"/>
  <c r="K13" i="86" s="1"/>
  <c r="J12" i="86"/>
  <c r="K12" i="86" s="1"/>
  <c r="K10" i="86" s="1"/>
  <c r="J10" i="86"/>
  <c r="AO67" i="85"/>
  <c r="AO60" i="85"/>
  <c r="AP60" i="85" s="1"/>
  <c r="AO48" i="85"/>
  <c r="AO49" i="85"/>
  <c r="AO50" i="85"/>
  <c r="AO51" i="85"/>
  <c r="AO52" i="85"/>
  <c r="AO58" i="85"/>
  <c r="AO62" i="85"/>
  <c r="AO64" i="85"/>
  <c r="AO66" i="85"/>
  <c r="AO28" i="85"/>
  <c r="AP28" i="85" s="1"/>
  <c r="AO20" i="85"/>
  <c r="AP20" i="85" s="1"/>
  <c r="AO21" i="85"/>
  <c r="AP21" i="85" s="1"/>
  <c r="AO19" i="85"/>
  <c r="AP19" i="85" s="1"/>
  <c r="AM69" i="85"/>
  <c r="AK69" i="85"/>
  <c r="AI69" i="85"/>
  <c r="AG69" i="85"/>
  <c r="AE69" i="85"/>
  <c r="AC69" i="85"/>
  <c r="AA69" i="85"/>
  <c r="Y69" i="85"/>
  <c r="AM68" i="85"/>
  <c r="AK68" i="85"/>
  <c r="AI68" i="85"/>
  <c r="AG68" i="85"/>
  <c r="AE68" i="85"/>
  <c r="AC68" i="85"/>
  <c r="AA68" i="85"/>
  <c r="Y68" i="85"/>
  <c r="AM67" i="85"/>
  <c r="AK67" i="85"/>
  <c r="AI67" i="85"/>
  <c r="AE67" i="85"/>
  <c r="Y67" i="85"/>
  <c r="AT66" i="85"/>
  <c r="AR66" i="85"/>
  <c r="AP66" i="85"/>
  <c r="AM66" i="85"/>
  <c r="AN66" i="85" s="1"/>
  <c r="AK66" i="85"/>
  <c r="AL66" i="85" s="1"/>
  <c r="AI66" i="85"/>
  <c r="AJ66" i="85" s="1"/>
  <c r="AG66" i="85"/>
  <c r="AH66" i="85" s="1"/>
  <c r="AE66" i="85"/>
  <c r="AF66" i="85" s="1"/>
  <c r="AC66" i="85"/>
  <c r="AD66" i="85" s="1"/>
  <c r="AA66" i="85"/>
  <c r="AB66" i="85" s="1"/>
  <c r="Y66" i="85"/>
  <c r="H66" i="85"/>
  <c r="AT65" i="85"/>
  <c r="AR65" i="85"/>
  <c r="AM65" i="85"/>
  <c r="AN65" i="85" s="1"/>
  <c r="AK65" i="85"/>
  <c r="AL65" i="85" s="1"/>
  <c r="AI65" i="85"/>
  <c r="AJ65" i="85" s="1"/>
  <c r="AG65" i="85"/>
  <c r="AH65" i="85" s="1"/>
  <c r="AE65" i="85"/>
  <c r="AF65" i="85" s="1"/>
  <c r="AC65" i="85"/>
  <c r="AD65" i="85" s="1"/>
  <c r="AA65" i="85"/>
  <c r="AB65" i="85" s="1"/>
  <c r="Y65" i="85"/>
  <c r="H65" i="85"/>
  <c r="AT64" i="85"/>
  <c r="AR64" i="85"/>
  <c r="AP64" i="85"/>
  <c r="AM64" i="85"/>
  <c r="AN64" i="85" s="1"/>
  <c r="AK64" i="85"/>
  <c r="AL64" i="85" s="1"/>
  <c r="AI64" i="85"/>
  <c r="AJ64" i="85" s="1"/>
  <c r="AG64" i="85"/>
  <c r="AH64" i="85" s="1"/>
  <c r="AE64" i="85"/>
  <c r="AF64" i="85" s="1"/>
  <c r="AC64" i="85"/>
  <c r="AD64" i="85" s="1"/>
  <c r="AA64" i="85"/>
  <c r="AB64" i="85" s="1"/>
  <c r="Y64" i="85"/>
  <c r="H64" i="85"/>
  <c r="AT63" i="85"/>
  <c r="AR63" i="85"/>
  <c r="AM63" i="85"/>
  <c r="AN63" i="85" s="1"/>
  <c r="AK63" i="85"/>
  <c r="AL63" i="85" s="1"/>
  <c r="AI63" i="85"/>
  <c r="AJ63" i="85" s="1"/>
  <c r="AG63" i="85"/>
  <c r="AH63" i="85" s="1"/>
  <c r="AE63" i="85"/>
  <c r="AF63" i="85" s="1"/>
  <c r="AC63" i="85"/>
  <c r="AD63" i="85" s="1"/>
  <c r="AA63" i="85"/>
  <c r="AB63" i="85" s="1"/>
  <c r="Y63" i="85"/>
  <c r="H63" i="85"/>
  <c r="AT62" i="85"/>
  <c r="AR62" i="85"/>
  <c r="AP62" i="85"/>
  <c r="AM62" i="85"/>
  <c r="AN62" i="85" s="1"/>
  <c r="AK62" i="85"/>
  <c r="AL62" i="85" s="1"/>
  <c r="AI62" i="85"/>
  <c r="AJ62" i="85" s="1"/>
  <c r="AG62" i="85"/>
  <c r="AH62" i="85" s="1"/>
  <c r="AE62" i="85"/>
  <c r="AF62" i="85" s="1"/>
  <c r="AC62" i="85"/>
  <c r="AD62" i="85" s="1"/>
  <c r="AA62" i="85"/>
  <c r="AB62" i="85" s="1"/>
  <c r="Y62" i="85"/>
  <c r="H62" i="85"/>
  <c r="AT61" i="85"/>
  <c r="AR61" i="85"/>
  <c r="AM61" i="85"/>
  <c r="AN61" i="85" s="1"/>
  <c r="AK61" i="85"/>
  <c r="AL61" i="85" s="1"/>
  <c r="AI61" i="85"/>
  <c r="AJ61" i="85" s="1"/>
  <c r="AG61" i="85"/>
  <c r="AH61" i="85" s="1"/>
  <c r="AE61" i="85"/>
  <c r="AF61" i="85" s="1"/>
  <c r="AC61" i="85"/>
  <c r="AD61" i="85" s="1"/>
  <c r="AA61" i="85"/>
  <c r="AB61" i="85" s="1"/>
  <c r="Y61" i="85"/>
  <c r="H61" i="85"/>
  <c r="AT60" i="85"/>
  <c r="AR60" i="85"/>
  <c r="AM60" i="85"/>
  <c r="AN60" i="85" s="1"/>
  <c r="AK60" i="85"/>
  <c r="AL60" i="85" s="1"/>
  <c r="AI60" i="85"/>
  <c r="AJ60" i="85" s="1"/>
  <c r="AG60" i="85"/>
  <c r="AH60" i="85" s="1"/>
  <c r="AE60" i="85"/>
  <c r="AF60" i="85" s="1"/>
  <c r="AC60" i="85"/>
  <c r="AD60" i="85" s="1"/>
  <c r="AA60" i="85"/>
  <c r="AB60" i="85" s="1"/>
  <c r="Y60" i="85"/>
  <c r="H60" i="85"/>
  <c r="AT59" i="85"/>
  <c r="AR59" i="85"/>
  <c r="AM59" i="85"/>
  <c r="AN59" i="85" s="1"/>
  <c r="AK59" i="85"/>
  <c r="AL59" i="85" s="1"/>
  <c r="AI59" i="85"/>
  <c r="AJ59" i="85" s="1"/>
  <c r="AG59" i="85"/>
  <c r="AH59" i="85" s="1"/>
  <c r="AE59" i="85"/>
  <c r="AF59" i="85" s="1"/>
  <c r="AC59" i="85"/>
  <c r="AD59" i="85" s="1"/>
  <c r="AA59" i="85"/>
  <c r="AB59" i="85" s="1"/>
  <c r="Y59" i="85"/>
  <c r="H59" i="85"/>
  <c r="AT58" i="85"/>
  <c r="AR58" i="85"/>
  <c r="AP58" i="85"/>
  <c r="AM58" i="85"/>
  <c r="AN58" i="85" s="1"/>
  <c r="AK58" i="85"/>
  <c r="AL58" i="85" s="1"/>
  <c r="AI58" i="85"/>
  <c r="AJ58" i="85" s="1"/>
  <c r="AG58" i="85"/>
  <c r="AH58" i="85" s="1"/>
  <c r="AE58" i="85"/>
  <c r="AF58" i="85" s="1"/>
  <c r="AC58" i="85"/>
  <c r="AD58" i="85" s="1"/>
  <c r="AA58" i="85"/>
  <c r="AB58" i="85" s="1"/>
  <c r="Y58" i="85"/>
  <c r="H58" i="85"/>
  <c r="AT57" i="85"/>
  <c r="AR57" i="85"/>
  <c r="AM57" i="85"/>
  <c r="AN57" i="85" s="1"/>
  <c r="AK57" i="85"/>
  <c r="AL57" i="85" s="1"/>
  <c r="AI57" i="85"/>
  <c r="AJ57" i="85" s="1"/>
  <c r="AG57" i="85"/>
  <c r="AH57" i="85" s="1"/>
  <c r="AE57" i="85"/>
  <c r="AF57" i="85" s="1"/>
  <c r="AC57" i="85"/>
  <c r="AD57" i="85" s="1"/>
  <c r="AA57" i="85"/>
  <c r="AB57" i="85" s="1"/>
  <c r="Y57" i="85"/>
  <c r="H57" i="85"/>
  <c r="AT56" i="85"/>
  <c r="AR56" i="85"/>
  <c r="AM56" i="85"/>
  <c r="AN56" i="85" s="1"/>
  <c r="AK56" i="85"/>
  <c r="AL56" i="85" s="1"/>
  <c r="AI56" i="85"/>
  <c r="AG56" i="85"/>
  <c r="AH56" i="85" s="1"/>
  <c r="AE56" i="85"/>
  <c r="AF56" i="85" s="1"/>
  <c r="AC56" i="85"/>
  <c r="AD56" i="85" s="1"/>
  <c r="AA56" i="85"/>
  <c r="AB56" i="85" s="1"/>
  <c r="Y56" i="85"/>
  <c r="H56" i="85"/>
  <c r="AT55" i="85"/>
  <c r="AR55" i="85"/>
  <c r="AM55" i="85"/>
  <c r="AN55" i="85" s="1"/>
  <c r="AK55" i="85"/>
  <c r="AL55" i="85" s="1"/>
  <c r="AI55" i="85"/>
  <c r="AJ55" i="85" s="1"/>
  <c r="AG55" i="85"/>
  <c r="AH55" i="85" s="1"/>
  <c r="AE55" i="85"/>
  <c r="AF55" i="85" s="1"/>
  <c r="AC55" i="85"/>
  <c r="AD55" i="85" s="1"/>
  <c r="AA55" i="85"/>
  <c r="AB55" i="85" s="1"/>
  <c r="Y55" i="85"/>
  <c r="H55" i="85"/>
  <c r="AT54" i="85"/>
  <c r="AR54" i="85"/>
  <c r="AM54" i="85"/>
  <c r="AN54" i="85" s="1"/>
  <c r="AK54" i="85"/>
  <c r="AL54" i="85" s="1"/>
  <c r="AI54" i="85"/>
  <c r="AJ54" i="85" s="1"/>
  <c r="AG54" i="85"/>
  <c r="AH54" i="85" s="1"/>
  <c r="AE54" i="85"/>
  <c r="AF54" i="85" s="1"/>
  <c r="AC54" i="85"/>
  <c r="AD54" i="85" s="1"/>
  <c r="AA54" i="85"/>
  <c r="AB54" i="85" s="1"/>
  <c r="Y54" i="85"/>
  <c r="H54" i="85"/>
  <c r="AT53" i="85"/>
  <c r="AR53" i="85"/>
  <c r="AM53" i="85"/>
  <c r="AN53" i="85" s="1"/>
  <c r="AK53" i="85"/>
  <c r="AL53" i="85" s="1"/>
  <c r="AI53" i="85"/>
  <c r="AJ53" i="85" s="1"/>
  <c r="AG53" i="85"/>
  <c r="AH53" i="85" s="1"/>
  <c r="AE53" i="85"/>
  <c r="AC53" i="85"/>
  <c r="AD53" i="85" s="1"/>
  <c r="AA53" i="85"/>
  <c r="AB53" i="85" s="1"/>
  <c r="Y53" i="85"/>
  <c r="H53" i="85"/>
  <c r="AT52" i="85"/>
  <c r="AR52" i="85"/>
  <c r="AP52" i="85"/>
  <c r="AM52" i="85"/>
  <c r="AN52" i="85" s="1"/>
  <c r="AK52" i="85"/>
  <c r="AL52" i="85" s="1"/>
  <c r="AI52" i="85"/>
  <c r="AJ52" i="85" s="1"/>
  <c r="AG52" i="85"/>
  <c r="AH52" i="85" s="1"/>
  <c r="AE52" i="85"/>
  <c r="AF52" i="85" s="1"/>
  <c r="AC52" i="85"/>
  <c r="AD52" i="85" s="1"/>
  <c r="AA52" i="85"/>
  <c r="AB52" i="85" s="1"/>
  <c r="Y52" i="85"/>
  <c r="H52" i="85"/>
  <c r="AT51" i="85"/>
  <c r="AR51" i="85"/>
  <c r="AP51" i="85"/>
  <c r="AM51" i="85"/>
  <c r="AN51" i="85" s="1"/>
  <c r="AK51" i="85"/>
  <c r="AL51" i="85" s="1"/>
  <c r="AI51" i="85"/>
  <c r="AJ51" i="85" s="1"/>
  <c r="AG51" i="85"/>
  <c r="AH51" i="85" s="1"/>
  <c r="AE51" i="85"/>
  <c r="AF51" i="85" s="1"/>
  <c r="AC51" i="85"/>
  <c r="AD51" i="85" s="1"/>
  <c r="AA51" i="85"/>
  <c r="AB51" i="85" s="1"/>
  <c r="Y51" i="85"/>
  <c r="H51" i="85"/>
  <c r="AT50" i="85"/>
  <c r="AR50" i="85"/>
  <c r="AP50" i="85"/>
  <c r="AM50" i="85"/>
  <c r="AN50" i="85" s="1"/>
  <c r="AK50" i="85"/>
  <c r="AL50" i="85" s="1"/>
  <c r="AI50" i="85"/>
  <c r="AJ50" i="85" s="1"/>
  <c r="AG50" i="85"/>
  <c r="AH50" i="85" s="1"/>
  <c r="AE50" i="85"/>
  <c r="AF50" i="85" s="1"/>
  <c r="AC50" i="85"/>
  <c r="AD50" i="85" s="1"/>
  <c r="AA50" i="85"/>
  <c r="AB50" i="85" s="1"/>
  <c r="Y50" i="85"/>
  <c r="H50" i="85"/>
  <c r="AT49" i="85"/>
  <c r="AR49" i="85"/>
  <c r="AP49" i="85"/>
  <c r="AM49" i="85"/>
  <c r="AN49" i="85" s="1"/>
  <c r="AK49" i="85"/>
  <c r="AL49" i="85" s="1"/>
  <c r="AI49" i="85"/>
  <c r="AJ49" i="85" s="1"/>
  <c r="AG49" i="85"/>
  <c r="AH49" i="85" s="1"/>
  <c r="AE49" i="85"/>
  <c r="AF49" i="85" s="1"/>
  <c r="AC49" i="85"/>
  <c r="AD49" i="85" s="1"/>
  <c r="AA49" i="85"/>
  <c r="AB49" i="85" s="1"/>
  <c r="Y49" i="85"/>
  <c r="H49" i="85"/>
  <c r="AT48" i="85"/>
  <c r="AR48" i="85"/>
  <c r="AP48" i="85"/>
  <c r="AM48" i="85"/>
  <c r="AN48" i="85" s="1"/>
  <c r="AK48" i="85"/>
  <c r="AL48" i="85" s="1"/>
  <c r="AI48" i="85"/>
  <c r="AJ48" i="85" s="1"/>
  <c r="AG48" i="85"/>
  <c r="AH48" i="85" s="1"/>
  <c r="AE48" i="85"/>
  <c r="AF48" i="85" s="1"/>
  <c r="AC48" i="85"/>
  <c r="AD48" i="85" s="1"/>
  <c r="AA48" i="85"/>
  <c r="AB48" i="85" s="1"/>
  <c r="Y48" i="85"/>
  <c r="H48" i="85"/>
  <c r="AT47" i="85"/>
  <c r="AR47" i="85"/>
  <c r="AM47" i="85"/>
  <c r="AN47" i="85" s="1"/>
  <c r="AN44" i="85" s="1"/>
  <c r="AK47" i="85"/>
  <c r="AL47" i="85" s="1"/>
  <c r="AL44" i="85" s="1"/>
  <c r="AI47" i="85"/>
  <c r="AJ47" i="85" s="1"/>
  <c r="AG47" i="85"/>
  <c r="AH47" i="85" s="1"/>
  <c r="AH44" i="85" s="1"/>
  <c r="AE47" i="85"/>
  <c r="AF47" i="85" s="1"/>
  <c r="AC47" i="85"/>
  <c r="AD47" i="85" s="1"/>
  <c r="AD44" i="85" s="1"/>
  <c r="AA47" i="85"/>
  <c r="AB47" i="85" s="1"/>
  <c r="AB44" i="85" s="1"/>
  <c r="Y47" i="85"/>
  <c r="H47" i="85"/>
  <c r="AV44" i="85"/>
  <c r="AU44" i="85"/>
  <c r="AT44" i="85"/>
  <c r="AS44" i="85"/>
  <c r="AR44" i="85"/>
  <c r="AQ44" i="85"/>
  <c r="AM44" i="85"/>
  <c r="AK44" i="85"/>
  <c r="AG44" i="85"/>
  <c r="AC44" i="85"/>
  <c r="AA44" i="85"/>
  <c r="Y44" i="85"/>
  <c r="H44" i="85"/>
  <c r="G44" i="85"/>
  <c r="AT43" i="85"/>
  <c r="AR43" i="85"/>
  <c r="AM43" i="85"/>
  <c r="AN43" i="85" s="1"/>
  <c r="AK43" i="85"/>
  <c r="AL43" i="85" s="1"/>
  <c r="AI43" i="85"/>
  <c r="AJ43" i="85" s="1"/>
  <c r="AG43" i="85"/>
  <c r="AH43" i="85" s="1"/>
  <c r="AE43" i="85"/>
  <c r="AF43" i="85" s="1"/>
  <c r="AC43" i="85"/>
  <c r="AD43" i="85" s="1"/>
  <c r="AA43" i="85"/>
  <c r="AB43" i="85" s="1"/>
  <c r="Y43" i="85"/>
  <c r="H43" i="85"/>
  <c r="AT42" i="85"/>
  <c r="AR42" i="85"/>
  <c r="AM42" i="85"/>
  <c r="AN42" i="85" s="1"/>
  <c r="AK42" i="85"/>
  <c r="AL42" i="85" s="1"/>
  <c r="AI42" i="85"/>
  <c r="AJ42" i="85" s="1"/>
  <c r="AG42" i="85"/>
  <c r="AH42" i="85" s="1"/>
  <c r="AE42" i="85"/>
  <c r="AF42" i="85" s="1"/>
  <c r="AC42" i="85"/>
  <c r="AD42" i="85" s="1"/>
  <c r="AA42" i="85"/>
  <c r="AB42" i="85" s="1"/>
  <c r="Y42" i="85"/>
  <c r="H42" i="85"/>
  <c r="AT41" i="85"/>
  <c r="AR41" i="85"/>
  <c r="AM41" i="85"/>
  <c r="AN41" i="85" s="1"/>
  <c r="AK41" i="85"/>
  <c r="AL41" i="85" s="1"/>
  <c r="AI41" i="85"/>
  <c r="AJ41" i="85" s="1"/>
  <c r="AG41" i="85"/>
  <c r="AH41" i="85" s="1"/>
  <c r="AE41" i="85"/>
  <c r="AF41" i="85" s="1"/>
  <c r="AC41" i="85"/>
  <c r="AA41" i="85"/>
  <c r="AB41" i="85" s="1"/>
  <c r="Y41" i="85"/>
  <c r="H41" i="85"/>
  <c r="AT40" i="85"/>
  <c r="AR40" i="85"/>
  <c r="AM40" i="85"/>
  <c r="AN40" i="85" s="1"/>
  <c r="AK40" i="85"/>
  <c r="AL40" i="85" s="1"/>
  <c r="AI40" i="85"/>
  <c r="AG40" i="85"/>
  <c r="AH40" i="85" s="1"/>
  <c r="AE40" i="85"/>
  <c r="AF40" i="85" s="1"/>
  <c r="AC40" i="85"/>
  <c r="AD40" i="85" s="1"/>
  <c r="AA40" i="85"/>
  <c r="AB40" i="85" s="1"/>
  <c r="Y40" i="85"/>
  <c r="H40" i="85"/>
  <c r="AT39" i="85"/>
  <c r="AR39" i="85"/>
  <c r="AM39" i="85"/>
  <c r="AN39" i="85" s="1"/>
  <c r="AN36" i="85" s="1"/>
  <c r="AK39" i="85"/>
  <c r="AL39" i="85" s="1"/>
  <c r="AL36" i="85" s="1"/>
  <c r="AI39" i="85"/>
  <c r="AJ39" i="85" s="1"/>
  <c r="AG39" i="85"/>
  <c r="AH39" i="85" s="1"/>
  <c r="AH36" i="85" s="1"/>
  <c r="AE39" i="85"/>
  <c r="AF39" i="85" s="1"/>
  <c r="AF36" i="85" s="1"/>
  <c r="AC39" i="85"/>
  <c r="AD39" i="85" s="1"/>
  <c r="AA39" i="85"/>
  <c r="AB39" i="85" s="1"/>
  <c r="AB36" i="85" s="1"/>
  <c r="Y39" i="85"/>
  <c r="H39" i="85"/>
  <c r="AX38" i="85"/>
  <c r="AW38" i="85"/>
  <c r="AV36" i="85"/>
  <c r="AU36" i="85"/>
  <c r="AT36" i="85"/>
  <c r="AS36" i="85"/>
  <c r="AR36" i="85"/>
  <c r="AQ36" i="85"/>
  <c r="AM36" i="85"/>
  <c r="AK36" i="85"/>
  <c r="AG36" i="85"/>
  <c r="AE36" i="85"/>
  <c r="AA36" i="85"/>
  <c r="Y36" i="85"/>
  <c r="H36" i="85"/>
  <c r="G36" i="85"/>
  <c r="AT35" i="85"/>
  <c r="AR35" i="85"/>
  <c r="AM35" i="85"/>
  <c r="AK35" i="85"/>
  <c r="AI35" i="85"/>
  <c r="AG35" i="85"/>
  <c r="AE35" i="85"/>
  <c r="AF35" i="85" s="1"/>
  <c r="AC35" i="85"/>
  <c r="AD35" i="85" s="1"/>
  <c r="AA35" i="85"/>
  <c r="AB35" i="85" s="1"/>
  <c r="Y35" i="85"/>
  <c r="H35" i="85"/>
  <c r="AT34" i="85"/>
  <c r="AR34" i="85"/>
  <c r="AM34" i="85"/>
  <c r="AN34" i="85" s="1"/>
  <c r="AK34" i="85"/>
  <c r="AL34" i="85" s="1"/>
  <c r="AI34" i="85"/>
  <c r="AJ34" i="85" s="1"/>
  <c r="AG34" i="85"/>
  <c r="AH34" i="85" s="1"/>
  <c r="AE34" i="85"/>
  <c r="AF34" i="85" s="1"/>
  <c r="AC34" i="85"/>
  <c r="AD34" i="85" s="1"/>
  <c r="AA34" i="85"/>
  <c r="AB34" i="85" s="1"/>
  <c r="Y34" i="85"/>
  <c r="H34" i="85"/>
  <c r="AT33" i="85"/>
  <c r="AR33" i="85"/>
  <c r="AM33" i="85"/>
  <c r="AN33" i="85" s="1"/>
  <c r="AK33" i="85"/>
  <c r="AL33" i="85" s="1"/>
  <c r="AI33" i="85"/>
  <c r="AJ33" i="85" s="1"/>
  <c r="AG33" i="85"/>
  <c r="AH33" i="85" s="1"/>
  <c r="AE33" i="85"/>
  <c r="AF33" i="85" s="1"/>
  <c r="AF30" i="85" s="1"/>
  <c r="AC33" i="85"/>
  <c r="AD33" i="85" s="1"/>
  <c r="AD30" i="85" s="1"/>
  <c r="AA33" i="85"/>
  <c r="AB33" i="85" s="1"/>
  <c r="AB30" i="85" s="1"/>
  <c r="Y33" i="85"/>
  <c r="H33" i="85"/>
  <c r="AV30" i="85"/>
  <c r="AU30" i="85"/>
  <c r="AT30" i="85"/>
  <c r="AS30" i="85"/>
  <c r="AR30" i="85"/>
  <c r="AQ30" i="85"/>
  <c r="AE30" i="85"/>
  <c r="AC30" i="85"/>
  <c r="AA30" i="85"/>
  <c r="Y30" i="85"/>
  <c r="H30" i="85"/>
  <c r="G30" i="85"/>
  <c r="AT29" i="85"/>
  <c r="AR29" i="85"/>
  <c r="AM29" i="85"/>
  <c r="AN29" i="85" s="1"/>
  <c r="AK29" i="85"/>
  <c r="AL29" i="85" s="1"/>
  <c r="AI29" i="85"/>
  <c r="AJ29" i="85" s="1"/>
  <c r="AG29" i="85"/>
  <c r="AH29" i="85" s="1"/>
  <c r="AE29" i="85"/>
  <c r="AF29" i="85" s="1"/>
  <c r="AC29" i="85"/>
  <c r="AD29" i="85" s="1"/>
  <c r="AB29" i="85"/>
  <c r="Y29" i="85"/>
  <c r="H29" i="85"/>
  <c r="AT28" i="85"/>
  <c r="AR28" i="85"/>
  <c r="AM28" i="85"/>
  <c r="AN28" i="85" s="1"/>
  <c r="AK28" i="85"/>
  <c r="AL28" i="85" s="1"/>
  <c r="AI28" i="85"/>
  <c r="AJ28" i="85" s="1"/>
  <c r="AG28" i="85"/>
  <c r="AH28" i="85" s="1"/>
  <c r="AE28" i="85"/>
  <c r="AF28" i="85" s="1"/>
  <c r="AC28" i="85"/>
  <c r="AD28" i="85" s="1"/>
  <c r="AA28" i="85"/>
  <c r="AB28" i="85" s="1"/>
  <c r="Y28" i="85"/>
  <c r="H28" i="85"/>
  <c r="AT27" i="85"/>
  <c r="AR27" i="85"/>
  <c r="AM27" i="85"/>
  <c r="AN27" i="85" s="1"/>
  <c r="AK27" i="85"/>
  <c r="AL27" i="85" s="1"/>
  <c r="AI27" i="85"/>
  <c r="AJ27" i="85" s="1"/>
  <c r="AG27" i="85"/>
  <c r="AH27" i="85" s="1"/>
  <c r="AE27" i="85"/>
  <c r="AF27" i="85" s="1"/>
  <c r="AC27" i="85"/>
  <c r="AD27" i="85" s="1"/>
  <c r="AA27" i="85"/>
  <c r="AB27" i="85" s="1"/>
  <c r="Y27" i="85"/>
  <c r="H27" i="85"/>
  <c r="AX26" i="85"/>
  <c r="AW26" i="85"/>
  <c r="AT25" i="85"/>
  <c r="AR25" i="85"/>
  <c r="AM25" i="85"/>
  <c r="AN25" i="85" s="1"/>
  <c r="AK25" i="85"/>
  <c r="AL25" i="85" s="1"/>
  <c r="AI25" i="85"/>
  <c r="AJ25" i="85" s="1"/>
  <c r="AG25" i="85"/>
  <c r="AH25" i="85" s="1"/>
  <c r="AE25" i="85"/>
  <c r="AF25" i="85" s="1"/>
  <c r="AC25" i="85"/>
  <c r="AD25" i="85" s="1"/>
  <c r="AA25" i="85"/>
  <c r="AB25" i="85" s="1"/>
  <c r="Y25" i="85"/>
  <c r="H25" i="85"/>
  <c r="AT24" i="85"/>
  <c r="AR24" i="85"/>
  <c r="AM24" i="85"/>
  <c r="AN24" i="85" s="1"/>
  <c r="AK24" i="85"/>
  <c r="AL24" i="85" s="1"/>
  <c r="AI24" i="85"/>
  <c r="AJ24" i="85" s="1"/>
  <c r="AG24" i="85"/>
  <c r="AH24" i="85" s="1"/>
  <c r="AE24" i="85"/>
  <c r="AF24" i="85" s="1"/>
  <c r="AC24" i="85"/>
  <c r="AD24" i="85" s="1"/>
  <c r="AA24" i="85"/>
  <c r="AB24" i="85" s="1"/>
  <c r="Y24" i="85"/>
  <c r="H24" i="85"/>
  <c r="AX23" i="85"/>
  <c r="AW23" i="85"/>
  <c r="AT22" i="85"/>
  <c r="AR22" i="85"/>
  <c r="AM22" i="85"/>
  <c r="AN22" i="85" s="1"/>
  <c r="AK22" i="85"/>
  <c r="AL22" i="85" s="1"/>
  <c r="AI22" i="85"/>
  <c r="AJ22" i="85" s="1"/>
  <c r="AG22" i="85"/>
  <c r="AH22" i="85" s="1"/>
  <c r="AE22" i="85"/>
  <c r="AF22" i="85" s="1"/>
  <c r="AC22" i="85"/>
  <c r="AD22" i="85" s="1"/>
  <c r="AA22" i="85"/>
  <c r="AB22" i="85" s="1"/>
  <c r="Y22" i="85"/>
  <c r="H22" i="85"/>
  <c r="AT21" i="85"/>
  <c r="AR21" i="85"/>
  <c r="AM21" i="85"/>
  <c r="AN21" i="85" s="1"/>
  <c r="AK21" i="85"/>
  <c r="AL21" i="85" s="1"/>
  <c r="AI21" i="85"/>
  <c r="AJ21" i="85" s="1"/>
  <c r="AG21" i="85"/>
  <c r="AH21" i="85" s="1"/>
  <c r="AE21" i="85"/>
  <c r="AF21" i="85" s="1"/>
  <c r="AC21" i="85"/>
  <c r="AD21" i="85" s="1"/>
  <c r="AA21" i="85"/>
  <c r="AB21" i="85" s="1"/>
  <c r="Y21" i="85"/>
  <c r="H21" i="85"/>
  <c r="AT20" i="85"/>
  <c r="AR20" i="85"/>
  <c r="AM20" i="85"/>
  <c r="AN20" i="85" s="1"/>
  <c r="AK20" i="85"/>
  <c r="AL20" i="85" s="1"/>
  <c r="AI20" i="85"/>
  <c r="AJ20" i="85" s="1"/>
  <c r="AG20" i="85"/>
  <c r="AH20" i="85" s="1"/>
  <c r="AE20" i="85"/>
  <c r="AF20" i="85" s="1"/>
  <c r="AC20" i="85"/>
  <c r="AD20" i="85" s="1"/>
  <c r="AA20" i="85"/>
  <c r="AB20" i="85" s="1"/>
  <c r="Y20" i="85"/>
  <c r="H20" i="85"/>
  <c r="AT19" i="85"/>
  <c r="AR19" i="85"/>
  <c r="AM19" i="85"/>
  <c r="AN19" i="85" s="1"/>
  <c r="AK19" i="85"/>
  <c r="AL19" i="85" s="1"/>
  <c r="AI19" i="85"/>
  <c r="AJ19" i="85" s="1"/>
  <c r="AG19" i="85"/>
  <c r="AH19" i="85" s="1"/>
  <c r="AE19" i="85"/>
  <c r="AF19" i="85" s="1"/>
  <c r="AC19" i="85"/>
  <c r="AD19" i="85" s="1"/>
  <c r="AA19" i="85"/>
  <c r="AB19" i="85" s="1"/>
  <c r="Y19" i="85"/>
  <c r="H19" i="85"/>
  <c r="AX18" i="85"/>
  <c r="AW18" i="85"/>
  <c r="L18" i="85"/>
  <c r="AT16" i="85"/>
  <c r="AR16" i="85"/>
  <c r="AM16" i="85"/>
  <c r="AN16" i="85" s="1"/>
  <c r="AK16" i="85"/>
  <c r="AL16" i="85" s="1"/>
  <c r="AI16" i="85"/>
  <c r="AJ16" i="85" s="1"/>
  <c r="AG16" i="85"/>
  <c r="AH16" i="85" s="1"/>
  <c r="AE16" i="85"/>
  <c r="AF16" i="85" s="1"/>
  <c r="AC16" i="85"/>
  <c r="AD16" i="85" s="1"/>
  <c r="AA16" i="85"/>
  <c r="AB16" i="85" s="1"/>
  <c r="Y16" i="85"/>
  <c r="H16" i="85"/>
  <c r="AT15" i="85"/>
  <c r="AR15" i="85"/>
  <c r="AM15" i="85"/>
  <c r="AN15" i="85" s="1"/>
  <c r="AK15" i="85"/>
  <c r="AL15" i="85" s="1"/>
  <c r="AI15" i="85"/>
  <c r="AJ15" i="85" s="1"/>
  <c r="AG15" i="85"/>
  <c r="AH15" i="85" s="1"/>
  <c r="AE15" i="85"/>
  <c r="AF15" i="85" s="1"/>
  <c r="AC15" i="85"/>
  <c r="AD15" i="85" s="1"/>
  <c r="AA15" i="85"/>
  <c r="AB15" i="85" s="1"/>
  <c r="Y15" i="85"/>
  <c r="H15" i="85"/>
  <c r="AX14" i="85"/>
  <c r="AW14" i="85"/>
  <c r="AT13" i="85"/>
  <c r="AR13" i="85"/>
  <c r="AM13" i="85"/>
  <c r="AN13" i="85" s="1"/>
  <c r="AK13" i="85"/>
  <c r="AL13" i="85" s="1"/>
  <c r="AI13" i="85"/>
  <c r="AJ13" i="85" s="1"/>
  <c r="AG13" i="85"/>
  <c r="AH13" i="85" s="1"/>
  <c r="AE13" i="85"/>
  <c r="AF13" i="85" s="1"/>
  <c r="AC13" i="85"/>
  <c r="AD13" i="85" s="1"/>
  <c r="AA13" i="85"/>
  <c r="AB13" i="85" s="1"/>
  <c r="Y13" i="85"/>
  <c r="H13" i="85"/>
  <c r="AT12" i="85"/>
  <c r="AR12" i="85"/>
  <c r="AM12" i="85"/>
  <c r="AN12" i="85" s="1"/>
  <c r="AN10" i="85" s="1"/>
  <c r="AK12" i="85"/>
  <c r="AL12" i="85" s="1"/>
  <c r="AI12" i="85"/>
  <c r="AJ12" i="85" s="1"/>
  <c r="AJ10" i="85" s="1"/>
  <c r="AG12" i="85"/>
  <c r="AH12" i="85" s="1"/>
  <c r="AE12" i="85"/>
  <c r="AF12" i="85" s="1"/>
  <c r="AF10" i="85" s="1"/>
  <c r="AC12" i="85"/>
  <c r="AD12" i="85" s="1"/>
  <c r="AD10" i="85" s="1"/>
  <c r="AA12" i="85"/>
  <c r="AB12" i="85" s="1"/>
  <c r="AB10" i="85" s="1"/>
  <c r="Y12" i="85"/>
  <c r="H12" i="85"/>
  <c r="AX11" i="85"/>
  <c r="AW11" i="85"/>
  <c r="AV10" i="85"/>
  <c r="AU10" i="85"/>
  <c r="AT10" i="85"/>
  <c r="AS10" i="85"/>
  <c r="AR10" i="85"/>
  <c r="AQ10" i="85"/>
  <c r="AM10" i="85"/>
  <c r="AK10" i="85"/>
  <c r="AI10" i="85"/>
  <c r="AG10" i="85"/>
  <c r="AE10" i="85"/>
  <c r="AC10" i="85"/>
  <c r="AA10" i="85"/>
  <c r="Y10" i="85"/>
  <c r="H10" i="85"/>
  <c r="G10" i="85"/>
  <c r="AV9" i="85"/>
  <c r="AV70" i="85" s="1"/>
  <c r="AU9" i="85"/>
  <c r="AU70" i="85" s="1"/>
  <c r="AT9" i="85"/>
  <c r="AT70" i="85" s="1"/>
  <c r="AS9" i="85"/>
  <c r="AS70" i="85" s="1"/>
  <c r="AR9" i="85"/>
  <c r="AR70" i="85" s="1"/>
  <c r="AQ9" i="85"/>
  <c r="AQ70" i="85" s="1"/>
  <c r="H9" i="85"/>
  <c r="G9" i="85"/>
  <c r="G70" i="85" s="1"/>
  <c r="J69" i="84"/>
  <c r="J68" i="84"/>
  <c r="J67" i="84"/>
  <c r="J66" i="84"/>
  <c r="K66" i="84" s="1"/>
  <c r="J65" i="84"/>
  <c r="K65" i="84" s="1"/>
  <c r="J64" i="84"/>
  <c r="K64" i="84" s="1"/>
  <c r="J63" i="84"/>
  <c r="K63" i="84" s="1"/>
  <c r="J62" i="84"/>
  <c r="K62" i="84" s="1"/>
  <c r="J61" i="84"/>
  <c r="K61" i="84" s="1"/>
  <c r="J60" i="84"/>
  <c r="K60" i="84" s="1"/>
  <c r="J59" i="84"/>
  <c r="K59" i="84" s="1"/>
  <c r="J58" i="84"/>
  <c r="K58" i="84" s="1"/>
  <c r="J57" i="84"/>
  <c r="K57" i="84" s="1"/>
  <c r="J56" i="84"/>
  <c r="K56" i="84" s="1"/>
  <c r="J55" i="84"/>
  <c r="K55" i="84" s="1"/>
  <c r="J54" i="84"/>
  <c r="K54" i="84" s="1"/>
  <c r="J53" i="84"/>
  <c r="K53" i="84" s="1"/>
  <c r="J52" i="84"/>
  <c r="K52" i="84" s="1"/>
  <c r="J51" i="84"/>
  <c r="J50" i="84"/>
  <c r="K50" i="84" s="1"/>
  <c r="J49" i="84"/>
  <c r="K49" i="84" s="1"/>
  <c r="J48" i="84"/>
  <c r="K48" i="84" s="1"/>
  <c r="J47" i="84"/>
  <c r="K47" i="84" s="1"/>
  <c r="J43" i="84"/>
  <c r="K43" i="84" s="1"/>
  <c r="J42" i="84"/>
  <c r="K42" i="84" s="1"/>
  <c r="J41" i="84"/>
  <c r="K41" i="84" s="1"/>
  <c r="J40" i="84"/>
  <c r="K40" i="84" s="1"/>
  <c r="J39" i="84"/>
  <c r="K39" i="84" s="1"/>
  <c r="K36" i="84" s="1"/>
  <c r="J36" i="84"/>
  <c r="J35" i="84"/>
  <c r="K35" i="84" s="1"/>
  <c r="J34" i="84"/>
  <c r="K34" i="84" s="1"/>
  <c r="J33" i="84"/>
  <c r="J29" i="84"/>
  <c r="K29" i="84" s="1"/>
  <c r="J28" i="84"/>
  <c r="K28" i="84" s="1"/>
  <c r="J27" i="84"/>
  <c r="K27" i="84" s="1"/>
  <c r="J25" i="84"/>
  <c r="K25" i="84" s="1"/>
  <c r="J24" i="84"/>
  <c r="K24" i="84" s="1"/>
  <c r="J22" i="84"/>
  <c r="K22" i="84" s="1"/>
  <c r="J21" i="84"/>
  <c r="K21" i="84" s="1"/>
  <c r="J20" i="84"/>
  <c r="K20" i="84" s="1"/>
  <c r="J19" i="84"/>
  <c r="K19" i="84" s="1"/>
  <c r="J16" i="84"/>
  <c r="K16" i="84" s="1"/>
  <c r="J15" i="84"/>
  <c r="K15" i="84" s="1"/>
  <c r="J13" i="84"/>
  <c r="K13" i="84" s="1"/>
  <c r="J12" i="84"/>
  <c r="AM68" i="83"/>
  <c r="AM67" i="83"/>
  <c r="AM48" i="83"/>
  <c r="AN48" i="83" s="1"/>
  <c r="AM49" i="83"/>
  <c r="AN49" i="83" s="1"/>
  <c r="AM50" i="83"/>
  <c r="AN50" i="83" s="1"/>
  <c r="AM51" i="83"/>
  <c r="AN51" i="83" s="1"/>
  <c r="AM52" i="83"/>
  <c r="AN52" i="83" s="1"/>
  <c r="AM55" i="83"/>
  <c r="AN55" i="83" s="1"/>
  <c r="AM58" i="83"/>
  <c r="AN58" i="83" s="1"/>
  <c r="AM62" i="83"/>
  <c r="AM65" i="83"/>
  <c r="AN65" i="83" s="1"/>
  <c r="AM66" i="83"/>
  <c r="AM29" i="83"/>
  <c r="AN29" i="83" s="1"/>
  <c r="AK69" i="83"/>
  <c r="AI69" i="83"/>
  <c r="AG69" i="83"/>
  <c r="AE69" i="83"/>
  <c r="AC69" i="83"/>
  <c r="AA69" i="83"/>
  <c r="Y69" i="83"/>
  <c r="AK68" i="83"/>
  <c r="AI68" i="83"/>
  <c r="AG68" i="83"/>
  <c r="AE68" i="83"/>
  <c r="AC68" i="83"/>
  <c r="AA68" i="83"/>
  <c r="Y68" i="83"/>
  <c r="AK67" i="83"/>
  <c r="AI67" i="83"/>
  <c r="AE67" i="83"/>
  <c r="Y67" i="83"/>
  <c r="AT66" i="83"/>
  <c r="AR66" i="83"/>
  <c r="AP66" i="83"/>
  <c r="AN66" i="83"/>
  <c r="AK66" i="83"/>
  <c r="AL66" i="83" s="1"/>
  <c r="AI66" i="83"/>
  <c r="AJ66" i="83" s="1"/>
  <c r="AG66" i="83"/>
  <c r="AH66" i="83" s="1"/>
  <c r="AE66" i="83"/>
  <c r="AF66" i="83" s="1"/>
  <c r="AC66" i="83"/>
  <c r="AD66" i="83" s="1"/>
  <c r="AA66" i="83"/>
  <c r="AB66" i="83" s="1"/>
  <c r="Y66" i="83"/>
  <c r="H66" i="83"/>
  <c r="AT65" i="83"/>
  <c r="AR65" i="83"/>
  <c r="AP65" i="83"/>
  <c r="AK65" i="83"/>
  <c r="AL65" i="83" s="1"/>
  <c r="AI65" i="83"/>
  <c r="AJ65" i="83" s="1"/>
  <c r="AG65" i="83"/>
  <c r="AH65" i="83" s="1"/>
  <c r="AE65" i="83"/>
  <c r="AF65" i="83" s="1"/>
  <c r="AC65" i="83"/>
  <c r="AD65" i="83" s="1"/>
  <c r="AA65" i="83"/>
  <c r="AB65" i="83" s="1"/>
  <c r="Y65" i="83"/>
  <c r="H65" i="83"/>
  <c r="AT64" i="83"/>
  <c r="AR64" i="83"/>
  <c r="AP64" i="83"/>
  <c r="AK64" i="83"/>
  <c r="AL64" i="83" s="1"/>
  <c r="AI64" i="83"/>
  <c r="AJ64" i="83" s="1"/>
  <c r="AG64" i="83"/>
  <c r="AH64" i="83" s="1"/>
  <c r="AE64" i="83"/>
  <c r="AF64" i="83" s="1"/>
  <c r="AC64" i="83"/>
  <c r="AD64" i="83" s="1"/>
  <c r="AA64" i="83"/>
  <c r="AB64" i="83" s="1"/>
  <c r="Y64" i="83"/>
  <c r="H64" i="83"/>
  <c r="AT63" i="83"/>
  <c r="AR63" i="83"/>
  <c r="AP63" i="83"/>
  <c r="AK63" i="83"/>
  <c r="AL63" i="83" s="1"/>
  <c r="AI63" i="83"/>
  <c r="AJ63" i="83" s="1"/>
  <c r="AG63" i="83"/>
  <c r="AH63" i="83" s="1"/>
  <c r="AE63" i="83"/>
  <c r="AF63" i="83" s="1"/>
  <c r="AC63" i="83"/>
  <c r="AD63" i="83" s="1"/>
  <c r="AA63" i="83"/>
  <c r="AB63" i="83" s="1"/>
  <c r="Y63" i="83"/>
  <c r="H63" i="83"/>
  <c r="AT62" i="83"/>
  <c r="AR62" i="83"/>
  <c r="AP62" i="83"/>
  <c r="AN62" i="83"/>
  <c r="AK62" i="83"/>
  <c r="AL62" i="83" s="1"/>
  <c r="AI62" i="83"/>
  <c r="AJ62" i="83" s="1"/>
  <c r="AG62" i="83"/>
  <c r="AH62" i="83" s="1"/>
  <c r="AE62" i="83"/>
  <c r="AF62" i="83" s="1"/>
  <c r="AC62" i="83"/>
  <c r="AD62" i="83" s="1"/>
  <c r="AA62" i="83"/>
  <c r="AB62" i="83" s="1"/>
  <c r="Y62" i="83"/>
  <c r="H62" i="83"/>
  <c r="AT61" i="83"/>
  <c r="AR61" i="83"/>
  <c r="AP61" i="83"/>
  <c r="AK61" i="83"/>
  <c r="AL61" i="83" s="1"/>
  <c r="AI61" i="83"/>
  <c r="AJ61" i="83" s="1"/>
  <c r="AG61" i="83"/>
  <c r="AH61" i="83" s="1"/>
  <c r="AE61" i="83"/>
  <c r="AF61" i="83" s="1"/>
  <c r="AC61" i="83"/>
  <c r="AD61" i="83" s="1"/>
  <c r="AA61" i="83"/>
  <c r="AB61" i="83" s="1"/>
  <c r="Y61" i="83"/>
  <c r="H61" i="83"/>
  <c r="AT60" i="83"/>
  <c r="AR60" i="83"/>
  <c r="AP60" i="83"/>
  <c r="AK60" i="83"/>
  <c r="AL60" i="83" s="1"/>
  <c r="AI60" i="83"/>
  <c r="AJ60" i="83" s="1"/>
  <c r="AG60" i="83"/>
  <c r="AH60" i="83" s="1"/>
  <c r="AE60" i="83"/>
  <c r="AF60" i="83" s="1"/>
  <c r="AC60" i="83"/>
  <c r="AD60" i="83" s="1"/>
  <c r="AA60" i="83"/>
  <c r="AB60" i="83" s="1"/>
  <c r="Y60" i="83"/>
  <c r="H60" i="83"/>
  <c r="AT59" i="83"/>
  <c r="AR59" i="83"/>
  <c r="AP59" i="83"/>
  <c r="AK59" i="83"/>
  <c r="AI59" i="83"/>
  <c r="AG59" i="83"/>
  <c r="AE59" i="83"/>
  <c r="AC59" i="83"/>
  <c r="AA59" i="83"/>
  <c r="AB59" i="83" s="1"/>
  <c r="Y59" i="83"/>
  <c r="H59" i="83"/>
  <c r="AT58" i="83"/>
  <c r="AR58" i="83"/>
  <c r="AP58" i="83"/>
  <c r="AK58" i="83"/>
  <c r="AL58" i="83" s="1"/>
  <c r="AI58" i="83"/>
  <c r="AJ58" i="83" s="1"/>
  <c r="AG58" i="83"/>
  <c r="AH58" i="83" s="1"/>
  <c r="AE58" i="83"/>
  <c r="AF58" i="83" s="1"/>
  <c r="AC58" i="83"/>
  <c r="AD58" i="83" s="1"/>
  <c r="AA58" i="83"/>
  <c r="AB58" i="83" s="1"/>
  <c r="Y58" i="83"/>
  <c r="H58" i="83"/>
  <c r="AT57" i="83"/>
  <c r="AR57" i="83"/>
  <c r="AP57" i="83"/>
  <c r="AK57" i="83"/>
  <c r="AL57" i="83" s="1"/>
  <c r="AI57" i="83"/>
  <c r="AJ57" i="83" s="1"/>
  <c r="AG57" i="83"/>
  <c r="AH57" i="83" s="1"/>
  <c r="AE57" i="83"/>
  <c r="AF57" i="83" s="1"/>
  <c r="AC57" i="83"/>
  <c r="AD57" i="83" s="1"/>
  <c r="AA57" i="83"/>
  <c r="AB57" i="83" s="1"/>
  <c r="Y57" i="83"/>
  <c r="H57" i="83"/>
  <c r="AT56" i="83"/>
  <c r="AR56" i="83"/>
  <c r="AP56" i="83"/>
  <c r="AK56" i="83"/>
  <c r="AL56" i="83" s="1"/>
  <c r="AI56" i="83"/>
  <c r="AJ56" i="83" s="1"/>
  <c r="AG56" i="83"/>
  <c r="AH56" i="83" s="1"/>
  <c r="AE56" i="83"/>
  <c r="AF56" i="83" s="1"/>
  <c r="AC56" i="83"/>
  <c r="AD56" i="83" s="1"/>
  <c r="AA56" i="83"/>
  <c r="Y56" i="83"/>
  <c r="H56" i="83"/>
  <c r="AT55" i="83"/>
  <c r="AR55" i="83"/>
  <c r="AP55" i="83"/>
  <c r="AK55" i="83"/>
  <c r="AL55" i="83" s="1"/>
  <c r="AI55" i="83"/>
  <c r="AJ55" i="83" s="1"/>
  <c r="AG55" i="83"/>
  <c r="AH55" i="83" s="1"/>
  <c r="AE55" i="83"/>
  <c r="AF55" i="83" s="1"/>
  <c r="AC55" i="83"/>
  <c r="AD55" i="83" s="1"/>
  <c r="AA55" i="83"/>
  <c r="AB55" i="83" s="1"/>
  <c r="Y55" i="83"/>
  <c r="H55" i="83"/>
  <c r="AT54" i="83"/>
  <c r="AR54" i="83"/>
  <c r="AP54" i="83"/>
  <c r="AK54" i="83"/>
  <c r="AL54" i="83" s="1"/>
  <c r="AI54" i="83"/>
  <c r="AJ54" i="83" s="1"/>
  <c r="AG54" i="83"/>
  <c r="AH54" i="83" s="1"/>
  <c r="AE54" i="83"/>
  <c r="AF54" i="83" s="1"/>
  <c r="AC54" i="83"/>
  <c r="AD54" i="83" s="1"/>
  <c r="AA54" i="83"/>
  <c r="AB54" i="83" s="1"/>
  <c r="Y54" i="83"/>
  <c r="H54" i="83"/>
  <c r="AT53" i="83"/>
  <c r="AR53" i="83"/>
  <c r="AP53" i="83"/>
  <c r="AK53" i="83"/>
  <c r="AL53" i="83" s="1"/>
  <c r="AI53" i="83"/>
  <c r="AJ53" i="83" s="1"/>
  <c r="AG53" i="83"/>
  <c r="AH53" i="83" s="1"/>
  <c r="AE53" i="83"/>
  <c r="AF53" i="83" s="1"/>
  <c r="AC53" i="83"/>
  <c r="AD53" i="83" s="1"/>
  <c r="AA53" i="83"/>
  <c r="AB53" i="83" s="1"/>
  <c r="Y53" i="83"/>
  <c r="H53" i="83"/>
  <c r="AT52" i="83"/>
  <c r="AR52" i="83"/>
  <c r="AP52" i="83"/>
  <c r="AK52" i="83"/>
  <c r="AL52" i="83" s="1"/>
  <c r="AI52" i="83"/>
  <c r="AJ52" i="83" s="1"/>
  <c r="AG52" i="83"/>
  <c r="AH52" i="83" s="1"/>
  <c r="AE52" i="83"/>
  <c r="AF52" i="83" s="1"/>
  <c r="AC52" i="83"/>
  <c r="AD52" i="83" s="1"/>
  <c r="AA52" i="83"/>
  <c r="AB52" i="83" s="1"/>
  <c r="Y52" i="83"/>
  <c r="H52" i="83"/>
  <c r="AT51" i="83"/>
  <c r="AR51" i="83"/>
  <c r="AP51" i="83"/>
  <c r="AK51" i="83"/>
  <c r="AL51" i="83" s="1"/>
  <c r="AI51" i="83"/>
  <c r="AJ51" i="83" s="1"/>
  <c r="AG51" i="83"/>
  <c r="AH51" i="83" s="1"/>
  <c r="AE51" i="83"/>
  <c r="AF51" i="83" s="1"/>
  <c r="AC51" i="83"/>
  <c r="AD51" i="83" s="1"/>
  <c r="AA51" i="83"/>
  <c r="AB51" i="83" s="1"/>
  <c r="Y51" i="83"/>
  <c r="H51" i="83"/>
  <c r="AT50" i="83"/>
  <c r="AR50" i="83"/>
  <c r="AP50" i="83"/>
  <c r="AK50" i="83"/>
  <c r="AL50" i="83" s="1"/>
  <c r="AI50" i="83"/>
  <c r="AJ50" i="83" s="1"/>
  <c r="AG50" i="83"/>
  <c r="AH50" i="83" s="1"/>
  <c r="AE50" i="83"/>
  <c r="AF50" i="83" s="1"/>
  <c r="AC50" i="83"/>
  <c r="AD50" i="83" s="1"/>
  <c r="AA50" i="83"/>
  <c r="AB50" i="83" s="1"/>
  <c r="Y50" i="83"/>
  <c r="H50" i="83"/>
  <c r="AT49" i="83"/>
  <c r="AR49" i="83"/>
  <c r="AP49" i="83"/>
  <c r="AK49" i="83"/>
  <c r="AL49" i="83" s="1"/>
  <c r="AI49" i="83"/>
  <c r="AJ49" i="83" s="1"/>
  <c r="AG49" i="83"/>
  <c r="AH49" i="83" s="1"/>
  <c r="AE49" i="83"/>
  <c r="AF49" i="83" s="1"/>
  <c r="AC49" i="83"/>
  <c r="AD49" i="83" s="1"/>
  <c r="AA49" i="83"/>
  <c r="AB49" i="83" s="1"/>
  <c r="Y49" i="83"/>
  <c r="H49" i="83"/>
  <c r="AT48" i="83"/>
  <c r="AR48" i="83"/>
  <c r="AP48" i="83"/>
  <c r="AK48" i="83"/>
  <c r="AL48" i="83" s="1"/>
  <c r="AI48" i="83"/>
  <c r="AJ48" i="83" s="1"/>
  <c r="AG48" i="83"/>
  <c r="AH48" i="83" s="1"/>
  <c r="AE48" i="83"/>
  <c r="AF48" i="83" s="1"/>
  <c r="AC48" i="83"/>
  <c r="AD48" i="83" s="1"/>
  <c r="AA48" i="83"/>
  <c r="AB48" i="83" s="1"/>
  <c r="Y48" i="83"/>
  <c r="H48" i="83"/>
  <c r="AT47" i="83"/>
  <c r="AR47" i="83"/>
  <c r="AP47" i="83"/>
  <c r="AK47" i="83"/>
  <c r="AL47" i="83" s="1"/>
  <c r="AI47" i="83"/>
  <c r="AJ47" i="83" s="1"/>
  <c r="AG47" i="83"/>
  <c r="AH47" i="83" s="1"/>
  <c r="AE47" i="83"/>
  <c r="AF47" i="83" s="1"/>
  <c r="AC47" i="83"/>
  <c r="AD47" i="83" s="1"/>
  <c r="AA47" i="83"/>
  <c r="AB47" i="83" s="1"/>
  <c r="Y47" i="83"/>
  <c r="H47" i="83"/>
  <c r="AV44" i="83"/>
  <c r="AU44" i="83"/>
  <c r="AT44" i="83"/>
  <c r="AS44" i="83"/>
  <c r="AR44" i="83"/>
  <c r="AQ44" i="83"/>
  <c r="AP44" i="83"/>
  <c r="AO44" i="83"/>
  <c r="H44" i="83"/>
  <c r="G44" i="83"/>
  <c r="AT43" i="83"/>
  <c r="AR43" i="83"/>
  <c r="AP43" i="83"/>
  <c r="AK43" i="83"/>
  <c r="AL43" i="83" s="1"/>
  <c r="AI43" i="83"/>
  <c r="AJ43" i="83" s="1"/>
  <c r="AG43" i="83"/>
  <c r="AH43" i="83" s="1"/>
  <c r="AE43" i="83"/>
  <c r="AF43" i="83" s="1"/>
  <c r="AC43" i="83"/>
  <c r="AD43" i="83" s="1"/>
  <c r="AA43" i="83"/>
  <c r="AB43" i="83" s="1"/>
  <c r="Y43" i="83"/>
  <c r="H43" i="83"/>
  <c r="AT42" i="83"/>
  <c r="AR42" i="83"/>
  <c r="AP42" i="83"/>
  <c r="AK42" i="83"/>
  <c r="AL42" i="83" s="1"/>
  <c r="AI42" i="83"/>
  <c r="AJ42" i="83" s="1"/>
  <c r="AG42" i="83"/>
  <c r="AH42" i="83" s="1"/>
  <c r="AE42" i="83"/>
  <c r="AF42" i="83" s="1"/>
  <c r="AC42" i="83"/>
  <c r="AD42" i="83" s="1"/>
  <c r="AA42" i="83"/>
  <c r="AB42" i="83" s="1"/>
  <c r="Y42" i="83"/>
  <c r="H42" i="83"/>
  <c r="AT41" i="83"/>
  <c r="AR41" i="83"/>
  <c r="AP41" i="83"/>
  <c r="AK41" i="83"/>
  <c r="AL41" i="83" s="1"/>
  <c r="AI41" i="83"/>
  <c r="AJ41" i="83" s="1"/>
  <c r="AG41" i="83"/>
  <c r="AH41" i="83" s="1"/>
  <c r="AE41" i="83"/>
  <c r="AF41" i="83" s="1"/>
  <c r="AC41" i="83"/>
  <c r="AD41" i="83" s="1"/>
  <c r="AA41" i="83"/>
  <c r="AB41" i="83" s="1"/>
  <c r="Y41" i="83"/>
  <c r="H41" i="83"/>
  <c r="AT40" i="83"/>
  <c r="AR40" i="83"/>
  <c r="AP40" i="83"/>
  <c r="AK40" i="83"/>
  <c r="AL40" i="83" s="1"/>
  <c r="AI40" i="83"/>
  <c r="AJ40" i="83" s="1"/>
  <c r="AG40" i="83"/>
  <c r="AH40" i="83" s="1"/>
  <c r="AE40" i="83"/>
  <c r="AF40" i="83" s="1"/>
  <c r="AC40" i="83"/>
  <c r="AD40" i="83" s="1"/>
  <c r="AA40" i="83"/>
  <c r="AB40" i="83" s="1"/>
  <c r="Y40" i="83"/>
  <c r="H40" i="83"/>
  <c r="AT39" i="83"/>
  <c r="AR39" i="83"/>
  <c r="AP39" i="83"/>
  <c r="AK39" i="83"/>
  <c r="AL39" i="83" s="1"/>
  <c r="AL36" i="83" s="1"/>
  <c r="AI39" i="83"/>
  <c r="AJ39" i="83" s="1"/>
  <c r="AG39" i="83"/>
  <c r="AH39" i="83" s="1"/>
  <c r="AH36" i="83" s="1"/>
  <c r="AE39" i="83"/>
  <c r="AF39" i="83" s="1"/>
  <c r="AF36" i="83" s="1"/>
  <c r="AC39" i="83"/>
  <c r="AD39" i="83" s="1"/>
  <c r="AD36" i="83" s="1"/>
  <c r="AA39" i="83"/>
  <c r="AB39" i="83" s="1"/>
  <c r="AB36" i="83" s="1"/>
  <c r="Y39" i="83"/>
  <c r="H39" i="83"/>
  <c r="AX38" i="83"/>
  <c r="AW38" i="83"/>
  <c r="AV36" i="83"/>
  <c r="AU36" i="83"/>
  <c r="AT36" i="83"/>
  <c r="AS36" i="83"/>
  <c r="AR36" i="83"/>
  <c r="AQ36" i="83"/>
  <c r="AP36" i="83"/>
  <c r="AO36" i="83"/>
  <c r="AK36" i="83"/>
  <c r="AI36" i="83"/>
  <c r="AG36" i="83"/>
  <c r="AE36" i="83"/>
  <c r="AC36" i="83"/>
  <c r="AA36" i="83"/>
  <c r="Y36" i="83"/>
  <c r="H36" i="83"/>
  <c r="G36" i="83"/>
  <c r="AT35" i="83"/>
  <c r="AR35" i="83"/>
  <c r="AP35" i="83"/>
  <c r="AK35" i="83"/>
  <c r="AL35" i="83" s="1"/>
  <c r="AI35" i="83"/>
  <c r="AJ35" i="83" s="1"/>
  <c r="AG35" i="83"/>
  <c r="AH35" i="83" s="1"/>
  <c r="AE35" i="83"/>
  <c r="AF35" i="83" s="1"/>
  <c r="AC35" i="83"/>
  <c r="AD35" i="83" s="1"/>
  <c r="AA35" i="83"/>
  <c r="AB35" i="83" s="1"/>
  <c r="Y35" i="83"/>
  <c r="H35" i="83"/>
  <c r="AT34" i="83"/>
  <c r="AR34" i="83"/>
  <c r="AP34" i="83"/>
  <c r="AK34" i="83"/>
  <c r="AL34" i="83" s="1"/>
  <c r="AI34" i="83"/>
  <c r="AJ34" i="83" s="1"/>
  <c r="AG34" i="83"/>
  <c r="AH34" i="83" s="1"/>
  <c r="AE34" i="83"/>
  <c r="AF34" i="83" s="1"/>
  <c r="AC34" i="83"/>
  <c r="AD34" i="83" s="1"/>
  <c r="AA34" i="83"/>
  <c r="AB34" i="83" s="1"/>
  <c r="Y34" i="83"/>
  <c r="H34" i="83"/>
  <c r="AT33" i="83"/>
  <c r="AR33" i="83"/>
  <c r="AP33" i="83"/>
  <c r="AK33" i="83"/>
  <c r="AI33" i="83"/>
  <c r="AG33" i="83"/>
  <c r="AE33" i="83"/>
  <c r="AC33" i="83"/>
  <c r="AA33" i="83"/>
  <c r="Y33" i="83"/>
  <c r="Y30" i="83" s="1"/>
  <c r="H33" i="83"/>
  <c r="AV30" i="83"/>
  <c r="AU30" i="83"/>
  <c r="AT30" i="83"/>
  <c r="AS30" i="83"/>
  <c r="AR30" i="83"/>
  <c r="AQ30" i="83"/>
  <c r="AP30" i="83"/>
  <c r="AO30" i="83"/>
  <c r="H30" i="83"/>
  <c r="G30" i="83"/>
  <c r="AT29" i="83"/>
  <c r="AR29" i="83"/>
  <c r="AP29" i="83"/>
  <c r="AK29" i="83"/>
  <c r="AL29" i="83" s="1"/>
  <c r="AI29" i="83"/>
  <c r="AJ29" i="83" s="1"/>
  <c r="AG29" i="83"/>
  <c r="AH29" i="83" s="1"/>
  <c r="AE29" i="83"/>
  <c r="AF29" i="83" s="1"/>
  <c r="AC29" i="83"/>
  <c r="AD29" i="83" s="1"/>
  <c r="AB29" i="83"/>
  <c r="Y29" i="83"/>
  <c r="H29" i="83"/>
  <c r="AT28" i="83"/>
  <c r="AR28" i="83"/>
  <c r="AP28" i="83"/>
  <c r="AK28" i="83"/>
  <c r="AL28" i="83" s="1"/>
  <c r="AI28" i="83"/>
  <c r="AJ28" i="83" s="1"/>
  <c r="AG28" i="83"/>
  <c r="AH28" i="83" s="1"/>
  <c r="AE28" i="83"/>
  <c r="AF28" i="83" s="1"/>
  <c r="AC28" i="83"/>
  <c r="AD28" i="83" s="1"/>
  <c r="AA28" i="83"/>
  <c r="AB28" i="83" s="1"/>
  <c r="Y28" i="83"/>
  <c r="H28" i="83"/>
  <c r="AT27" i="83"/>
  <c r="AR27" i="83"/>
  <c r="AP27" i="83"/>
  <c r="AK27" i="83"/>
  <c r="AL27" i="83" s="1"/>
  <c r="AI27" i="83"/>
  <c r="AJ27" i="83" s="1"/>
  <c r="AG27" i="83"/>
  <c r="AH27" i="83" s="1"/>
  <c r="AE27" i="83"/>
  <c r="AF27" i="83" s="1"/>
  <c r="AC27" i="83"/>
  <c r="AD27" i="83" s="1"/>
  <c r="AA27" i="83"/>
  <c r="AB27" i="83" s="1"/>
  <c r="Y27" i="83"/>
  <c r="H27" i="83"/>
  <c r="AX26" i="83"/>
  <c r="AW26" i="83"/>
  <c r="AT25" i="83"/>
  <c r="AR25" i="83"/>
  <c r="AP25" i="83"/>
  <c r="AK25" i="83"/>
  <c r="AL25" i="83" s="1"/>
  <c r="AI25" i="83"/>
  <c r="AJ25" i="83" s="1"/>
  <c r="AG25" i="83"/>
  <c r="AH25" i="83" s="1"/>
  <c r="AE25" i="83"/>
  <c r="AF25" i="83" s="1"/>
  <c r="AC25" i="83"/>
  <c r="AD25" i="83" s="1"/>
  <c r="AA25" i="83"/>
  <c r="AB25" i="83" s="1"/>
  <c r="Y25" i="83"/>
  <c r="H25" i="83"/>
  <c r="AT24" i="83"/>
  <c r="AR24" i="83"/>
  <c r="AP24" i="83"/>
  <c r="AK24" i="83"/>
  <c r="AL24" i="83" s="1"/>
  <c r="AI24" i="83"/>
  <c r="AJ24" i="83" s="1"/>
  <c r="AG24" i="83"/>
  <c r="AH24" i="83" s="1"/>
  <c r="AE24" i="83"/>
  <c r="AF24" i="83" s="1"/>
  <c r="AC24" i="83"/>
  <c r="AA24" i="83"/>
  <c r="Y24" i="83"/>
  <c r="H24" i="83"/>
  <c r="AX23" i="83"/>
  <c r="AW23" i="83"/>
  <c r="AT22" i="83"/>
  <c r="AR22" i="83"/>
  <c r="AP22" i="83"/>
  <c r="AK22" i="83"/>
  <c r="AI22" i="83"/>
  <c r="AG22" i="83"/>
  <c r="AE22" i="83"/>
  <c r="AC22" i="83"/>
  <c r="AD22" i="83" s="1"/>
  <c r="AA22" i="83"/>
  <c r="AB22" i="83" s="1"/>
  <c r="Y22" i="83"/>
  <c r="H22" i="83"/>
  <c r="AT21" i="83"/>
  <c r="AR21" i="83"/>
  <c r="AP21" i="83"/>
  <c r="AK21" i="83"/>
  <c r="AL21" i="83" s="1"/>
  <c r="AI21" i="83"/>
  <c r="AJ21" i="83" s="1"/>
  <c r="AG21" i="83"/>
  <c r="AH21" i="83" s="1"/>
  <c r="AE21" i="83"/>
  <c r="AF21" i="83" s="1"/>
  <c r="AC21" i="83"/>
  <c r="AD21" i="83" s="1"/>
  <c r="AA21" i="83"/>
  <c r="AB21" i="83" s="1"/>
  <c r="Y21" i="83"/>
  <c r="H21" i="83"/>
  <c r="AT20" i="83"/>
  <c r="AR20" i="83"/>
  <c r="AP20" i="83"/>
  <c r="AK20" i="83"/>
  <c r="AL20" i="83" s="1"/>
  <c r="AI20" i="83"/>
  <c r="AJ20" i="83" s="1"/>
  <c r="AG20" i="83"/>
  <c r="AH20" i="83" s="1"/>
  <c r="AE20" i="83"/>
  <c r="AF20" i="83" s="1"/>
  <c r="AC20" i="83"/>
  <c r="AD20" i="83" s="1"/>
  <c r="AA20" i="83"/>
  <c r="AB20" i="83" s="1"/>
  <c r="Y20" i="83"/>
  <c r="H20" i="83"/>
  <c r="AT19" i="83"/>
  <c r="AR19" i="83"/>
  <c r="AP19" i="83"/>
  <c r="AK19" i="83"/>
  <c r="AL19" i="83" s="1"/>
  <c r="AI19" i="83"/>
  <c r="AJ19" i="83" s="1"/>
  <c r="AG19" i="83"/>
  <c r="AH19" i="83" s="1"/>
  <c r="AE19" i="83"/>
  <c r="AF19" i="83" s="1"/>
  <c r="AC19" i="83"/>
  <c r="AD19" i="83" s="1"/>
  <c r="AA19" i="83"/>
  <c r="AB19" i="83" s="1"/>
  <c r="Y19" i="83"/>
  <c r="H19" i="83"/>
  <c r="AX18" i="83"/>
  <c r="AW18" i="83"/>
  <c r="L18" i="83"/>
  <c r="AT16" i="83"/>
  <c r="AR16" i="83"/>
  <c r="AP16" i="83"/>
  <c r="AK16" i="83"/>
  <c r="AL16" i="83" s="1"/>
  <c r="AI16" i="83"/>
  <c r="AJ16" i="83" s="1"/>
  <c r="AG16" i="83"/>
  <c r="AH16" i="83" s="1"/>
  <c r="AE16" i="83"/>
  <c r="AF16" i="83" s="1"/>
  <c r="AC16" i="83"/>
  <c r="AD16" i="83" s="1"/>
  <c r="AA16" i="83"/>
  <c r="AB16" i="83" s="1"/>
  <c r="Y16" i="83"/>
  <c r="H16" i="83"/>
  <c r="AT15" i="83"/>
  <c r="AR15" i="83"/>
  <c r="AP15" i="83"/>
  <c r="AK15" i="83"/>
  <c r="AL15" i="83" s="1"/>
  <c r="AI15" i="83"/>
  <c r="AJ15" i="83" s="1"/>
  <c r="AG15" i="83"/>
  <c r="AH15" i="83" s="1"/>
  <c r="AE15" i="83"/>
  <c r="AF15" i="83" s="1"/>
  <c r="AC15" i="83"/>
  <c r="AD15" i="83" s="1"/>
  <c r="AA15" i="83"/>
  <c r="AB15" i="83" s="1"/>
  <c r="Y15" i="83"/>
  <c r="H15" i="83"/>
  <c r="AX14" i="83"/>
  <c r="AW14" i="83"/>
  <c r="AT13" i="83"/>
  <c r="AR13" i="83"/>
  <c r="AP13" i="83"/>
  <c r="AK13" i="83"/>
  <c r="AL13" i="83" s="1"/>
  <c r="AI13" i="83"/>
  <c r="AJ13" i="83" s="1"/>
  <c r="AG13" i="83"/>
  <c r="AH13" i="83" s="1"/>
  <c r="AE13" i="83"/>
  <c r="AF13" i="83" s="1"/>
  <c r="AC13" i="83"/>
  <c r="AD13" i="83" s="1"/>
  <c r="AA13" i="83"/>
  <c r="AB13" i="83" s="1"/>
  <c r="Y13" i="83"/>
  <c r="H13" i="83"/>
  <c r="AT12" i="83"/>
  <c r="AR12" i="83"/>
  <c r="AP12" i="83"/>
  <c r="AK12" i="83"/>
  <c r="AL12" i="83" s="1"/>
  <c r="AI12" i="83"/>
  <c r="AJ12" i="83" s="1"/>
  <c r="AG12" i="83"/>
  <c r="AH12" i="83" s="1"/>
  <c r="AE12" i="83"/>
  <c r="AF12" i="83" s="1"/>
  <c r="AC12" i="83"/>
  <c r="AD12" i="83" s="1"/>
  <c r="AA12" i="83"/>
  <c r="AB12" i="83" s="1"/>
  <c r="Y12" i="83"/>
  <c r="H12" i="83"/>
  <c r="AX11" i="83"/>
  <c r="AW11" i="83"/>
  <c r="AV10" i="83"/>
  <c r="AU10" i="83"/>
  <c r="AT10" i="83"/>
  <c r="AS10" i="83"/>
  <c r="AR10" i="83"/>
  <c r="AQ10" i="83"/>
  <c r="AP10" i="83"/>
  <c r="AO10" i="83"/>
  <c r="H10" i="83"/>
  <c r="G10" i="83"/>
  <c r="AV9" i="83"/>
  <c r="AV70" i="83" s="1"/>
  <c r="AU9" i="83"/>
  <c r="AU70" i="83" s="1"/>
  <c r="AT9" i="83"/>
  <c r="AT70" i="83" s="1"/>
  <c r="AS9" i="83"/>
  <c r="AS70" i="83" s="1"/>
  <c r="AR9" i="83"/>
  <c r="AR70" i="83" s="1"/>
  <c r="AQ9" i="83"/>
  <c r="AQ70" i="83" s="1"/>
  <c r="AP9" i="83"/>
  <c r="AP70" i="83" s="1"/>
  <c r="AO9" i="83"/>
  <c r="AO70" i="83" s="1"/>
  <c r="H9" i="83"/>
  <c r="G9" i="83"/>
  <c r="G70" i="83" s="1"/>
  <c r="J69" i="82"/>
  <c r="J68" i="82"/>
  <c r="J67" i="82"/>
  <c r="J66" i="82"/>
  <c r="K66" i="82" s="1"/>
  <c r="J65" i="82"/>
  <c r="K65" i="82" s="1"/>
  <c r="J64" i="82"/>
  <c r="K64" i="82" s="1"/>
  <c r="J63" i="82"/>
  <c r="K63" i="82" s="1"/>
  <c r="J62" i="82"/>
  <c r="K62" i="82" s="1"/>
  <c r="J61" i="82"/>
  <c r="K61" i="82" s="1"/>
  <c r="J60" i="82"/>
  <c r="K60" i="82" s="1"/>
  <c r="J59" i="82"/>
  <c r="K59" i="82" s="1"/>
  <c r="J58" i="82"/>
  <c r="K58" i="82" s="1"/>
  <c r="J57" i="82"/>
  <c r="K57" i="82" s="1"/>
  <c r="J56" i="82"/>
  <c r="K56" i="82" s="1"/>
  <c r="J55" i="82"/>
  <c r="K55" i="82" s="1"/>
  <c r="J54" i="82"/>
  <c r="K54" i="82" s="1"/>
  <c r="J53" i="82"/>
  <c r="K53" i="82" s="1"/>
  <c r="J52" i="82"/>
  <c r="K52" i="82" s="1"/>
  <c r="J51" i="82"/>
  <c r="K51" i="82" s="1"/>
  <c r="J50" i="82"/>
  <c r="K50" i="82" s="1"/>
  <c r="J49" i="82"/>
  <c r="K49" i="82" s="1"/>
  <c r="J48" i="82"/>
  <c r="K48" i="82" s="1"/>
  <c r="J47" i="82"/>
  <c r="J43" i="82"/>
  <c r="K43" i="82" s="1"/>
  <c r="J42" i="82"/>
  <c r="K42" i="82" s="1"/>
  <c r="J41" i="82"/>
  <c r="K41" i="82" s="1"/>
  <c r="J40" i="82"/>
  <c r="K40" i="82" s="1"/>
  <c r="J39" i="82"/>
  <c r="J35" i="82"/>
  <c r="K35" i="82" s="1"/>
  <c r="J34" i="82"/>
  <c r="K34" i="82" s="1"/>
  <c r="J33" i="82"/>
  <c r="J29" i="82"/>
  <c r="K29" i="82" s="1"/>
  <c r="J28" i="82"/>
  <c r="K28" i="82" s="1"/>
  <c r="J27" i="82"/>
  <c r="K27" i="82" s="1"/>
  <c r="J25" i="82"/>
  <c r="K25" i="82" s="1"/>
  <c r="J24" i="82"/>
  <c r="K24" i="82" s="1"/>
  <c r="J22" i="82"/>
  <c r="K22" i="82" s="1"/>
  <c r="J21" i="82"/>
  <c r="K21" i="82" s="1"/>
  <c r="J20" i="82"/>
  <c r="K20" i="82" s="1"/>
  <c r="J19" i="82"/>
  <c r="K19" i="82" s="1"/>
  <c r="J16" i="82"/>
  <c r="K16" i="82" s="1"/>
  <c r="J15" i="82"/>
  <c r="K15" i="82" s="1"/>
  <c r="J13" i="82"/>
  <c r="K13" i="82" s="1"/>
  <c r="J12" i="82"/>
  <c r="AK67" i="81"/>
  <c r="AK48" i="81"/>
  <c r="AK49" i="81"/>
  <c r="AK50" i="81"/>
  <c r="AK52" i="81"/>
  <c r="AL52" i="81" s="1"/>
  <c r="AK53" i="81"/>
  <c r="AK64" i="81"/>
  <c r="AL64" i="81" s="1"/>
  <c r="AK66" i="81"/>
  <c r="AK47" i="81"/>
  <c r="AK34" i="81"/>
  <c r="AL34" i="81" s="1"/>
  <c r="AK33" i="81"/>
  <c r="AL33" i="81" s="1"/>
  <c r="AK29" i="81"/>
  <c r="AL29" i="81" s="1"/>
  <c r="AK28" i="81"/>
  <c r="AL28" i="81" s="1"/>
  <c r="AK27" i="81"/>
  <c r="AL27" i="81" s="1"/>
  <c r="AK20" i="81"/>
  <c r="AL20" i="81" s="1"/>
  <c r="AK21" i="81"/>
  <c r="AL21" i="81" s="1"/>
  <c r="AK19" i="81"/>
  <c r="AL19" i="81" s="1"/>
  <c r="AK15" i="81"/>
  <c r="AL15" i="81" s="1"/>
  <c r="AI69" i="81"/>
  <c r="AG69" i="81"/>
  <c r="AE69" i="81"/>
  <c r="AC69" i="81"/>
  <c r="AA69" i="81"/>
  <c r="Y69" i="81"/>
  <c r="AI68" i="81"/>
  <c r="AG68" i="81"/>
  <c r="AE68" i="81"/>
  <c r="AC68" i="81"/>
  <c r="AA68" i="81"/>
  <c r="Y68" i="81"/>
  <c r="AI67" i="81"/>
  <c r="AE67" i="81"/>
  <c r="Y67" i="81"/>
  <c r="AT66" i="81"/>
  <c r="AR66" i="81"/>
  <c r="AP66" i="81"/>
  <c r="AN66" i="81"/>
  <c r="AL66" i="81"/>
  <c r="AI66" i="81"/>
  <c r="AJ66" i="81" s="1"/>
  <c r="AG66" i="81"/>
  <c r="AH66" i="81" s="1"/>
  <c r="AE66" i="81"/>
  <c r="AF66" i="81" s="1"/>
  <c r="AC66" i="81"/>
  <c r="AD66" i="81" s="1"/>
  <c r="AA66" i="81"/>
  <c r="AB66" i="81" s="1"/>
  <c r="Y66" i="81"/>
  <c r="H66" i="81"/>
  <c r="AT65" i="81"/>
  <c r="AR65" i="81"/>
  <c r="AP65" i="81"/>
  <c r="AN65" i="81"/>
  <c r="AI65" i="81"/>
  <c r="AJ65" i="81" s="1"/>
  <c r="AG65" i="81"/>
  <c r="AH65" i="81" s="1"/>
  <c r="AE65" i="81"/>
  <c r="AF65" i="81" s="1"/>
  <c r="AC65" i="81"/>
  <c r="AD65" i="81" s="1"/>
  <c r="AA65" i="81"/>
  <c r="AB65" i="81" s="1"/>
  <c r="Y65" i="81"/>
  <c r="H65" i="81"/>
  <c r="AT64" i="81"/>
  <c r="AR64" i="81"/>
  <c r="AP64" i="81"/>
  <c r="AN64" i="81"/>
  <c r="AI64" i="81"/>
  <c r="AJ64" i="81" s="1"/>
  <c r="AG64" i="81"/>
  <c r="AH64" i="81" s="1"/>
  <c r="AE64" i="81"/>
  <c r="AF64" i="81" s="1"/>
  <c r="AC64" i="81"/>
  <c r="AD64" i="81" s="1"/>
  <c r="AA64" i="81"/>
  <c r="AB64" i="81" s="1"/>
  <c r="Y64" i="81"/>
  <c r="H64" i="81"/>
  <c r="AT63" i="81"/>
  <c r="AR63" i="81"/>
  <c r="AP63" i="81"/>
  <c r="AN63" i="81"/>
  <c r="AI63" i="81"/>
  <c r="AJ63" i="81" s="1"/>
  <c r="AG63" i="81"/>
  <c r="AH63" i="81" s="1"/>
  <c r="AE63" i="81"/>
  <c r="AF63" i="81" s="1"/>
  <c r="AC63" i="81"/>
  <c r="AD63" i="81" s="1"/>
  <c r="AA63" i="81"/>
  <c r="AB63" i="81" s="1"/>
  <c r="Y63" i="81"/>
  <c r="H63" i="81"/>
  <c r="AT62" i="81"/>
  <c r="AR62" i="81"/>
  <c r="AP62" i="81"/>
  <c r="AN62" i="81"/>
  <c r="AI62" i="81"/>
  <c r="AJ62" i="81" s="1"/>
  <c r="AG62" i="81"/>
  <c r="AH62" i="81" s="1"/>
  <c r="AE62" i="81"/>
  <c r="AF62" i="81" s="1"/>
  <c r="AC62" i="81"/>
  <c r="AD62" i="81" s="1"/>
  <c r="AA62" i="81"/>
  <c r="AB62" i="81" s="1"/>
  <c r="Y62" i="81"/>
  <c r="H62" i="81"/>
  <c r="AT61" i="81"/>
  <c r="AR61" i="81"/>
  <c r="AP61" i="81"/>
  <c r="AN61" i="81"/>
  <c r="AI61" i="81"/>
  <c r="AJ61" i="81" s="1"/>
  <c r="AG61" i="81"/>
  <c r="AH61" i="81" s="1"/>
  <c r="AE61" i="81"/>
  <c r="AF61" i="81" s="1"/>
  <c r="AC61" i="81"/>
  <c r="AD61" i="81" s="1"/>
  <c r="AA61" i="81"/>
  <c r="AB61" i="81" s="1"/>
  <c r="Y61" i="81"/>
  <c r="H61" i="81"/>
  <c r="AT60" i="81"/>
  <c r="AR60" i="81"/>
  <c r="AP60" i="81"/>
  <c r="AN60" i="81"/>
  <c r="AI60" i="81"/>
  <c r="AJ60" i="81" s="1"/>
  <c r="AG60" i="81"/>
  <c r="AH60" i="81" s="1"/>
  <c r="AE60" i="81"/>
  <c r="AF60" i="81" s="1"/>
  <c r="AC60" i="81"/>
  <c r="AD60" i="81" s="1"/>
  <c r="AA60" i="81"/>
  <c r="AB60" i="81" s="1"/>
  <c r="Y60" i="81"/>
  <c r="H60" i="81"/>
  <c r="AT59" i="81"/>
  <c r="AR59" i="81"/>
  <c r="AP59" i="81"/>
  <c r="AN59" i="81"/>
  <c r="AI59" i="81"/>
  <c r="AJ59" i="81" s="1"/>
  <c r="AG59" i="81"/>
  <c r="AH59" i="81" s="1"/>
  <c r="AE59" i="81"/>
  <c r="AF59" i="81" s="1"/>
  <c r="AC59" i="81"/>
  <c r="AD59" i="81" s="1"/>
  <c r="AA59" i="81"/>
  <c r="AB59" i="81" s="1"/>
  <c r="Y59" i="81"/>
  <c r="H59" i="81"/>
  <c r="AT58" i="81"/>
  <c r="AR58" i="81"/>
  <c r="AP58" i="81"/>
  <c r="AN58" i="81"/>
  <c r="AI58" i="81"/>
  <c r="AJ58" i="81" s="1"/>
  <c r="AG58" i="81"/>
  <c r="AH58" i="81" s="1"/>
  <c r="AE58" i="81"/>
  <c r="AF58" i="81" s="1"/>
  <c r="AC58" i="81"/>
  <c r="AD58" i="81" s="1"/>
  <c r="AA58" i="81"/>
  <c r="AB58" i="81" s="1"/>
  <c r="Y58" i="81"/>
  <c r="H58" i="81"/>
  <c r="AT57" i="81"/>
  <c r="AR57" i="81"/>
  <c r="AP57" i="81"/>
  <c r="AN57" i="81"/>
  <c r="AI57" i="81"/>
  <c r="AJ57" i="81" s="1"/>
  <c r="AG57" i="81"/>
  <c r="AH57" i="81" s="1"/>
  <c r="AE57" i="81"/>
  <c r="AF57" i="81" s="1"/>
  <c r="AC57" i="81"/>
  <c r="AD57" i="81" s="1"/>
  <c r="AA57" i="81"/>
  <c r="AB57" i="81" s="1"/>
  <c r="Y57" i="81"/>
  <c r="H57" i="81"/>
  <c r="AT56" i="81"/>
  <c r="AR56" i="81"/>
  <c r="AP56" i="81"/>
  <c r="AN56" i="81"/>
  <c r="AI56" i="81"/>
  <c r="AJ56" i="81" s="1"/>
  <c r="AG56" i="81"/>
  <c r="AH56" i="81" s="1"/>
  <c r="AE56" i="81"/>
  <c r="AF56" i="81" s="1"/>
  <c r="AC56" i="81"/>
  <c r="AD56" i="81" s="1"/>
  <c r="AA56" i="81"/>
  <c r="AB56" i="81" s="1"/>
  <c r="Y56" i="81"/>
  <c r="H56" i="81"/>
  <c r="AT55" i="81"/>
  <c r="AR55" i="81"/>
  <c r="AP55" i="81"/>
  <c r="AN55" i="81"/>
  <c r="AI55" i="81"/>
  <c r="AJ55" i="81" s="1"/>
  <c r="AG55" i="81"/>
  <c r="AH55" i="81" s="1"/>
  <c r="AE55" i="81"/>
  <c r="AF55" i="81" s="1"/>
  <c r="AC55" i="81"/>
  <c r="AD55" i="81" s="1"/>
  <c r="AA55" i="81"/>
  <c r="AB55" i="81" s="1"/>
  <c r="Y55" i="81"/>
  <c r="H55" i="81"/>
  <c r="AT54" i="81"/>
  <c r="AR54" i="81"/>
  <c r="AP54" i="81"/>
  <c r="AN54" i="81"/>
  <c r="AI54" i="81"/>
  <c r="AJ54" i="81" s="1"/>
  <c r="AG54" i="81"/>
  <c r="AH54" i="81" s="1"/>
  <c r="AE54" i="81"/>
  <c r="AF54" i="81" s="1"/>
  <c r="AC54" i="81"/>
  <c r="AD54" i="81" s="1"/>
  <c r="AA54" i="81"/>
  <c r="AB54" i="81" s="1"/>
  <c r="Y54" i="81"/>
  <c r="H54" i="81"/>
  <c r="AT53" i="81"/>
  <c r="AR53" i="81"/>
  <c r="AP53" i="81"/>
  <c r="AN53" i="81"/>
  <c r="AL53" i="81"/>
  <c r="AI53" i="81"/>
  <c r="AJ53" i="81" s="1"/>
  <c r="AG53" i="81"/>
  <c r="AH53" i="81" s="1"/>
  <c r="AE53" i="81"/>
  <c r="AF53" i="81" s="1"/>
  <c r="AC53" i="81"/>
  <c r="AD53" i="81" s="1"/>
  <c r="AA53" i="81"/>
  <c r="AB53" i="81" s="1"/>
  <c r="Y53" i="81"/>
  <c r="H53" i="81"/>
  <c r="AT52" i="81"/>
  <c r="AR52" i="81"/>
  <c r="AP52" i="81"/>
  <c r="AN52" i="81"/>
  <c r="AI52" i="81"/>
  <c r="AJ52" i="81" s="1"/>
  <c r="AG52" i="81"/>
  <c r="AH52" i="81" s="1"/>
  <c r="AE52" i="81"/>
  <c r="AF52" i="81" s="1"/>
  <c r="AC52" i="81"/>
  <c r="AD52" i="81" s="1"/>
  <c r="AA52" i="81"/>
  <c r="AB52" i="81" s="1"/>
  <c r="Y52" i="81"/>
  <c r="H52" i="81"/>
  <c r="AT51" i="81"/>
  <c r="AR51" i="81"/>
  <c r="AP51" i="81"/>
  <c r="AN51" i="81"/>
  <c r="AI51" i="81"/>
  <c r="AJ51" i="81" s="1"/>
  <c r="AG51" i="81"/>
  <c r="AH51" i="81" s="1"/>
  <c r="AE51" i="81"/>
  <c r="AF51" i="81" s="1"/>
  <c r="AC51" i="81"/>
  <c r="AD51" i="81" s="1"/>
  <c r="AA51" i="81"/>
  <c r="AB51" i="81" s="1"/>
  <c r="Y51" i="81"/>
  <c r="H51" i="81"/>
  <c r="AT50" i="81"/>
  <c r="AR50" i="81"/>
  <c r="AP50" i="81"/>
  <c r="AN50" i="81"/>
  <c r="AL50" i="81"/>
  <c r="AI50" i="81"/>
  <c r="AJ50" i="81" s="1"/>
  <c r="AG50" i="81"/>
  <c r="AH50" i="81" s="1"/>
  <c r="AE50" i="81"/>
  <c r="AF50" i="81" s="1"/>
  <c r="AC50" i="81"/>
  <c r="AD50" i="81" s="1"/>
  <c r="AA50" i="81"/>
  <c r="AB50" i="81" s="1"/>
  <c r="Y50" i="81"/>
  <c r="H50" i="81"/>
  <c r="AT49" i="81"/>
  <c r="AR49" i="81"/>
  <c r="AP49" i="81"/>
  <c r="AN49" i="81"/>
  <c r="AL49" i="81"/>
  <c r="AI49" i="81"/>
  <c r="AJ49" i="81" s="1"/>
  <c r="AG49" i="81"/>
  <c r="AH49" i="81" s="1"/>
  <c r="AE49" i="81"/>
  <c r="AF49" i="81" s="1"/>
  <c r="AC49" i="81"/>
  <c r="AD49" i="81" s="1"/>
  <c r="AA49" i="81"/>
  <c r="AB49" i="81" s="1"/>
  <c r="Y49" i="81"/>
  <c r="H49" i="81"/>
  <c r="AT48" i="81"/>
  <c r="AR48" i="81"/>
  <c r="AP48" i="81"/>
  <c r="AN48" i="81"/>
  <c r="AL48" i="81"/>
  <c r="AI48" i="81"/>
  <c r="AJ48" i="81" s="1"/>
  <c r="AG48" i="81"/>
  <c r="AH48" i="81" s="1"/>
  <c r="AE48" i="81"/>
  <c r="AF48" i="81" s="1"/>
  <c r="AC48" i="81"/>
  <c r="AD48" i="81" s="1"/>
  <c r="AA48" i="81"/>
  <c r="AB48" i="81" s="1"/>
  <c r="Y48" i="81"/>
  <c r="H48" i="81"/>
  <c r="AT47" i="81"/>
  <c r="AR47" i="81"/>
  <c r="AP47" i="81"/>
  <c r="AN47" i="81"/>
  <c r="AL47" i="81"/>
  <c r="AI47" i="81"/>
  <c r="AJ47" i="81" s="1"/>
  <c r="AG47" i="81"/>
  <c r="AH47" i="81" s="1"/>
  <c r="AE47" i="81"/>
  <c r="AF47" i="81" s="1"/>
  <c r="AC47" i="81"/>
  <c r="AD47" i="81" s="1"/>
  <c r="AA47" i="81"/>
  <c r="AB47" i="81" s="1"/>
  <c r="Y47" i="81"/>
  <c r="H47" i="81"/>
  <c r="AV44" i="81"/>
  <c r="AU44" i="81"/>
  <c r="AT44" i="81"/>
  <c r="AS44" i="81"/>
  <c r="AR44" i="81"/>
  <c r="AQ44" i="81"/>
  <c r="AP44" i="81"/>
  <c r="AO44" i="81"/>
  <c r="AN44" i="81"/>
  <c r="AM44" i="81"/>
  <c r="H44" i="81"/>
  <c r="G44" i="81"/>
  <c r="AT43" i="81"/>
  <c r="AR43" i="81"/>
  <c r="AP43" i="81"/>
  <c r="AN43" i="81"/>
  <c r="AI43" i="81"/>
  <c r="AJ43" i="81" s="1"/>
  <c r="AG43" i="81"/>
  <c r="AH43" i="81" s="1"/>
  <c r="AE43" i="81"/>
  <c r="AF43" i="81" s="1"/>
  <c r="AC43" i="81"/>
  <c r="AD43" i="81" s="1"/>
  <c r="AA43" i="81"/>
  <c r="AB43" i="81" s="1"/>
  <c r="Y43" i="81"/>
  <c r="H43" i="81"/>
  <c r="AT42" i="81"/>
  <c r="AR42" i="81"/>
  <c r="AP42" i="81"/>
  <c r="AN42" i="81"/>
  <c r="AI42" i="81"/>
  <c r="AJ42" i="81" s="1"/>
  <c r="AG42" i="81"/>
  <c r="AH42" i="81" s="1"/>
  <c r="AE42" i="81"/>
  <c r="AF42" i="81" s="1"/>
  <c r="AC42" i="81"/>
  <c r="AD42" i="81" s="1"/>
  <c r="AA42" i="81"/>
  <c r="AB42" i="81" s="1"/>
  <c r="Y42" i="81"/>
  <c r="H42" i="81"/>
  <c r="AT41" i="81"/>
  <c r="AR41" i="81"/>
  <c r="AP41" i="81"/>
  <c r="AN41" i="81"/>
  <c r="AI41" i="81"/>
  <c r="AJ41" i="81" s="1"/>
  <c r="AG41" i="81"/>
  <c r="AH41" i="81" s="1"/>
  <c r="AE41" i="81"/>
  <c r="AF41" i="81" s="1"/>
  <c r="AC41" i="81"/>
  <c r="AD41" i="81" s="1"/>
  <c r="AA41" i="81"/>
  <c r="AB41" i="81" s="1"/>
  <c r="Y41" i="81"/>
  <c r="H41" i="81"/>
  <c r="AT40" i="81"/>
  <c r="AR40" i="81"/>
  <c r="AP40" i="81"/>
  <c r="AN40" i="81"/>
  <c r="AI40" i="81"/>
  <c r="AJ40" i="81" s="1"/>
  <c r="AG40" i="81"/>
  <c r="AH40" i="81" s="1"/>
  <c r="AE40" i="81"/>
  <c r="AF40" i="81" s="1"/>
  <c r="AC40" i="81"/>
  <c r="AD40" i="81" s="1"/>
  <c r="AA40" i="81"/>
  <c r="AB40" i="81" s="1"/>
  <c r="Y40" i="81"/>
  <c r="H40" i="81"/>
  <c r="AT39" i="81"/>
  <c r="AR39" i="81"/>
  <c r="AP39" i="81"/>
  <c r="AN39" i="81"/>
  <c r="AI39" i="81"/>
  <c r="AJ39" i="81" s="1"/>
  <c r="AG39" i="81"/>
  <c r="AH39" i="81" s="1"/>
  <c r="AE39" i="81"/>
  <c r="AF39" i="81" s="1"/>
  <c r="AC39" i="81"/>
  <c r="AD39" i="81" s="1"/>
  <c r="AA39" i="81"/>
  <c r="AB39" i="81" s="1"/>
  <c r="Y39" i="81"/>
  <c r="H39" i="81"/>
  <c r="AX38" i="81"/>
  <c r="AW38" i="81"/>
  <c r="AV36" i="81"/>
  <c r="AU36" i="81"/>
  <c r="AT36" i="81"/>
  <c r="AS36" i="81"/>
  <c r="AR36" i="81"/>
  <c r="AQ36" i="81"/>
  <c r="AP36" i="81"/>
  <c r="AO36" i="81"/>
  <c r="AN36" i="81"/>
  <c r="AM36" i="81"/>
  <c r="H36" i="81"/>
  <c r="G36" i="81"/>
  <c r="AT35" i="81"/>
  <c r="AR35" i="81"/>
  <c r="AP35" i="81"/>
  <c r="AN35" i="81"/>
  <c r="AI35" i="81"/>
  <c r="AJ35" i="81" s="1"/>
  <c r="AG35" i="81"/>
  <c r="AH35" i="81" s="1"/>
  <c r="AE35" i="81"/>
  <c r="AF35" i="81" s="1"/>
  <c r="AC35" i="81"/>
  <c r="AD35" i="81" s="1"/>
  <c r="AA35" i="81"/>
  <c r="AB35" i="81" s="1"/>
  <c r="Y35" i="81"/>
  <c r="H35" i="81"/>
  <c r="AT34" i="81"/>
  <c r="AR34" i="81"/>
  <c r="AP34" i="81"/>
  <c r="AN34" i="81"/>
  <c r="AI34" i="81"/>
  <c r="AJ34" i="81" s="1"/>
  <c r="AG34" i="81"/>
  <c r="AH34" i="81" s="1"/>
  <c r="AE34" i="81"/>
  <c r="AF34" i="81" s="1"/>
  <c r="AC34" i="81"/>
  <c r="AD34" i="81" s="1"/>
  <c r="AA34" i="81"/>
  <c r="AB34" i="81" s="1"/>
  <c r="Y34" i="81"/>
  <c r="H34" i="81"/>
  <c r="AT33" i="81"/>
  <c r="AR33" i="81"/>
  <c r="AP33" i="81"/>
  <c r="AN33" i="81"/>
  <c r="AI33" i="81"/>
  <c r="AJ33" i="81" s="1"/>
  <c r="AG33" i="81"/>
  <c r="AH33" i="81" s="1"/>
  <c r="AE33" i="81"/>
  <c r="AF33" i="81" s="1"/>
  <c r="AC33" i="81"/>
  <c r="AD33" i="81" s="1"/>
  <c r="AA33" i="81"/>
  <c r="AB33" i="81" s="1"/>
  <c r="AB30" i="81" s="1"/>
  <c r="Y33" i="81"/>
  <c r="Y30" i="81" s="1"/>
  <c r="H33" i="81"/>
  <c r="AV30" i="81"/>
  <c r="AU30" i="81"/>
  <c r="AT30" i="81"/>
  <c r="AS30" i="81"/>
  <c r="AR30" i="81"/>
  <c r="AQ30" i="81"/>
  <c r="AP30" i="81"/>
  <c r="AO30" i="81"/>
  <c r="AN30" i="81"/>
  <c r="AM30" i="81"/>
  <c r="H30" i="81"/>
  <c r="G30" i="81"/>
  <c r="AT29" i="81"/>
  <c r="AR29" i="81"/>
  <c r="AP29" i="81"/>
  <c r="AN29" i="81"/>
  <c r="AI29" i="81"/>
  <c r="AJ29" i="81" s="1"/>
  <c r="AG29" i="81"/>
  <c r="AH29" i="81" s="1"/>
  <c r="AE29" i="81"/>
  <c r="AF29" i="81" s="1"/>
  <c r="AC29" i="81"/>
  <c r="AD29" i="81" s="1"/>
  <c r="AB29" i="81"/>
  <c r="Y29" i="81"/>
  <c r="H29" i="81"/>
  <c r="AT28" i="81"/>
  <c r="AR28" i="81"/>
  <c r="AP28" i="81"/>
  <c r="AN28" i="81"/>
  <c r="AI28" i="81"/>
  <c r="AJ28" i="81" s="1"/>
  <c r="AG28" i="81"/>
  <c r="AH28" i="81" s="1"/>
  <c r="AE28" i="81"/>
  <c r="AF28" i="81" s="1"/>
  <c r="AC28" i="81"/>
  <c r="AD28" i="81" s="1"/>
  <c r="AA28" i="81"/>
  <c r="AB28" i="81" s="1"/>
  <c r="Y28" i="81"/>
  <c r="H28" i="81"/>
  <c r="AT27" i="81"/>
  <c r="AR27" i="81"/>
  <c r="AP27" i="81"/>
  <c r="AN27" i="81"/>
  <c r="AI27" i="81"/>
  <c r="AJ27" i="81" s="1"/>
  <c r="AG27" i="81"/>
  <c r="AH27" i="81" s="1"/>
  <c r="AE27" i="81"/>
  <c r="AF27" i="81" s="1"/>
  <c r="AC27" i="81"/>
  <c r="AD27" i="81" s="1"/>
  <c r="AA27" i="81"/>
  <c r="AB27" i="81" s="1"/>
  <c r="Y27" i="81"/>
  <c r="H27" i="81"/>
  <c r="AX26" i="81"/>
  <c r="AW26" i="81"/>
  <c r="AT25" i="81"/>
  <c r="AR25" i="81"/>
  <c r="AP25" i="81"/>
  <c r="AN25" i="81"/>
  <c r="AI25" i="81"/>
  <c r="AJ25" i="81" s="1"/>
  <c r="AG25" i="81"/>
  <c r="AH25" i="81" s="1"/>
  <c r="AE25" i="81"/>
  <c r="AF25" i="81" s="1"/>
  <c r="AC25" i="81"/>
  <c r="AD25" i="81" s="1"/>
  <c r="AA25" i="81"/>
  <c r="AB25" i="81" s="1"/>
  <c r="Y25" i="81"/>
  <c r="H25" i="81"/>
  <c r="AT24" i="81"/>
  <c r="AR24" i="81"/>
  <c r="AP24" i="81"/>
  <c r="AN24" i="81"/>
  <c r="AI24" i="81"/>
  <c r="AJ24" i="81" s="1"/>
  <c r="AG24" i="81"/>
  <c r="AH24" i="81" s="1"/>
  <c r="AE24" i="81"/>
  <c r="AF24" i="81" s="1"/>
  <c r="AC24" i="81"/>
  <c r="AD24" i="81" s="1"/>
  <c r="AA24" i="81"/>
  <c r="AB24" i="81" s="1"/>
  <c r="Y24" i="81"/>
  <c r="H24" i="81"/>
  <c r="AX23" i="81"/>
  <c r="AW23" i="81"/>
  <c r="AT22" i="81"/>
  <c r="AR22" i="81"/>
  <c r="AP22" i="81"/>
  <c r="AN22" i="81"/>
  <c r="AI22" i="81"/>
  <c r="AJ22" i="81" s="1"/>
  <c r="AG22" i="81"/>
  <c r="AH22" i="81" s="1"/>
  <c r="AE22" i="81"/>
  <c r="AF22" i="81" s="1"/>
  <c r="AC22" i="81"/>
  <c r="AD22" i="81" s="1"/>
  <c r="AA22" i="81"/>
  <c r="AB22" i="81" s="1"/>
  <c r="Y22" i="81"/>
  <c r="H22" i="81"/>
  <c r="AT21" i="81"/>
  <c r="AR21" i="81"/>
  <c r="AP21" i="81"/>
  <c r="AN21" i="81"/>
  <c r="AI21" i="81"/>
  <c r="AJ21" i="81" s="1"/>
  <c r="AG21" i="81"/>
  <c r="AH21" i="81" s="1"/>
  <c r="AE21" i="81"/>
  <c r="AF21" i="81" s="1"/>
  <c r="AC21" i="81"/>
  <c r="AD21" i="81" s="1"/>
  <c r="AA21" i="81"/>
  <c r="AB21" i="81" s="1"/>
  <c r="Y21" i="81"/>
  <c r="H21" i="81"/>
  <c r="AT20" i="81"/>
  <c r="AR20" i="81"/>
  <c r="AP20" i="81"/>
  <c r="AN20" i="81"/>
  <c r="AI20" i="81"/>
  <c r="AJ20" i="81" s="1"/>
  <c r="AG20" i="81"/>
  <c r="AH20" i="81" s="1"/>
  <c r="AE20" i="81"/>
  <c r="AF20" i="81" s="1"/>
  <c r="AC20" i="81"/>
  <c r="AD20" i="81" s="1"/>
  <c r="AA20" i="81"/>
  <c r="AB20" i="81" s="1"/>
  <c r="Y20" i="81"/>
  <c r="H20" i="81"/>
  <c r="AT19" i="81"/>
  <c r="AR19" i="81"/>
  <c r="AP19" i="81"/>
  <c r="AN19" i="81"/>
  <c r="AI19" i="81"/>
  <c r="AJ19" i="81" s="1"/>
  <c r="AG19" i="81"/>
  <c r="AE19" i="81"/>
  <c r="AC19" i="81"/>
  <c r="AD19" i="81" s="1"/>
  <c r="AA19" i="81"/>
  <c r="AB19" i="81" s="1"/>
  <c r="Y19" i="81"/>
  <c r="H19" i="81"/>
  <c r="AX18" i="81"/>
  <c r="AW18" i="81"/>
  <c r="L18" i="81"/>
  <c r="AT16" i="81"/>
  <c r="AR16" i="81"/>
  <c r="AP16" i="81"/>
  <c r="AN16" i="81"/>
  <c r="AI16" i="81"/>
  <c r="AJ16" i="81" s="1"/>
  <c r="AG16" i="81"/>
  <c r="AH16" i="81" s="1"/>
  <c r="AE16" i="81"/>
  <c r="AF16" i="81" s="1"/>
  <c r="AC16" i="81"/>
  <c r="AD16" i="81" s="1"/>
  <c r="AA16" i="81"/>
  <c r="AB16" i="81" s="1"/>
  <c r="Y16" i="81"/>
  <c r="H16" i="81"/>
  <c r="AT15" i="81"/>
  <c r="AR15" i="81"/>
  <c r="AP15" i="81"/>
  <c r="AN15" i="81"/>
  <c r="AI15" i="81"/>
  <c r="AJ15" i="81" s="1"/>
  <c r="AG15" i="81"/>
  <c r="AH15" i="81" s="1"/>
  <c r="AE15" i="81"/>
  <c r="AF15" i="81" s="1"/>
  <c r="AC15" i="81"/>
  <c r="AD15" i="81" s="1"/>
  <c r="AA15" i="81"/>
  <c r="AB15" i="81" s="1"/>
  <c r="Y15" i="81"/>
  <c r="H15" i="81"/>
  <c r="AX14" i="81"/>
  <c r="AW14" i="81"/>
  <c r="AT13" i="81"/>
  <c r="AR13" i="81"/>
  <c r="AP13" i="81"/>
  <c r="AN13" i="81"/>
  <c r="AI13" i="81"/>
  <c r="AJ13" i="81" s="1"/>
  <c r="AG13" i="81"/>
  <c r="AH13" i="81" s="1"/>
  <c r="AE13" i="81"/>
  <c r="AF13" i="81" s="1"/>
  <c r="AC13" i="81"/>
  <c r="AD13" i="81" s="1"/>
  <c r="AA13" i="81"/>
  <c r="AB13" i="81" s="1"/>
  <c r="Y13" i="81"/>
  <c r="H13" i="81"/>
  <c r="AT12" i="81"/>
  <c r="AR12" i="81"/>
  <c r="AP12" i="81"/>
  <c r="AN12" i="81"/>
  <c r="AI12" i="81"/>
  <c r="AJ12" i="81" s="1"/>
  <c r="AG12" i="81"/>
  <c r="AH12" i="81" s="1"/>
  <c r="AE12" i="81"/>
  <c r="AF12" i="81" s="1"/>
  <c r="AC12" i="81"/>
  <c r="AD12" i="81" s="1"/>
  <c r="AA12" i="81"/>
  <c r="AB12" i="81" s="1"/>
  <c r="Y12" i="81"/>
  <c r="H12" i="81"/>
  <c r="AX11" i="81"/>
  <c r="AW11" i="81"/>
  <c r="AV10" i="81"/>
  <c r="AU10" i="81"/>
  <c r="AT10" i="81"/>
  <c r="AS10" i="81"/>
  <c r="AR10" i="81"/>
  <c r="AQ10" i="81"/>
  <c r="AP10" i="81"/>
  <c r="AO10" i="81"/>
  <c r="AN10" i="81"/>
  <c r="AM10" i="81"/>
  <c r="H10" i="81"/>
  <c r="G10" i="81"/>
  <c r="AV9" i="81"/>
  <c r="AV70" i="81" s="1"/>
  <c r="AU9" i="81"/>
  <c r="AU70" i="81" s="1"/>
  <c r="AT9" i="81"/>
  <c r="AT70" i="81" s="1"/>
  <c r="AS9" i="81"/>
  <c r="AS70" i="81" s="1"/>
  <c r="AR9" i="81"/>
  <c r="AR70" i="81" s="1"/>
  <c r="AQ9" i="81"/>
  <c r="AQ70" i="81" s="1"/>
  <c r="AP9" i="81"/>
  <c r="AP70" i="81" s="1"/>
  <c r="AO9" i="81"/>
  <c r="AO70" i="81" s="1"/>
  <c r="AN9" i="81"/>
  <c r="AN70" i="81" s="1"/>
  <c r="AM9" i="81"/>
  <c r="AM70" i="81" s="1"/>
  <c r="H9" i="81"/>
  <c r="G9" i="81"/>
  <c r="G70" i="81" s="1"/>
  <c r="J69" i="80"/>
  <c r="J68" i="80"/>
  <c r="J67" i="80"/>
  <c r="J66" i="80"/>
  <c r="J65" i="80"/>
  <c r="J64" i="80"/>
  <c r="J63" i="80"/>
  <c r="J62" i="80"/>
  <c r="J61" i="80"/>
  <c r="J60" i="80"/>
  <c r="J59" i="80"/>
  <c r="J58" i="80"/>
  <c r="J57" i="80"/>
  <c r="J56" i="80"/>
  <c r="J55" i="80"/>
  <c r="J54" i="80"/>
  <c r="J53" i="80"/>
  <c r="J52" i="80"/>
  <c r="J51" i="80"/>
  <c r="J50" i="80"/>
  <c r="J49" i="80"/>
  <c r="J48" i="80"/>
  <c r="J47" i="80"/>
  <c r="J43" i="80"/>
  <c r="J42" i="80"/>
  <c r="J41" i="80"/>
  <c r="J40" i="80"/>
  <c r="J39" i="80"/>
  <c r="J35" i="80"/>
  <c r="J34" i="80"/>
  <c r="J33" i="80"/>
  <c r="J30" i="80" s="1"/>
  <c r="J29" i="80"/>
  <c r="J28" i="80"/>
  <c r="J27" i="80"/>
  <c r="J25" i="80"/>
  <c r="J24" i="80"/>
  <c r="J22" i="80"/>
  <c r="J21" i="80"/>
  <c r="J20" i="80"/>
  <c r="J19" i="80"/>
  <c r="J16" i="80"/>
  <c r="J15" i="80"/>
  <c r="J13" i="80"/>
  <c r="J12" i="80"/>
  <c r="AI67" i="79"/>
  <c r="AG69" i="79"/>
  <c r="AE69" i="79"/>
  <c r="AC69" i="79"/>
  <c r="AA69" i="79"/>
  <c r="Y69" i="79"/>
  <c r="AG68" i="79"/>
  <c r="AE68" i="79"/>
  <c r="AC68" i="79"/>
  <c r="AA68" i="79"/>
  <c r="Y68" i="79"/>
  <c r="AE67" i="79"/>
  <c r="Y67" i="79"/>
  <c r="AT66" i="79"/>
  <c r="AR66" i="79"/>
  <c r="AP66" i="79"/>
  <c r="AN66" i="79"/>
  <c r="AL66" i="79"/>
  <c r="AG66" i="79"/>
  <c r="AE66" i="79"/>
  <c r="AC66" i="79"/>
  <c r="AA66" i="79"/>
  <c r="Y66" i="79"/>
  <c r="H66" i="79"/>
  <c r="AT65" i="79"/>
  <c r="AR65" i="79"/>
  <c r="AP65" i="79"/>
  <c r="AN65" i="79"/>
  <c r="AL65" i="79"/>
  <c r="AG65" i="79"/>
  <c r="AE65" i="79"/>
  <c r="AC65" i="79"/>
  <c r="AA65" i="79"/>
  <c r="Y65" i="79"/>
  <c r="H65" i="79"/>
  <c r="AT64" i="79"/>
  <c r="AR64" i="79"/>
  <c r="AP64" i="79"/>
  <c r="AN64" i="79"/>
  <c r="AL64" i="79"/>
  <c r="AG64" i="79"/>
  <c r="AE64" i="79"/>
  <c r="AC64" i="79"/>
  <c r="AA64" i="79"/>
  <c r="Y64" i="79"/>
  <c r="H64" i="79"/>
  <c r="AT63" i="79"/>
  <c r="AR63" i="79"/>
  <c r="AP63" i="79"/>
  <c r="AN63" i="79"/>
  <c r="AL63" i="79"/>
  <c r="AG63" i="79"/>
  <c r="AE63" i="79"/>
  <c r="AC63" i="79"/>
  <c r="AA63" i="79"/>
  <c r="Y63" i="79"/>
  <c r="H63" i="79"/>
  <c r="AT62" i="79"/>
  <c r="AR62" i="79"/>
  <c r="AP62" i="79"/>
  <c r="AN62" i="79"/>
  <c r="AL62" i="79"/>
  <c r="AG62" i="79"/>
  <c r="AE62" i="79"/>
  <c r="AC62" i="79"/>
  <c r="AA62" i="79"/>
  <c r="Y62" i="79"/>
  <c r="H62" i="79"/>
  <c r="AT61" i="79"/>
  <c r="AR61" i="79"/>
  <c r="AP61" i="79"/>
  <c r="AN61" i="79"/>
  <c r="AL61" i="79"/>
  <c r="AG61" i="79"/>
  <c r="AE61" i="79"/>
  <c r="AC61" i="79"/>
  <c r="AA61" i="79"/>
  <c r="Y61" i="79"/>
  <c r="H61" i="79"/>
  <c r="AT60" i="79"/>
  <c r="AR60" i="79"/>
  <c r="AP60" i="79"/>
  <c r="AN60" i="79"/>
  <c r="AL60" i="79"/>
  <c r="AG60" i="79"/>
  <c r="AE60" i="79"/>
  <c r="AC60" i="79"/>
  <c r="AA60" i="79"/>
  <c r="Y60" i="79"/>
  <c r="H60" i="79"/>
  <c r="AT59" i="79"/>
  <c r="AR59" i="79"/>
  <c r="AP59" i="79"/>
  <c r="AN59" i="79"/>
  <c r="AL59" i="79"/>
  <c r="AG59" i="79"/>
  <c r="AE59" i="79"/>
  <c r="AC59" i="79"/>
  <c r="AA59" i="79"/>
  <c r="Y59" i="79"/>
  <c r="H59" i="79"/>
  <c r="AT58" i="79"/>
  <c r="AR58" i="79"/>
  <c r="AP58" i="79"/>
  <c r="AN58" i="79"/>
  <c r="AL58" i="79"/>
  <c r="AG58" i="79"/>
  <c r="AE58" i="79"/>
  <c r="AC58" i="79"/>
  <c r="AA58" i="79"/>
  <c r="Y58" i="79"/>
  <c r="H58" i="79"/>
  <c r="AT57" i="79"/>
  <c r="AR57" i="79"/>
  <c r="AP57" i="79"/>
  <c r="AN57" i="79"/>
  <c r="AL57" i="79"/>
  <c r="AG57" i="79"/>
  <c r="AE57" i="79"/>
  <c r="AC57" i="79"/>
  <c r="AA57" i="79"/>
  <c r="Y57" i="79"/>
  <c r="H57" i="79"/>
  <c r="AT56" i="79"/>
  <c r="AR56" i="79"/>
  <c r="AP56" i="79"/>
  <c r="AN56" i="79"/>
  <c r="AL56" i="79"/>
  <c r="AG56" i="79"/>
  <c r="AE56" i="79"/>
  <c r="AC56" i="79"/>
  <c r="AA56" i="79"/>
  <c r="Y56" i="79"/>
  <c r="H56" i="79"/>
  <c r="AT55" i="79"/>
  <c r="AR55" i="79"/>
  <c r="AP55" i="79"/>
  <c r="AN55" i="79"/>
  <c r="AL55" i="79"/>
  <c r="AG55" i="79"/>
  <c r="AE55" i="79"/>
  <c r="AC55" i="79"/>
  <c r="AA55" i="79"/>
  <c r="Y55" i="79"/>
  <c r="H55" i="79"/>
  <c r="AT54" i="79"/>
  <c r="AR54" i="79"/>
  <c r="AP54" i="79"/>
  <c r="AN54" i="79"/>
  <c r="AL54" i="79"/>
  <c r="AG54" i="79"/>
  <c r="AE54" i="79"/>
  <c r="AC54" i="79"/>
  <c r="AA54" i="79"/>
  <c r="Y54" i="79"/>
  <c r="H54" i="79"/>
  <c r="AT53" i="79"/>
  <c r="AR53" i="79"/>
  <c r="AP53" i="79"/>
  <c r="AN53" i="79"/>
  <c r="AL53" i="79"/>
  <c r="AG53" i="79"/>
  <c r="AE53" i="79"/>
  <c r="AC53" i="79"/>
  <c r="AA53" i="79"/>
  <c r="Y53" i="79"/>
  <c r="H53" i="79"/>
  <c r="AT52" i="79"/>
  <c r="AR52" i="79"/>
  <c r="AP52" i="79"/>
  <c r="AN52" i="79"/>
  <c r="AL52" i="79"/>
  <c r="AG52" i="79"/>
  <c r="AE52" i="79"/>
  <c r="AC52" i="79"/>
  <c r="AA52" i="79"/>
  <c r="Y52" i="79"/>
  <c r="H52" i="79"/>
  <c r="AT51" i="79"/>
  <c r="AR51" i="79"/>
  <c r="AP51" i="79"/>
  <c r="AN51" i="79"/>
  <c r="AL51" i="79"/>
  <c r="AG51" i="79"/>
  <c r="AE51" i="79"/>
  <c r="AC51" i="79"/>
  <c r="AA51" i="79"/>
  <c r="Y51" i="79"/>
  <c r="H51" i="79"/>
  <c r="AT50" i="79"/>
  <c r="AR50" i="79"/>
  <c r="AP50" i="79"/>
  <c r="AN50" i="79"/>
  <c r="AL50" i="79"/>
  <c r="AG50" i="79"/>
  <c r="AE50" i="79"/>
  <c r="AC50" i="79"/>
  <c r="AA50" i="79"/>
  <c r="Y50" i="79"/>
  <c r="H50" i="79"/>
  <c r="AT49" i="79"/>
  <c r="AR49" i="79"/>
  <c r="AP49" i="79"/>
  <c r="AN49" i="79"/>
  <c r="AL49" i="79"/>
  <c r="AG49" i="79"/>
  <c r="AE49" i="79"/>
  <c r="AC49" i="79"/>
  <c r="AA49" i="79"/>
  <c r="Y49" i="79"/>
  <c r="H49" i="79"/>
  <c r="AT48" i="79"/>
  <c r="AR48" i="79"/>
  <c r="AP48" i="79"/>
  <c r="AN48" i="79"/>
  <c r="AL48" i="79"/>
  <c r="AG48" i="79"/>
  <c r="AE48" i="79"/>
  <c r="AC48" i="79"/>
  <c r="AA48" i="79"/>
  <c r="Y48" i="79"/>
  <c r="H48" i="79"/>
  <c r="AT47" i="79"/>
  <c r="AR47" i="79"/>
  <c r="AP47" i="79"/>
  <c r="AN47" i="79"/>
  <c r="AL47" i="79"/>
  <c r="AG47" i="79"/>
  <c r="AE47" i="79"/>
  <c r="AC47" i="79"/>
  <c r="AC44" i="79" s="1"/>
  <c r="AA47" i="79"/>
  <c r="Y47" i="79"/>
  <c r="H47" i="79"/>
  <c r="AV44" i="79"/>
  <c r="AU44" i="79"/>
  <c r="AT44" i="79"/>
  <c r="AS44" i="79"/>
  <c r="AR44" i="79"/>
  <c r="AQ44" i="79"/>
  <c r="AP44" i="79"/>
  <c r="AO44" i="79"/>
  <c r="AN44" i="79"/>
  <c r="AM44" i="79"/>
  <c r="AL44" i="79"/>
  <c r="AK44" i="79"/>
  <c r="H44" i="79"/>
  <c r="G44" i="79"/>
  <c r="AT43" i="79"/>
  <c r="AR43" i="79"/>
  <c r="AP43" i="79"/>
  <c r="AN43" i="79"/>
  <c r="AL43" i="79"/>
  <c r="AG43" i="79"/>
  <c r="AE43" i="79"/>
  <c r="AC43" i="79"/>
  <c r="AA43" i="79"/>
  <c r="Y43" i="79"/>
  <c r="H43" i="79"/>
  <c r="AT42" i="79"/>
  <c r="AR42" i="79"/>
  <c r="AP42" i="79"/>
  <c r="AN42" i="79"/>
  <c r="AL42" i="79"/>
  <c r="AG42" i="79"/>
  <c r="AE42" i="79"/>
  <c r="AC42" i="79"/>
  <c r="AA42" i="79"/>
  <c r="Y42" i="79"/>
  <c r="H42" i="79"/>
  <c r="AT41" i="79"/>
  <c r="AR41" i="79"/>
  <c r="AP41" i="79"/>
  <c r="AN41" i="79"/>
  <c r="AL41" i="79"/>
  <c r="AG41" i="79"/>
  <c r="AE41" i="79"/>
  <c r="AC41" i="79"/>
  <c r="AA41" i="79"/>
  <c r="Y41" i="79"/>
  <c r="H41" i="79"/>
  <c r="AT40" i="79"/>
  <c r="AR40" i="79"/>
  <c r="AP40" i="79"/>
  <c r="AN40" i="79"/>
  <c r="AL40" i="79"/>
  <c r="AG40" i="79"/>
  <c r="AE40" i="79"/>
  <c r="AC40" i="79"/>
  <c r="AA40" i="79"/>
  <c r="Y40" i="79"/>
  <c r="H40" i="79"/>
  <c r="AT39" i="79"/>
  <c r="AR39" i="79"/>
  <c r="AP39" i="79"/>
  <c r="AN39" i="79"/>
  <c r="AL39" i="79"/>
  <c r="AG39" i="79"/>
  <c r="AE39" i="79"/>
  <c r="AC39" i="79"/>
  <c r="AA39" i="79"/>
  <c r="Y39" i="79"/>
  <c r="H39" i="79"/>
  <c r="AX38" i="79"/>
  <c r="AW38" i="79"/>
  <c r="AV36" i="79"/>
  <c r="AU36" i="79"/>
  <c r="AT36" i="79"/>
  <c r="AS36" i="79"/>
  <c r="AR36" i="79"/>
  <c r="AQ36" i="79"/>
  <c r="AP36" i="79"/>
  <c r="AO36" i="79"/>
  <c r="AN36" i="79"/>
  <c r="AM36" i="79"/>
  <c r="AL36" i="79"/>
  <c r="AK36" i="79"/>
  <c r="H36" i="79"/>
  <c r="G36" i="79"/>
  <c r="AT35" i="79"/>
  <c r="AR35" i="79"/>
  <c r="AP35" i="79"/>
  <c r="AN35" i="79"/>
  <c r="AL35" i="79"/>
  <c r="AG35" i="79"/>
  <c r="AE35" i="79"/>
  <c r="AC35" i="79"/>
  <c r="AA35" i="79"/>
  <c r="Y35" i="79"/>
  <c r="H35" i="79"/>
  <c r="AT34" i="79"/>
  <c r="AR34" i="79"/>
  <c r="AP34" i="79"/>
  <c r="AN34" i="79"/>
  <c r="AL34" i="79"/>
  <c r="AG34" i="79"/>
  <c r="AE34" i="79"/>
  <c r="AC34" i="79"/>
  <c r="AA34" i="79"/>
  <c r="Y34" i="79"/>
  <c r="H34" i="79"/>
  <c r="AT33" i="79"/>
  <c r="AR33" i="79"/>
  <c r="AP33" i="79"/>
  <c r="AN33" i="79"/>
  <c r="AL33" i="79"/>
  <c r="AG33" i="79"/>
  <c r="AE33" i="79"/>
  <c r="AC33" i="79"/>
  <c r="AA33" i="79"/>
  <c r="Y33" i="79"/>
  <c r="H33" i="79"/>
  <c r="AV30" i="79"/>
  <c r="AU30" i="79"/>
  <c r="AT30" i="79"/>
  <c r="AS30" i="79"/>
  <c r="AR30" i="79"/>
  <c r="AQ30" i="79"/>
  <c r="AP30" i="79"/>
  <c r="AO30" i="79"/>
  <c r="AN30" i="79"/>
  <c r="AM30" i="79"/>
  <c r="AL30" i="79"/>
  <c r="AK30" i="79"/>
  <c r="H30" i="79"/>
  <c r="G30" i="79"/>
  <c r="AT29" i="79"/>
  <c r="AR29" i="79"/>
  <c r="AP29" i="79"/>
  <c r="AN29" i="79"/>
  <c r="AL29" i="79"/>
  <c r="AG29" i="79"/>
  <c r="AE29" i="79"/>
  <c r="AC29" i="79"/>
  <c r="AB29" i="79"/>
  <c r="Y29" i="79"/>
  <c r="H29" i="79"/>
  <c r="AT28" i="79"/>
  <c r="AR28" i="79"/>
  <c r="AP28" i="79"/>
  <c r="AN28" i="79"/>
  <c r="AL28" i="79"/>
  <c r="AG28" i="79"/>
  <c r="AE28" i="79"/>
  <c r="AC28" i="79"/>
  <c r="AA28" i="79"/>
  <c r="Y28" i="79"/>
  <c r="H28" i="79"/>
  <c r="AT27" i="79"/>
  <c r="AR27" i="79"/>
  <c r="AP27" i="79"/>
  <c r="AN27" i="79"/>
  <c r="AL27" i="79"/>
  <c r="AG27" i="79"/>
  <c r="AE27" i="79"/>
  <c r="AC27" i="79"/>
  <c r="AA27" i="79"/>
  <c r="Y27" i="79"/>
  <c r="H27" i="79"/>
  <c r="AX26" i="79"/>
  <c r="AW26" i="79"/>
  <c r="AT25" i="79"/>
  <c r="AR25" i="79"/>
  <c r="AP25" i="79"/>
  <c r="AN25" i="79"/>
  <c r="AL25" i="79"/>
  <c r="AG25" i="79"/>
  <c r="AE25" i="79"/>
  <c r="AC25" i="79"/>
  <c r="AA25" i="79"/>
  <c r="Y25" i="79"/>
  <c r="H25" i="79"/>
  <c r="AT24" i="79"/>
  <c r="AR24" i="79"/>
  <c r="AP24" i="79"/>
  <c r="AN24" i="79"/>
  <c r="AL24" i="79"/>
  <c r="AG24" i="79"/>
  <c r="AE24" i="79"/>
  <c r="AC24" i="79"/>
  <c r="AA24" i="79"/>
  <c r="Y24" i="79"/>
  <c r="H24" i="79"/>
  <c r="AX23" i="79"/>
  <c r="AW23" i="79"/>
  <c r="AT22" i="79"/>
  <c r="AR22" i="79"/>
  <c r="AP22" i="79"/>
  <c r="AN22" i="79"/>
  <c r="AL22" i="79"/>
  <c r="AG22" i="79"/>
  <c r="AE22" i="79"/>
  <c r="AC22" i="79"/>
  <c r="AA22" i="79"/>
  <c r="Y22" i="79"/>
  <c r="H22" i="79"/>
  <c r="AT21" i="79"/>
  <c r="AR21" i="79"/>
  <c r="AP21" i="79"/>
  <c r="AN21" i="79"/>
  <c r="AL21" i="79"/>
  <c r="AG21" i="79"/>
  <c r="AE21" i="79"/>
  <c r="AC21" i="79"/>
  <c r="AA21" i="79"/>
  <c r="Y21" i="79"/>
  <c r="H21" i="79"/>
  <c r="AT20" i="79"/>
  <c r="AR20" i="79"/>
  <c r="AP20" i="79"/>
  <c r="AN20" i="79"/>
  <c r="AL20" i="79"/>
  <c r="AG20" i="79"/>
  <c r="AE20" i="79"/>
  <c r="AC20" i="79"/>
  <c r="AA20" i="79"/>
  <c r="Y20" i="79"/>
  <c r="H20" i="79"/>
  <c r="AT19" i="79"/>
  <c r="AR19" i="79"/>
  <c r="AP19" i="79"/>
  <c r="AN19" i="79"/>
  <c r="AL19" i="79"/>
  <c r="AG19" i="79"/>
  <c r="AE19" i="79"/>
  <c r="AC19" i="79"/>
  <c r="AA19" i="79"/>
  <c r="Y19" i="79"/>
  <c r="H19" i="79"/>
  <c r="AX18" i="79"/>
  <c r="AW18" i="79"/>
  <c r="L18" i="79"/>
  <c r="AT16" i="79"/>
  <c r="AR16" i="79"/>
  <c r="AP16" i="79"/>
  <c r="AN16" i="79"/>
  <c r="AL16" i="79"/>
  <c r="AG16" i="79"/>
  <c r="AE16" i="79"/>
  <c r="AC16" i="79"/>
  <c r="AA16" i="79"/>
  <c r="Y16" i="79"/>
  <c r="H16" i="79"/>
  <c r="AT15" i="79"/>
  <c r="AR15" i="79"/>
  <c r="AP15" i="79"/>
  <c r="AN15" i="79"/>
  <c r="AL15" i="79"/>
  <c r="AG15" i="79"/>
  <c r="AE15" i="79"/>
  <c r="AC15" i="79"/>
  <c r="AA15" i="79"/>
  <c r="Y15" i="79"/>
  <c r="H15" i="79"/>
  <c r="AX14" i="79"/>
  <c r="AW14" i="79"/>
  <c r="AT13" i="79"/>
  <c r="AR13" i="79"/>
  <c r="AP13" i="79"/>
  <c r="AN13" i="79"/>
  <c r="AL13" i="79"/>
  <c r="AG13" i="79"/>
  <c r="AE13" i="79"/>
  <c r="AC13" i="79"/>
  <c r="AA13" i="79"/>
  <c r="Y13" i="79"/>
  <c r="H13" i="79"/>
  <c r="AT12" i="79"/>
  <c r="AR12" i="79"/>
  <c r="AP12" i="79"/>
  <c r="AN12" i="79"/>
  <c r="AL12" i="79"/>
  <c r="AG12" i="79"/>
  <c r="AE12" i="79"/>
  <c r="AC12" i="79"/>
  <c r="AA12" i="79"/>
  <c r="Y12" i="79"/>
  <c r="H12" i="79"/>
  <c r="AX11" i="79"/>
  <c r="AW11" i="79"/>
  <c r="AV10" i="79"/>
  <c r="AU10" i="79"/>
  <c r="AT10" i="79"/>
  <c r="AS10" i="79"/>
  <c r="AR10" i="79"/>
  <c r="AQ10" i="79"/>
  <c r="AP10" i="79"/>
  <c r="AO10" i="79"/>
  <c r="AN10" i="79"/>
  <c r="AM10" i="79"/>
  <c r="AL10" i="79"/>
  <c r="AK10" i="79"/>
  <c r="H10" i="79"/>
  <c r="G10" i="79"/>
  <c r="AV9" i="79"/>
  <c r="AU9" i="79"/>
  <c r="AT9" i="79"/>
  <c r="AS9" i="79"/>
  <c r="AR9" i="79"/>
  <c r="AQ9" i="79"/>
  <c r="AP9" i="79"/>
  <c r="AO9" i="79"/>
  <c r="AN9" i="79"/>
  <c r="AM9" i="79"/>
  <c r="AL9" i="79"/>
  <c r="AK9" i="79"/>
  <c r="H9" i="79"/>
  <c r="G9" i="79"/>
  <c r="J69" i="78"/>
  <c r="J68" i="78"/>
  <c r="J66" i="78"/>
  <c r="J65" i="78"/>
  <c r="J64" i="78"/>
  <c r="J63" i="78"/>
  <c r="J62" i="78"/>
  <c r="J61" i="78"/>
  <c r="J60" i="78"/>
  <c r="J59" i="78"/>
  <c r="J58" i="78"/>
  <c r="J57" i="78"/>
  <c r="J56" i="78"/>
  <c r="J55" i="78"/>
  <c r="J54" i="78"/>
  <c r="J53" i="78"/>
  <c r="J52" i="78"/>
  <c r="J51" i="78"/>
  <c r="J50" i="78"/>
  <c r="J49" i="78"/>
  <c r="J48" i="78"/>
  <c r="J47" i="78"/>
  <c r="J43" i="78"/>
  <c r="J42" i="78"/>
  <c r="J41" i="78"/>
  <c r="J40" i="78"/>
  <c r="J39" i="78"/>
  <c r="J35" i="78"/>
  <c r="J34" i="78"/>
  <c r="J33" i="78"/>
  <c r="J30" i="78" s="1"/>
  <c r="J29" i="78"/>
  <c r="J28" i="78"/>
  <c r="J27" i="78"/>
  <c r="J25" i="78"/>
  <c r="J24" i="78"/>
  <c r="J22" i="78"/>
  <c r="J21" i="78"/>
  <c r="J20" i="78"/>
  <c r="J19" i="78"/>
  <c r="J16" i="78"/>
  <c r="J15" i="78"/>
  <c r="J13" i="78"/>
  <c r="J12" i="78"/>
  <c r="AG68" i="77"/>
  <c r="AG48" i="77"/>
  <c r="AH48" i="77" s="1"/>
  <c r="AG49" i="77"/>
  <c r="AH49" i="77" s="1"/>
  <c r="AG50" i="77"/>
  <c r="AH50" i="77" s="1"/>
  <c r="AG51" i="77"/>
  <c r="AH51" i="77" s="1"/>
  <c r="AG52" i="77"/>
  <c r="AH52" i="77" s="1"/>
  <c r="AG53" i="77"/>
  <c r="AH53" i="77" s="1"/>
  <c r="AG58" i="77"/>
  <c r="AH58" i="77" s="1"/>
  <c r="AG59" i="77"/>
  <c r="AH59" i="77" s="1"/>
  <c r="AG60" i="77"/>
  <c r="AH60" i="77" s="1"/>
  <c r="AG62" i="77"/>
  <c r="AH62" i="77" s="1"/>
  <c r="AG64" i="77"/>
  <c r="AH64" i="77" s="1"/>
  <c r="AG65" i="77"/>
  <c r="AH65" i="77" s="1"/>
  <c r="AG66" i="77"/>
  <c r="AH66" i="77" s="1"/>
  <c r="AG47" i="77"/>
  <c r="AH47" i="77" s="1"/>
  <c r="AG34" i="77"/>
  <c r="AH34" i="77" s="1"/>
  <c r="AG33" i="77"/>
  <c r="AH33" i="77" s="1"/>
  <c r="AG29" i="77"/>
  <c r="AH29" i="77" s="1"/>
  <c r="AG20" i="77"/>
  <c r="AH20" i="77" s="1"/>
  <c r="AG21" i="77"/>
  <c r="AH21" i="77" s="1"/>
  <c r="AG19" i="77"/>
  <c r="AH19" i="77" s="1"/>
  <c r="AE69" i="77"/>
  <c r="AC69" i="77"/>
  <c r="AA69" i="77"/>
  <c r="Y69" i="77"/>
  <c r="AE68" i="77"/>
  <c r="AC68" i="77"/>
  <c r="AA68" i="77"/>
  <c r="Y68" i="77"/>
  <c r="AE67" i="77"/>
  <c r="Y67" i="77"/>
  <c r="AT66" i="77"/>
  <c r="AR66" i="77"/>
  <c r="AP66" i="77"/>
  <c r="AN66" i="77"/>
  <c r="AL66" i="77"/>
  <c r="AJ66" i="77"/>
  <c r="AE66" i="77"/>
  <c r="AF66" i="77" s="1"/>
  <c r="AC66" i="77"/>
  <c r="AD66" i="77" s="1"/>
  <c r="AA66" i="77"/>
  <c r="AB66" i="77" s="1"/>
  <c r="Y66" i="77"/>
  <c r="Z66" i="77" s="1"/>
  <c r="H66" i="77"/>
  <c r="AT65" i="77"/>
  <c r="AR65" i="77"/>
  <c r="AP65" i="77"/>
  <c r="AN65" i="77"/>
  <c r="AL65" i="77"/>
  <c r="AJ65" i="77"/>
  <c r="AE65" i="77"/>
  <c r="AF65" i="77" s="1"/>
  <c r="AC65" i="77"/>
  <c r="AD65" i="77" s="1"/>
  <c r="AA65" i="77"/>
  <c r="AB65" i="77" s="1"/>
  <c r="Y65" i="77"/>
  <c r="Z65" i="77" s="1"/>
  <c r="H65" i="77"/>
  <c r="AT64" i="77"/>
  <c r="AR64" i="77"/>
  <c r="AP64" i="77"/>
  <c r="AN64" i="77"/>
  <c r="AL64" i="77"/>
  <c r="AJ64" i="77"/>
  <c r="AE64" i="77"/>
  <c r="AF64" i="77" s="1"/>
  <c r="AC64" i="77"/>
  <c r="AD64" i="77" s="1"/>
  <c r="AA64" i="77"/>
  <c r="AB64" i="77" s="1"/>
  <c r="Y64" i="77"/>
  <c r="H64" i="77"/>
  <c r="AT63" i="77"/>
  <c r="AR63" i="77"/>
  <c r="AP63" i="77"/>
  <c r="AN63" i="77"/>
  <c r="AL63" i="77"/>
  <c r="AJ63" i="77"/>
  <c r="AE63" i="77"/>
  <c r="AF63" i="77" s="1"/>
  <c r="AC63" i="77"/>
  <c r="AD63" i="77" s="1"/>
  <c r="AA63" i="77"/>
  <c r="AB63" i="77" s="1"/>
  <c r="Y63" i="77"/>
  <c r="H63" i="77"/>
  <c r="AT62" i="77"/>
  <c r="AR62" i="77"/>
  <c r="AP62" i="77"/>
  <c r="AN62" i="77"/>
  <c r="AL62" i="77"/>
  <c r="AJ62" i="77"/>
  <c r="AE62" i="77"/>
  <c r="AF62" i="77" s="1"/>
  <c r="AC62" i="77"/>
  <c r="AD62" i="77" s="1"/>
  <c r="AA62" i="77"/>
  <c r="AB62" i="77" s="1"/>
  <c r="Y62" i="77"/>
  <c r="H62" i="77"/>
  <c r="AT61" i="77"/>
  <c r="AR61" i="77"/>
  <c r="AP61" i="77"/>
  <c r="AN61" i="77"/>
  <c r="AL61" i="77"/>
  <c r="AJ61" i="77"/>
  <c r="AE61" i="77"/>
  <c r="AF61" i="77" s="1"/>
  <c r="AC61" i="77"/>
  <c r="AD61" i="77" s="1"/>
  <c r="AA61" i="77"/>
  <c r="AB61" i="77" s="1"/>
  <c r="Y61" i="77"/>
  <c r="Z61" i="77" s="1"/>
  <c r="H61" i="77"/>
  <c r="AT60" i="77"/>
  <c r="AR60" i="77"/>
  <c r="AP60" i="77"/>
  <c r="AN60" i="77"/>
  <c r="AL60" i="77"/>
  <c r="AJ60" i="77"/>
  <c r="AE60" i="77"/>
  <c r="AF60" i="77" s="1"/>
  <c r="AC60" i="77"/>
  <c r="AD60" i="77" s="1"/>
  <c r="AA60" i="77"/>
  <c r="AB60" i="77" s="1"/>
  <c r="Y60" i="77"/>
  <c r="Z60" i="77" s="1"/>
  <c r="H60" i="77"/>
  <c r="AT59" i="77"/>
  <c r="AR59" i="77"/>
  <c r="AP59" i="77"/>
  <c r="AN59" i="77"/>
  <c r="AL59" i="77"/>
  <c r="AJ59" i="77"/>
  <c r="AE59" i="77"/>
  <c r="AF59" i="77" s="1"/>
  <c r="AC59" i="77"/>
  <c r="AD59" i="77" s="1"/>
  <c r="AA59" i="77"/>
  <c r="AB59" i="77" s="1"/>
  <c r="Y59" i="77"/>
  <c r="Z59" i="77" s="1"/>
  <c r="H59" i="77"/>
  <c r="AT58" i="77"/>
  <c r="AR58" i="77"/>
  <c r="AP58" i="77"/>
  <c r="AN58" i="77"/>
  <c r="AL58" i="77"/>
  <c r="AJ58" i="77"/>
  <c r="AE58" i="77"/>
  <c r="AF58" i="77" s="1"/>
  <c r="AC58" i="77"/>
  <c r="AD58" i="77" s="1"/>
  <c r="AA58" i="77"/>
  <c r="AB58" i="77" s="1"/>
  <c r="Y58" i="77"/>
  <c r="H58" i="77"/>
  <c r="AT57" i="77"/>
  <c r="AR57" i="77"/>
  <c r="AP57" i="77"/>
  <c r="AN57" i="77"/>
  <c r="AL57" i="77"/>
  <c r="AJ57" i="77"/>
  <c r="AE57" i="77"/>
  <c r="AF57" i="77" s="1"/>
  <c r="AC57" i="77"/>
  <c r="AD57" i="77" s="1"/>
  <c r="AA57" i="77"/>
  <c r="AB57" i="77" s="1"/>
  <c r="Y57" i="77"/>
  <c r="H57" i="77"/>
  <c r="AT56" i="77"/>
  <c r="AR56" i="77"/>
  <c r="AP56" i="77"/>
  <c r="AN56" i="77"/>
  <c r="AL56" i="77"/>
  <c r="AJ56" i="77"/>
  <c r="AE56" i="77"/>
  <c r="AF56" i="77" s="1"/>
  <c r="AC56" i="77"/>
  <c r="AD56" i="77" s="1"/>
  <c r="AA56" i="77"/>
  <c r="AB56" i="77" s="1"/>
  <c r="Y56" i="77"/>
  <c r="Z56" i="77" s="1"/>
  <c r="H56" i="77"/>
  <c r="AT55" i="77"/>
  <c r="AR55" i="77"/>
  <c r="AP55" i="77"/>
  <c r="AN55" i="77"/>
  <c r="AL55" i="77"/>
  <c r="AJ55" i="77"/>
  <c r="AE55" i="77"/>
  <c r="AF55" i="77" s="1"/>
  <c r="AC55" i="77"/>
  <c r="AD55" i="77" s="1"/>
  <c r="AA55" i="77"/>
  <c r="AB55" i="77" s="1"/>
  <c r="Y55" i="77"/>
  <c r="Z55" i="77" s="1"/>
  <c r="H55" i="77"/>
  <c r="AT54" i="77"/>
  <c r="AR54" i="77"/>
  <c r="AP54" i="77"/>
  <c r="AN54" i="77"/>
  <c r="AL54" i="77"/>
  <c r="AJ54" i="77"/>
  <c r="AE54" i="77"/>
  <c r="AF54" i="77" s="1"/>
  <c r="AC54" i="77"/>
  <c r="AD54" i="77" s="1"/>
  <c r="AA54" i="77"/>
  <c r="AB54" i="77" s="1"/>
  <c r="Y54" i="77"/>
  <c r="H54" i="77"/>
  <c r="AT53" i="77"/>
  <c r="AR53" i="77"/>
  <c r="AP53" i="77"/>
  <c r="AN53" i="77"/>
  <c r="AL53" i="77"/>
  <c r="AJ53" i="77"/>
  <c r="AE53" i="77"/>
  <c r="AF53" i="77" s="1"/>
  <c r="AC53" i="77"/>
  <c r="AD53" i="77" s="1"/>
  <c r="AA53" i="77"/>
  <c r="AB53" i="77" s="1"/>
  <c r="Y53" i="77"/>
  <c r="H53" i="77"/>
  <c r="AT52" i="77"/>
  <c r="AR52" i="77"/>
  <c r="AP52" i="77"/>
  <c r="AN52" i="77"/>
  <c r="AL52" i="77"/>
  <c r="AJ52" i="77"/>
  <c r="AE52" i="77"/>
  <c r="AF52" i="77" s="1"/>
  <c r="AC52" i="77"/>
  <c r="AD52" i="77" s="1"/>
  <c r="AA52" i="77"/>
  <c r="AB52" i="77" s="1"/>
  <c r="Y52" i="77"/>
  <c r="Z52" i="77" s="1"/>
  <c r="H52" i="77"/>
  <c r="AT51" i="77"/>
  <c r="AR51" i="77"/>
  <c r="AP51" i="77"/>
  <c r="AN51" i="77"/>
  <c r="AL51" i="77"/>
  <c r="AJ51" i="77"/>
  <c r="AE51" i="77"/>
  <c r="AF51" i="77" s="1"/>
  <c r="AC51" i="77"/>
  <c r="AD51" i="77" s="1"/>
  <c r="AA51" i="77"/>
  <c r="AB51" i="77" s="1"/>
  <c r="Y51" i="77"/>
  <c r="H51" i="77"/>
  <c r="AT50" i="77"/>
  <c r="AR50" i="77"/>
  <c r="AP50" i="77"/>
  <c r="AN50" i="77"/>
  <c r="AL50" i="77"/>
  <c r="AJ50" i="77"/>
  <c r="AE50" i="77"/>
  <c r="AF50" i="77" s="1"/>
  <c r="AC50" i="77"/>
  <c r="AD50" i="77" s="1"/>
  <c r="AA50" i="77"/>
  <c r="AB50" i="77" s="1"/>
  <c r="Y50" i="77"/>
  <c r="H50" i="77"/>
  <c r="AT49" i="77"/>
  <c r="AR49" i="77"/>
  <c r="AP49" i="77"/>
  <c r="AN49" i="77"/>
  <c r="AL49" i="77"/>
  <c r="AJ49" i="77"/>
  <c r="AE49" i="77"/>
  <c r="AF49" i="77" s="1"/>
  <c r="AC49" i="77"/>
  <c r="AD49" i="77" s="1"/>
  <c r="AA49" i="77"/>
  <c r="AB49" i="77" s="1"/>
  <c r="Y49" i="77"/>
  <c r="Z49" i="77" s="1"/>
  <c r="H49" i="77"/>
  <c r="AT48" i="77"/>
  <c r="AR48" i="77"/>
  <c r="AP48" i="77"/>
  <c r="AN48" i="77"/>
  <c r="AL48" i="77"/>
  <c r="AJ48" i="77"/>
  <c r="AE48" i="77"/>
  <c r="AF48" i="77" s="1"/>
  <c r="AC48" i="77"/>
  <c r="AD48" i="77" s="1"/>
  <c r="AA48" i="77"/>
  <c r="AB48" i="77" s="1"/>
  <c r="Y48" i="77"/>
  <c r="Z48" i="77" s="1"/>
  <c r="H48" i="77"/>
  <c r="AT47" i="77"/>
  <c r="AR47" i="77"/>
  <c r="AP47" i="77"/>
  <c r="AN47" i="77"/>
  <c r="AL47" i="77"/>
  <c r="AJ47" i="77"/>
  <c r="AE47" i="77"/>
  <c r="AC47" i="77"/>
  <c r="AD47" i="77" s="1"/>
  <c r="AA47" i="77"/>
  <c r="AB47" i="77" s="1"/>
  <c r="Y47" i="77"/>
  <c r="H47" i="77"/>
  <c r="AV44" i="77"/>
  <c r="AU44" i="77"/>
  <c r="AS44" i="77"/>
  <c r="AQ44" i="77"/>
  <c r="AO44" i="77"/>
  <c r="AM44" i="77"/>
  <c r="AK44" i="77"/>
  <c r="AI44" i="77"/>
  <c r="G44" i="77"/>
  <c r="AT43" i="77"/>
  <c r="AR43" i="77"/>
  <c r="AP43" i="77"/>
  <c r="AN43" i="77"/>
  <c r="AL43" i="77"/>
  <c r="AJ43" i="77"/>
  <c r="AE43" i="77"/>
  <c r="AF43" i="77" s="1"/>
  <c r="AC43" i="77"/>
  <c r="AD43" i="77" s="1"/>
  <c r="AA43" i="77"/>
  <c r="AB43" i="77" s="1"/>
  <c r="Y43" i="77"/>
  <c r="Z43" i="77" s="1"/>
  <c r="H43" i="77"/>
  <c r="AT42" i="77"/>
  <c r="AR42" i="77"/>
  <c r="AP42" i="77"/>
  <c r="AN42" i="77"/>
  <c r="AL42" i="77"/>
  <c r="AJ42" i="77"/>
  <c r="AE42" i="77"/>
  <c r="AF42" i="77" s="1"/>
  <c r="AC42" i="77"/>
  <c r="AA42" i="77"/>
  <c r="AB42" i="77" s="1"/>
  <c r="Y42" i="77"/>
  <c r="Z42" i="77" s="1"/>
  <c r="H42" i="77"/>
  <c r="AT41" i="77"/>
  <c r="AR41" i="77"/>
  <c r="AP41" i="77"/>
  <c r="AN41" i="77"/>
  <c r="AL41" i="77"/>
  <c r="AJ41" i="77"/>
  <c r="AE41" i="77"/>
  <c r="AF41" i="77" s="1"/>
  <c r="AC41" i="77"/>
  <c r="AD41" i="77" s="1"/>
  <c r="AA41" i="77"/>
  <c r="AB41" i="77" s="1"/>
  <c r="Y41" i="77"/>
  <c r="H41" i="77"/>
  <c r="AT40" i="77"/>
  <c r="AR40" i="77"/>
  <c r="AP40" i="77"/>
  <c r="AN40" i="77"/>
  <c r="AL40" i="77"/>
  <c r="AJ40" i="77"/>
  <c r="AE40" i="77"/>
  <c r="AF40" i="77" s="1"/>
  <c r="AC40" i="77"/>
  <c r="AD40" i="77" s="1"/>
  <c r="AA40" i="77"/>
  <c r="Y40" i="77"/>
  <c r="Z40" i="77" s="1"/>
  <c r="H40" i="77"/>
  <c r="AT39" i="77"/>
  <c r="AR39" i="77"/>
  <c r="AP39" i="77"/>
  <c r="AN39" i="77"/>
  <c r="AL39" i="77"/>
  <c r="AJ39" i="77"/>
  <c r="AE39" i="77"/>
  <c r="AC39" i="77"/>
  <c r="AD39" i="77" s="1"/>
  <c r="AA39" i="77"/>
  <c r="AB39" i="77" s="1"/>
  <c r="Y39" i="77"/>
  <c r="H39" i="77"/>
  <c r="AX38" i="77"/>
  <c r="AW38" i="77"/>
  <c r="AV36" i="77"/>
  <c r="AU36" i="77"/>
  <c r="AS36" i="77"/>
  <c r="AQ36" i="77"/>
  <c r="AO36" i="77"/>
  <c r="AM36" i="77"/>
  <c r="AK36" i="77"/>
  <c r="AI36" i="77"/>
  <c r="G36" i="77"/>
  <c r="AT35" i="77"/>
  <c r="AR35" i="77"/>
  <c r="AP35" i="77"/>
  <c r="AN35" i="77"/>
  <c r="AL35" i="77"/>
  <c r="AJ35" i="77"/>
  <c r="AE35" i="77"/>
  <c r="AF35" i="77" s="1"/>
  <c r="AC35" i="77"/>
  <c r="AD35" i="77" s="1"/>
  <c r="AA35" i="77"/>
  <c r="AB35" i="77" s="1"/>
  <c r="Y35" i="77"/>
  <c r="Z35" i="77" s="1"/>
  <c r="H35" i="77"/>
  <c r="AT34" i="77"/>
  <c r="AR34" i="77"/>
  <c r="AP34" i="77"/>
  <c r="AN34" i="77"/>
  <c r="AL34" i="77"/>
  <c r="AJ34" i="77"/>
  <c r="AE34" i="77"/>
  <c r="AF34" i="77" s="1"/>
  <c r="AC34" i="77"/>
  <c r="AD34" i="77" s="1"/>
  <c r="AA34" i="77"/>
  <c r="AB34" i="77" s="1"/>
  <c r="Y34" i="77"/>
  <c r="H34" i="77"/>
  <c r="AT33" i="77"/>
  <c r="AR33" i="77"/>
  <c r="AP33" i="77"/>
  <c r="AN33" i="77"/>
  <c r="AL33" i="77"/>
  <c r="AJ33" i="77"/>
  <c r="AE33" i="77"/>
  <c r="AC33" i="77"/>
  <c r="AD33" i="77" s="1"/>
  <c r="AA33" i="77"/>
  <c r="AB33" i="77" s="1"/>
  <c r="Y33" i="77"/>
  <c r="H33" i="77"/>
  <c r="AV30" i="77"/>
  <c r="AU30" i="77"/>
  <c r="AS30" i="77"/>
  <c r="AQ30" i="77"/>
  <c r="AO30" i="77"/>
  <c r="AM30" i="77"/>
  <c r="AK30" i="77"/>
  <c r="AI30" i="77"/>
  <c r="O30" i="77"/>
  <c r="G30" i="77"/>
  <c r="AT29" i="77"/>
  <c r="AR29" i="77"/>
  <c r="AP29" i="77"/>
  <c r="AN29" i="77"/>
  <c r="AL29" i="77"/>
  <c r="AJ29" i="77"/>
  <c r="AE29" i="77"/>
  <c r="AF29" i="77" s="1"/>
  <c r="AC29" i="77"/>
  <c r="AD29" i="77" s="1"/>
  <c r="AB29" i="77"/>
  <c r="Y29" i="77"/>
  <c r="Z29" i="77" s="1"/>
  <c r="H29" i="77"/>
  <c r="AT28" i="77"/>
  <c r="AR28" i="77"/>
  <c r="AP28" i="77"/>
  <c r="AN28" i="77"/>
  <c r="AL28" i="77"/>
  <c r="AJ28" i="77"/>
  <c r="AE28" i="77"/>
  <c r="AF28" i="77" s="1"/>
  <c r="AC28" i="77"/>
  <c r="AD28" i="77" s="1"/>
  <c r="AA28" i="77"/>
  <c r="AB28" i="77" s="1"/>
  <c r="Y28" i="77"/>
  <c r="H28" i="77"/>
  <c r="AT27" i="77"/>
  <c r="AR27" i="77"/>
  <c r="AP27" i="77"/>
  <c r="AN27" i="77"/>
  <c r="AL27" i="77"/>
  <c r="AJ27" i="77"/>
  <c r="AE27" i="77"/>
  <c r="AF27" i="77" s="1"/>
  <c r="AC27" i="77"/>
  <c r="AD27" i="77" s="1"/>
  <c r="AA27" i="77"/>
  <c r="AB27" i="77" s="1"/>
  <c r="Y27" i="77"/>
  <c r="H27" i="77"/>
  <c r="AX26" i="77"/>
  <c r="AW26" i="77"/>
  <c r="AT25" i="77"/>
  <c r="AR25" i="77"/>
  <c r="AP25" i="77"/>
  <c r="AN25" i="77"/>
  <c r="AL25" i="77"/>
  <c r="AJ25" i="77"/>
  <c r="AE25" i="77"/>
  <c r="AF25" i="77" s="1"/>
  <c r="AC25" i="77"/>
  <c r="AD25" i="77" s="1"/>
  <c r="AA25" i="77"/>
  <c r="AB25" i="77" s="1"/>
  <c r="Y25" i="77"/>
  <c r="Z25" i="77" s="1"/>
  <c r="H25" i="77"/>
  <c r="AT24" i="77"/>
  <c r="AR24" i="77"/>
  <c r="AP24" i="77"/>
  <c r="AN24" i="77"/>
  <c r="AL24" i="77"/>
  <c r="AJ24" i="77"/>
  <c r="AE24" i="77"/>
  <c r="AF24" i="77" s="1"/>
  <c r="AC24" i="77"/>
  <c r="AD24" i="77" s="1"/>
  <c r="AA24" i="77"/>
  <c r="AB24" i="77" s="1"/>
  <c r="Y24" i="77"/>
  <c r="Z24" i="77" s="1"/>
  <c r="H24" i="77"/>
  <c r="AX23" i="77"/>
  <c r="AW23" i="77"/>
  <c r="AT22" i="77"/>
  <c r="AR22" i="77"/>
  <c r="AP22" i="77"/>
  <c r="AN22" i="77"/>
  <c r="AL22" i="77"/>
  <c r="AJ22" i="77"/>
  <c r="AE22" i="77"/>
  <c r="AF22" i="77" s="1"/>
  <c r="AC22" i="77"/>
  <c r="AD22" i="77" s="1"/>
  <c r="AA22" i="77"/>
  <c r="AB22" i="77" s="1"/>
  <c r="Y22" i="77"/>
  <c r="Z22" i="77" s="1"/>
  <c r="H22" i="77"/>
  <c r="AT21" i="77"/>
  <c r="AR21" i="77"/>
  <c r="AP21" i="77"/>
  <c r="AN21" i="77"/>
  <c r="AL21" i="77"/>
  <c r="AJ21" i="77"/>
  <c r="AE21" i="77"/>
  <c r="AF21" i="77" s="1"/>
  <c r="AC21" i="77"/>
  <c r="AD21" i="77" s="1"/>
  <c r="AA21" i="77"/>
  <c r="AB21" i="77" s="1"/>
  <c r="Y21" i="77"/>
  <c r="Z21" i="77" s="1"/>
  <c r="H21" i="77"/>
  <c r="AT20" i="77"/>
  <c r="AR20" i="77"/>
  <c r="AP20" i="77"/>
  <c r="AN20" i="77"/>
  <c r="AL20" i="77"/>
  <c r="AJ20" i="77"/>
  <c r="AE20" i="77"/>
  <c r="AF20" i="77" s="1"/>
  <c r="AC20" i="77"/>
  <c r="AD20" i="77" s="1"/>
  <c r="AA20" i="77"/>
  <c r="Y20" i="77"/>
  <c r="Z20" i="77" s="1"/>
  <c r="H20" i="77"/>
  <c r="AT19" i="77"/>
  <c r="AR19" i="77"/>
  <c r="AP19" i="77"/>
  <c r="AN19" i="77"/>
  <c r="AL19" i="77"/>
  <c r="AJ19" i="77"/>
  <c r="AE19" i="77"/>
  <c r="AF19" i="77" s="1"/>
  <c r="AC19" i="77"/>
  <c r="AD19" i="77" s="1"/>
  <c r="AA19" i="77"/>
  <c r="AB19" i="77" s="1"/>
  <c r="Y19" i="77"/>
  <c r="Z19" i="77" s="1"/>
  <c r="H19" i="77"/>
  <c r="AX18" i="77"/>
  <c r="AW18" i="77"/>
  <c r="L18" i="77"/>
  <c r="AT16" i="77"/>
  <c r="AR16" i="77"/>
  <c r="AP16" i="77"/>
  <c r="AN16" i="77"/>
  <c r="AL16" i="77"/>
  <c r="AJ16" i="77"/>
  <c r="AE16" i="77"/>
  <c r="AF16" i="77" s="1"/>
  <c r="AC16" i="77"/>
  <c r="AD16" i="77" s="1"/>
  <c r="AA16" i="77"/>
  <c r="AB16" i="77" s="1"/>
  <c r="Y16" i="77"/>
  <c r="H16" i="77"/>
  <c r="AT15" i="77"/>
  <c r="AR15" i="77"/>
  <c r="AP15" i="77"/>
  <c r="AN15" i="77"/>
  <c r="AL15" i="77"/>
  <c r="AJ15" i="77"/>
  <c r="AE15" i="77"/>
  <c r="AF15" i="77" s="1"/>
  <c r="AC15" i="77"/>
  <c r="AD15" i="77" s="1"/>
  <c r="AA15" i="77"/>
  <c r="AB15" i="77" s="1"/>
  <c r="Y15" i="77"/>
  <c r="Z15" i="77" s="1"/>
  <c r="H15" i="77"/>
  <c r="AX14" i="77"/>
  <c r="AW14" i="77"/>
  <c r="AT13" i="77"/>
  <c r="AR13" i="77"/>
  <c r="AP13" i="77"/>
  <c r="AN13" i="77"/>
  <c r="AL13" i="77"/>
  <c r="AJ13" i="77"/>
  <c r="AC13" i="77"/>
  <c r="AD13" i="77" s="1"/>
  <c r="AA13" i="77"/>
  <c r="AB13" i="77" s="1"/>
  <c r="Y13" i="77"/>
  <c r="H13" i="77"/>
  <c r="AT12" i="77"/>
  <c r="AR12" i="77"/>
  <c r="AP12" i="77"/>
  <c r="AN12" i="77"/>
  <c r="AL12" i="77"/>
  <c r="AJ12" i="77"/>
  <c r="AC12" i="77"/>
  <c r="AD12" i="77" s="1"/>
  <c r="AA12" i="77"/>
  <c r="AB12" i="77" s="1"/>
  <c r="Y12" i="77"/>
  <c r="H12" i="77"/>
  <c r="AX11" i="77"/>
  <c r="AW11" i="77"/>
  <c r="AV10" i="77"/>
  <c r="AU10" i="77"/>
  <c r="AS10" i="77"/>
  <c r="AQ10" i="77"/>
  <c r="AQ9" i="77" s="1"/>
  <c r="AQ70" i="77" s="1"/>
  <c r="AO10" i="77"/>
  <c r="AO9" i="77" s="1"/>
  <c r="AO70" i="77" s="1"/>
  <c r="AM10" i="77"/>
  <c r="AK10" i="77"/>
  <c r="AI10" i="77"/>
  <c r="G10" i="77"/>
  <c r="J68" i="76"/>
  <c r="J67" i="76"/>
  <c r="J66" i="76"/>
  <c r="K66" i="76" s="1"/>
  <c r="J65" i="76"/>
  <c r="K65" i="76" s="1"/>
  <c r="J64" i="76"/>
  <c r="K64" i="76" s="1"/>
  <c r="J63" i="76"/>
  <c r="K63" i="76" s="1"/>
  <c r="J62" i="76"/>
  <c r="K62" i="76" s="1"/>
  <c r="J61" i="76"/>
  <c r="K61" i="76" s="1"/>
  <c r="J60" i="76"/>
  <c r="K60" i="76" s="1"/>
  <c r="J59" i="76"/>
  <c r="K59" i="76" s="1"/>
  <c r="J58" i="76"/>
  <c r="K58" i="76" s="1"/>
  <c r="J57" i="76"/>
  <c r="K57" i="76" s="1"/>
  <c r="J56" i="76"/>
  <c r="K56" i="76" s="1"/>
  <c r="J55" i="76"/>
  <c r="K55" i="76" s="1"/>
  <c r="J54" i="76"/>
  <c r="K54" i="76" s="1"/>
  <c r="J53" i="76"/>
  <c r="K53" i="76" s="1"/>
  <c r="J52" i="76"/>
  <c r="K52" i="76" s="1"/>
  <c r="J51" i="76"/>
  <c r="K51" i="76" s="1"/>
  <c r="J50" i="76"/>
  <c r="K50" i="76" s="1"/>
  <c r="J49" i="76"/>
  <c r="K49" i="76" s="1"/>
  <c r="J48" i="76"/>
  <c r="K48" i="76" s="1"/>
  <c r="J47" i="76"/>
  <c r="J43" i="76"/>
  <c r="K43" i="76" s="1"/>
  <c r="J42" i="76"/>
  <c r="K42" i="76" s="1"/>
  <c r="J41" i="76"/>
  <c r="K41" i="76" s="1"/>
  <c r="J40" i="76"/>
  <c r="K40" i="76" s="1"/>
  <c r="J39" i="76"/>
  <c r="K39" i="76" s="1"/>
  <c r="J35" i="76"/>
  <c r="K35" i="76" s="1"/>
  <c r="J34" i="76"/>
  <c r="J33" i="76"/>
  <c r="K33" i="76" s="1"/>
  <c r="J29" i="76"/>
  <c r="K29" i="76" s="1"/>
  <c r="J28" i="76"/>
  <c r="K28" i="76" s="1"/>
  <c r="J27" i="76"/>
  <c r="K27" i="76" s="1"/>
  <c r="J25" i="76"/>
  <c r="K25" i="76" s="1"/>
  <c r="J24" i="76"/>
  <c r="K24" i="76" s="1"/>
  <c r="J22" i="76"/>
  <c r="K22" i="76" s="1"/>
  <c r="J21" i="76"/>
  <c r="K21" i="76" s="1"/>
  <c r="J20" i="76"/>
  <c r="K20" i="76" s="1"/>
  <c r="J19" i="76"/>
  <c r="K19" i="76" s="1"/>
  <c r="J16" i="76"/>
  <c r="K16" i="76" s="1"/>
  <c r="J15" i="76"/>
  <c r="K15" i="76" s="1"/>
  <c r="AE67" i="75"/>
  <c r="AK16" i="81"/>
  <c r="AL16" i="81" s="1"/>
  <c r="AK55" i="81"/>
  <c r="AL55" i="81" s="1"/>
  <c r="AK58" i="81"/>
  <c r="AL58" i="81" s="1"/>
  <c r="AK59" i="81"/>
  <c r="AL59" i="81" s="1"/>
  <c r="AK60" i="81"/>
  <c r="AL60" i="81" s="1"/>
  <c r="AK68" i="81"/>
  <c r="AK51" i="81"/>
  <c r="AL51" i="81" s="1"/>
  <c r="AM27" i="83"/>
  <c r="AN27" i="83" s="1"/>
  <c r="AM28" i="83"/>
  <c r="AN28" i="83" s="1"/>
  <c r="AM60" i="83"/>
  <c r="AN60" i="83" s="1"/>
  <c r="AO59" i="85"/>
  <c r="AP59" i="85" s="1"/>
  <c r="AO29" i="85"/>
  <c r="AP29" i="85" s="1"/>
  <c r="AO65" i="85"/>
  <c r="AP65" i="85" s="1"/>
  <c r="AO53" i="85"/>
  <c r="AP53" i="85" s="1"/>
  <c r="AO63" i="85"/>
  <c r="AP63" i="85" s="1"/>
  <c r="AO15" i="85"/>
  <c r="AP15" i="85" s="1"/>
  <c r="AO33" i="85"/>
  <c r="AO34" i="85"/>
  <c r="AP34" i="85" s="1"/>
  <c r="AO69" i="85"/>
  <c r="K41" i="86" l="1"/>
  <c r="K36" i="86" s="1"/>
  <c r="K9" i="86" s="1"/>
  <c r="J36" i="86"/>
  <c r="J9" i="86" s="1"/>
  <c r="J70" i="86" s="1"/>
  <c r="AW67" i="85"/>
  <c r="I67" i="85" s="1"/>
  <c r="AF53" i="85"/>
  <c r="AF44" i="85" s="1"/>
  <c r="AE44" i="85"/>
  <c r="AO68" i="85"/>
  <c r="AO55" i="85"/>
  <c r="AP55" i="85" s="1"/>
  <c r="AW69" i="85"/>
  <c r="I69" i="85" s="1"/>
  <c r="AO27" i="85"/>
  <c r="AP27" i="85" s="1"/>
  <c r="AO56" i="85"/>
  <c r="AP56" i="85" s="1"/>
  <c r="AW68" i="85"/>
  <c r="I68" i="85" s="1"/>
  <c r="M68" i="85" s="1"/>
  <c r="AO16" i="85"/>
  <c r="AO35" i="85"/>
  <c r="AL33" i="83"/>
  <c r="AL30" i="83" s="1"/>
  <c r="AK30" i="83"/>
  <c r="AJ33" i="83"/>
  <c r="AJ30" i="83" s="1"/>
  <c r="AI30" i="83"/>
  <c r="AH33" i="83"/>
  <c r="AH30" i="83" s="1"/>
  <c r="AG30" i="83"/>
  <c r="AF33" i="83"/>
  <c r="AF30" i="83" s="1"/>
  <c r="AE30" i="83"/>
  <c r="AD33" i="83"/>
  <c r="AD30" i="83" s="1"/>
  <c r="AC30" i="83"/>
  <c r="AB33" i="83"/>
  <c r="AB30" i="83" s="1"/>
  <c r="AA30" i="83"/>
  <c r="AD41" i="85"/>
  <c r="AD36" i="85" s="1"/>
  <c r="AC36" i="85"/>
  <c r="AO47" i="85"/>
  <c r="AP47" i="85" s="1"/>
  <c r="AJ40" i="85"/>
  <c r="AJ36" i="85" s="1"/>
  <c r="AI36" i="85"/>
  <c r="AE9" i="85"/>
  <c r="AE70" i="85" s="1"/>
  <c r="AG10" i="79"/>
  <c r="AC10" i="79"/>
  <c r="Y9" i="85"/>
  <c r="Y70" i="85" s="1"/>
  <c r="AC9" i="85"/>
  <c r="AC70" i="85" s="1"/>
  <c r="AA9" i="85"/>
  <c r="AA70" i="85" s="1"/>
  <c r="AO61" i="85"/>
  <c r="AO57" i="85"/>
  <c r="AW57" i="85" s="1"/>
  <c r="I57" i="85" s="1"/>
  <c r="AO54" i="85"/>
  <c r="AF9" i="85"/>
  <c r="AF70" i="85" s="1"/>
  <c r="AD9" i="85"/>
  <c r="AD70" i="85" s="1"/>
  <c r="AB9" i="85"/>
  <c r="AB70" i="85" s="1"/>
  <c r="AP33" i="85"/>
  <c r="AJ56" i="85"/>
  <c r="AJ44" i="85" s="1"/>
  <c r="AI44" i="85"/>
  <c r="AN35" i="85"/>
  <c r="AN30" i="85" s="1"/>
  <c r="AN9" i="85" s="1"/>
  <c r="AN70" i="85" s="1"/>
  <c r="AM30" i="85"/>
  <c r="AM9" i="85" s="1"/>
  <c r="AM70" i="85" s="1"/>
  <c r="AL35" i="85"/>
  <c r="AL30" i="85" s="1"/>
  <c r="AK30" i="85"/>
  <c r="AK9" i="85" s="1"/>
  <c r="AK70" i="85" s="1"/>
  <c r="AJ35" i="85"/>
  <c r="AJ30" i="85" s="1"/>
  <c r="AJ9" i="85" s="1"/>
  <c r="AJ70" i="85" s="1"/>
  <c r="AI30" i="85"/>
  <c r="AI9" i="85" s="1"/>
  <c r="AI70" i="85" s="1"/>
  <c r="AH35" i="85"/>
  <c r="AH30" i="85" s="1"/>
  <c r="AG30" i="85"/>
  <c r="AH10" i="85"/>
  <c r="AH9" i="85" s="1"/>
  <c r="AH70" i="85" s="1"/>
  <c r="Y36" i="79"/>
  <c r="AW53" i="85"/>
  <c r="I53" i="85" s="1"/>
  <c r="Z53" i="85"/>
  <c r="AX53" i="85" s="1"/>
  <c r="K33" i="84"/>
  <c r="K30" i="84" s="1"/>
  <c r="J30" i="84"/>
  <c r="K12" i="84"/>
  <c r="K10" i="84" s="1"/>
  <c r="J10" i="84"/>
  <c r="AL59" i="83"/>
  <c r="AL44" i="83" s="1"/>
  <c r="AK44" i="83"/>
  <c r="AJ59" i="83"/>
  <c r="AJ44" i="83" s="1"/>
  <c r="AI44" i="83"/>
  <c r="AH59" i="83"/>
  <c r="AH44" i="83" s="1"/>
  <c r="AG44" i="83"/>
  <c r="AF59" i="83"/>
  <c r="AF44" i="83" s="1"/>
  <c r="AE44" i="83"/>
  <c r="AD59" i="83"/>
  <c r="AD44" i="83" s="1"/>
  <c r="AC44" i="83"/>
  <c r="AO25" i="85"/>
  <c r="AO41" i="85"/>
  <c r="AO22" i="85"/>
  <c r="AO40" i="85"/>
  <c r="AO39" i="85"/>
  <c r="AW39" i="85" s="1"/>
  <c r="I39" i="85" s="1"/>
  <c r="K51" i="84"/>
  <c r="K44" i="84" s="1"/>
  <c r="K9" i="84" s="1"/>
  <c r="J44" i="84"/>
  <c r="J9" i="84" s="1"/>
  <c r="J70" i="84" s="1"/>
  <c r="K68" i="85"/>
  <c r="M67" i="85"/>
  <c r="K67" i="85"/>
  <c r="Z66" i="85"/>
  <c r="AX66" i="85" s="1"/>
  <c r="AW66" i="85"/>
  <c r="I66" i="85" s="1"/>
  <c r="AW65" i="85"/>
  <c r="I65" i="85" s="1"/>
  <c r="Z65" i="85"/>
  <c r="AX65" i="85" s="1"/>
  <c r="Z64" i="85"/>
  <c r="AX64" i="85" s="1"/>
  <c r="AW64" i="85"/>
  <c r="I64" i="85" s="1"/>
  <c r="Z63" i="85"/>
  <c r="AX63" i="85" s="1"/>
  <c r="AW63" i="85"/>
  <c r="I63" i="85" s="1"/>
  <c r="Z62" i="85"/>
  <c r="AX62" i="85" s="1"/>
  <c r="AW62" i="85"/>
  <c r="I62" i="85" s="1"/>
  <c r="Z61" i="85"/>
  <c r="AW60" i="85"/>
  <c r="I60" i="85" s="1"/>
  <c r="Z60" i="85"/>
  <c r="AX60" i="85" s="1"/>
  <c r="AW59" i="85"/>
  <c r="I59" i="85" s="1"/>
  <c r="Z59" i="85"/>
  <c r="AX59" i="85" s="1"/>
  <c r="AW58" i="85"/>
  <c r="I58" i="85" s="1"/>
  <c r="Z58" i="85"/>
  <c r="AX58" i="85" s="1"/>
  <c r="Z57" i="85"/>
  <c r="AW56" i="85"/>
  <c r="I56" i="85" s="1"/>
  <c r="Z56" i="85"/>
  <c r="Z55" i="85"/>
  <c r="AX55" i="85" s="1"/>
  <c r="AW55" i="85"/>
  <c r="I55" i="85" s="1"/>
  <c r="Z54" i="85"/>
  <c r="AW52" i="85"/>
  <c r="I52" i="85" s="1"/>
  <c r="Z52" i="85"/>
  <c r="AX52" i="85" s="1"/>
  <c r="Z51" i="85"/>
  <c r="AX51" i="85" s="1"/>
  <c r="AW51" i="85"/>
  <c r="I51" i="85" s="1"/>
  <c r="AW50" i="85"/>
  <c r="I50" i="85" s="1"/>
  <c r="Z50" i="85"/>
  <c r="AX50" i="85" s="1"/>
  <c r="Z49" i="85"/>
  <c r="AX49" i="85" s="1"/>
  <c r="AW49" i="85"/>
  <c r="I49" i="85" s="1"/>
  <c r="Z48" i="85"/>
  <c r="AX48" i="85" s="1"/>
  <c r="AW48" i="85"/>
  <c r="I48" i="85" s="1"/>
  <c r="Z47" i="85"/>
  <c r="AW47" i="85"/>
  <c r="I47" i="85" s="1"/>
  <c r="Z43" i="85"/>
  <c r="Z42" i="85"/>
  <c r="Z41" i="85"/>
  <c r="Z40" i="85"/>
  <c r="Z39" i="85"/>
  <c r="Z35" i="85"/>
  <c r="Z34" i="85"/>
  <c r="AX34" i="85" s="1"/>
  <c r="AW34" i="85"/>
  <c r="I34" i="85" s="1"/>
  <c r="AW33" i="85"/>
  <c r="I33" i="85" s="1"/>
  <c r="Z33" i="85"/>
  <c r="AW29" i="85"/>
  <c r="I29" i="85" s="1"/>
  <c r="Z29" i="85"/>
  <c r="AX29" i="85" s="1"/>
  <c r="AW28" i="85"/>
  <c r="I28" i="85" s="1"/>
  <c r="Z28" i="85"/>
  <c r="AX28" i="85" s="1"/>
  <c r="AW27" i="85"/>
  <c r="I27" i="85" s="1"/>
  <c r="Z27" i="85"/>
  <c r="AX27" i="85" s="1"/>
  <c r="Z25" i="85"/>
  <c r="Z24" i="85"/>
  <c r="Z22" i="85"/>
  <c r="AW21" i="85"/>
  <c r="I21" i="85" s="1"/>
  <c r="Z21" i="85"/>
  <c r="AX21" i="85" s="1"/>
  <c r="AW20" i="85"/>
  <c r="I20" i="85" s="1"/>
  <c r="Z20" i="85"/>
  <c r="AX20" i="85" s="1"/>
  <c r="Z19" i="85"/>
  <c r="AX19" i="85" s="1"/>
  <c r="AW19" i="85"/>
  <c r="I19" i="85" s="1"/>
  <c r="Z16" i="85"/>
  <c r="AW15" i="85"/>
  <c r="I15" i="85" s="1"/>
  <c r="Z15" i="85"/>
  <c r="AX15" i="85" s="1"/>
  <c r="Z13" i="85"/>
  <c r="Z12" i="85"/>
  <c r="AL10" i="85"/>
  <c r="AM64" i="83"/>
  <c r="AN64" i="83" s="1"/>
  <c r="AM63" i="83"/>
  <c r="AN63" i="83" s="1"/>
  <c r="AM53" i="83"/>
  <c r="AH30" i="81"/>
  <c r="AD30" i="81"/>
  <c r="Y10" i="81"/>
  <c r="K39" i="82"/>
  <c r="K36" i="82" s="1"/>
  <c r="J36" i="82"/>
  <c r="K12" i="82"/>
  <c r="J10" i="82"/>
  <c r="AH19" i="81"/>
  <c r="AH10" i="81" s="1"/>
  <c r="AG10" i="81"/>
  <c r="AF19" i="81"/>
  <c r="AF10" i="81" s="1"/>
  <c r="AE10" i="81"/>
  <c r="AJ36" i="83"/>
  <c r="AM16" i="83"/>
  <c r="AM19" i="83"/>
  <c r="AM21" i="83"/>
  <c r="AM20" i="83"/>
  <c r="AM33" i="83"/>
  <c r="AW33" i="83" s="1"/>
  <c r="I33" i="83" s="1"/>
  <c r="AM34" i="83"/>
  <c r="AM47" i="83"/>
  <c r="AN47" i="83" s="1"/>
  <c r="AM69" i="83"/>
  <c r="AM59" i="83"/>
  <c r="AB56" i="83"/>
  <c r="AB44" i="83" s="1"/>
  <c r="AA44" i="83"/>
  <c r="Y44" i="83"/>
  <c r="AD10" i="81"/>
  <c r="AW68" i="83"/>
  <c r="I68" i="83" s="1"/>
  <c r="AM15" i="83"/>
  <c r="K10" i="82"/>
  <c r="AM56" i="83"/>
  <c r="AW67" i="83"/>
  <c r="I67" i="83" s="1"/>
  <c r="Y10" i="83"/>
  <c r="Y9" i="83" s="1"/>
  <c r="Y70" i="83" s="1"/>
  <c r="AM61" i="83"/>
  <c r="AM22" i="83"/>
  <c r="AM41" i="83"/>
  <c r="AM40" i="83"/>
  <c r="AM57" i="83"/>
  <c r="AM54" i="83"/>
  <c r="AW54" i="83" s="1"/>
  <c r="I54" i="83" s="1"/>
  <c r="AM35" i="83"/>
  <c r="AD24" i="83"/>
  <c r="AD10" i="83" s="1"/>
  <c r="AC10" i="83"/>
  <c r="AB24" i="83"/>
  <c r="AB10" i="83" s="1"/>
  <c r="AA10" i="83"/>
  <c r="AL22" i="83"/>
  <c r="AL10" i="83" s="1"/>
  <c r="AK10" i="83"/>
  <c r="AJ22" i="83"/>
  <c r="AJ10" i="83" s="1"/>
  <c r="AI10" i="83"/>
  <c r="AH22" i="83"/>
  <c r="AH10" i="83" s="1"/>
  <c r="AG10" i="83"/>
  <c r="AF22" i="83"/>
  <c r="AF10" i="83" s="1"/>
  <c r="AE10" i="83"/>
  <c r="AN33" i="83"/>
  <c r="M68" i="83"/>
  <c r="K68" i="83"/>
  <c r="K67" i="83"/>
  <c r="M67" i="83"/>
  <c r="Z66" i="83"/>
  <c r="AX66" i="83" s="1"/>
  <c r="AW66" i="83"/>
  <c r="I66" i="83" s="1"/>
  <c r="Z65" i="83"/>
  <c r="AX65" i="83" s="1"/>
  <c r="AW65" i="83"/>
  <c r="I65" i="83" s="1"/>
  <c r="AW64" i="83"/>
  <c r="I64" i="83" s="1"/>
  <c r="Z64" i="83"/>
  <c r="AX64" i="83" s="1"/>
  <c r="AW63" i="83"/>
  <c r="I63" i="83" s="1"/>
  <c r="Z63" i="83"/>
  <c r="AX63" i="83" s="1"/>
  <c r="Z62" i="83"/>
  <c r="AX62" i="83" s="1"/>
  <c r="AW62" i="83"/>
  <c r="I62" i="83" s="1"/>
  <c r="Z61" i="83"/>
  <c r="AW60" i="83"/>
  <c r="I60" i="83" s="1"/>
  <c r="Z60" i="83"/>
  <c r="AX60" i="83" s="1"/>
  <c r="Z59" i="83"/>
  <c r="AW58" i="83"/>
  <c r="I58" i="83" s="1"/>
  <c r="Z58" i="83"/>
  <c r="AX58" i="83" s="1"/>
  <c r="Z57" i="83"/>
  <c r="Z56" i="83"/>
  <c r="Z55" i="83"/>
  <c r="AX55" i="83" s="1"/>
  <c r="AW55" i="83"/>
  <c r="I55" i="83" s="1"/>
  <c r="Z54" i="83"/>
  <c r="Z53" i="83"/>
  <c r="AW52" i="83"/>
  <c r="I52" i="83" s="1"/>
  <c r="Z52" i="83"/>
  <c r="AX52" i="83" s="1"/>
  <c r="Z51" i="83"/>
  <c r="AX51" i="83" s="1"/>
  <c r="AW51" i="83"/>
  <c r="I51" i="83" s="1"/>
  <c r="AW50" i="83"/>
  <c r="I50" i="83" s="1"/>
  <c r="Z50" i="83"/>
  <c r="AX50" i="83" s="1"/>
  <c r="AW49" i="83"/>
  <c r="I49" i="83" s="1"/>
  <c r="Z49" i="83"/>
  <c r="AX49" i="83" s="1"/>
  <c r="Z48" i="83"/>
  <c r="AX48" i="83" s="1"/>
  <c r="AW48" i="83"/>
  <c r="I48" i="83" s="1"/>
  <c r="AW47" i="83"/>
  <c r="I47" i="83" s="1"/>
  <c r="Z47" i="83"/>
  <c r="Z43" i="83"/>
  <c r="Z42" i="83"/>
  <c r="Z41" i="83"/>
  <c r="Z40" i="83"/>
  <c r="Z39" i="83"/>
  <c r="Z35" i="83"/>
  <c r="Z34" i="83"/>
  <c r="Z33" i="83"/>
  <c r="AW29" i="83"/>
  <c r="I29" i="83" s="1"/>
  <c r="Z29" i="83"/>
  <c r="AX29" i="83" s="1"/>
  <c r="AW28" i="83"/>
  <c r="I28" i="83" s="1"/>
  <c r="Z28" i="83"/>
  <c r="AX28" i="83" s="1"/>
  <c r="AW27" i="83"/>
  <c r="I27" i="83" s="1"/>
  <c r="Z27" i="83"/>
  <c r="AX27" i="83" s="1"/>
  <c r="Z25" i="83"/>
  <c r="Z24" i="83"/>
  <c r="Z22" i="83"/>
  <c r="Z21" i="83"/>
  <c r="Z20" i="83"/>
  <c r="Z19" i="83"/>
  <c r="Z16" i="83"/>
  <c r="Z15" i="83"/>
  <c r="Z13" i="83"/>
  <c r="Z12" i="83"/>
  <c r="K47" i="82"/>
  <c r="K44" i="82" s="1"/>
  <c r="J44" i="82"/>
  <c r="K33" i="82"/>
  <c r="K30" i="82" s="1"/>
  <c r="J30" i="82"/>
  <c r="AK63" i="81"/>
  <c r="J44" i="80"/>
  <c r="AG30" i="79"/>
  <c r="AA30" i="79"/>
  <c r="Y30" i="79"/>
  <c r="AG36" i="79"/>
  <c r="AA36" i="79"/>
  <c r="AA44" i="79"/>
  <c r="J36" i="80"/>
  <c r="AE30" i="81"/>
  <c r="AJ30" i="81"/>
  <c r="Y36" i="81"/>
  <c r="AW67" i="81"/>
  <c r="I67" i="81" s="1"/>
  <c r="Y10" i="79"/>
  <c r="AE10" i="79"/>
  <c r="AG30" i="81"/>
  <c r="AJ44" i="81"/>
  <c r="J44" i="78"/>
  <c r="AA10" i="79"/>
  <c r="AE30" i="79"/>
  <c r="AE44" i="79"/>
  <c r="AG44" i="81"/>
  <c r="Y44" i="81"/>
  <c r="J36" i="78"/>
  <c r="AG44" i="79"/>
  <c r="Y44" i="79"/>
  <c r="AC36" i="79"/>
  <c r="AE36" i="79"/>
  <c r="AF30" i="81"/>
  <c r="AA36" i="81"/>
  <c r="AB36" i="81"/>
  <c r="AI10" i="81"/>
  <c r="AC30" i="81"/>
  <c r="AE36" i="81"/>
  <c r="AD36" i="81"/>
  <c r="AB44" i="81"/>
  <c r="AA30" i="81"/>
  <c r="AJ10" i="81"/>
  <c r="AG36" i="81"/>
  <c r="AF36" i="81"/>
  <c r="AA44" i="81"/>
  <c r="AD44" i="81"/>
  <c r="AA10" i="81"/>
  <c r="AI36" i="81"/>
  <c r="AH36" i="81"/>
  <c r="AC44" i="81"/>
  <c r="AF44" i="81"/>
  <c r="AW68" i="81"/>
  <c r="I68" i="81" s="1"/>
  <c r="AC36" i="81"/>
  <c r="AI44" i="81"/>
  <c r="AC10" i="81"/>
  <c r="AB10" i="81"/>
  <c r="AI30" i="81"/>
  <c r="AJ36" i="81"/>
  <c r="AE44" i="81"/>
  <c r="AH44" i="81"/>
  <c r="AK62" i="81"/>
  <c r="AL62" i="81" s="1"/>
  <c r="AK61" i="81"/>
  <c r="AK65" i="81"/>
  <c r="AL65" i="81" s="1"/>
  <c r="AK57" i="81"/>
  <c r="AW57" i="81" s="1"/>
  <c r="I57" i="81" s="1"/>
  <c r="AK56" i="81"/>
  <c r="AK54" i="81"/>
  <c r="AL54" i="81" s="1"/>
  <c r="AK35" i="81"/>
  <c r="AW35" i="81" s="1"/>
  <c r="I35" i="81" s="1"/>
  <c r="AK69" i="81"/>
  <c r="AW69" i="81" s="1"/>
  <c r="I69" i="81" s="1"/>
  <c r="M69" i="81" s="1"/>
  <c r="AK40" i="81"/>
  <c r="AL40" i="81" s="1"/>
  <c r="AK39" i="81"/>
  <c r="AK42" i="81"/>
  <c r="AL42" i="81" s="1"/>
  <c r="AK41" i="81"/>
  <c r="AL41" i="81" s="1"/>
  <c r="AK25" i="81"/>
  <c r="AL25" i="81" s="1"/>
  <c r="AK43" i="81"/>
  <c r="AK24" i="81"/>
  <c r="AL24" i="81" s="1"/>
  <c r="AK12" i="81"/>
  <c r="AW12" i="81" s="1"/>
  <c r="I12" i="81" s="1"/>
  <c r="AW66" i="81"/>
  <c r="I66" i="81" s="1"/>
  <c r="Z66" i="81"/>
  <c r="AX66" i="81" s="1"/>
  <c r="Z65" i="81"/>
  <c r="Z64" i="81"/>
  <c r="AX64" i="81" s="1"/>
  <c r="AW64" i="81"/>
  <c r="I64" i="81" s="1"/>
  <c r="Z63" i="81"/>
  <c r="Z62" i="81"/>
  <c r="Z61" i="81"/>
  <c r="Z60" i="81"/>
  <c r="AX60" i="81" s="1"/>
  <c r="AW60" i="81"/>
  <c r="I60" i="81" s="1"/>
  <c r="AW59" i="81"/>
  <c r="I59" i="81" s="1"/>
  <c r="Z59" i="81"/>
  <c r="AX59" i="81" s="1"/>
  <c r="AW58" i="81"/>
  <c r="I58" i="81" s="1"/>
  <c r="Z58" i="81"/>
  <c r="AX58" i="81" s="1"/>
  <c r="Z57" i="81"/>
  <c r="Z56" i="81"/>
  <c r="AW55" i="81"/>
  <c r="I55" i="81" s="1"/>
  <c r="Z55" i="81"/>
  <c r="AX55" i="81" s="1"/>
  <c r="Z54" i="81"/>
  <c r="Z53" i="81"/>
  <c r="AX53" i="81" s="1"/>
  <c r="AW53" i="81"/>
  <c r="I53" i="81" s="1"/>
  <c r="Z52" i="81"/>
  <c r="AX52" i="81" s="1"/>
  <c r="AW52" i="81"/>
  <c r="I52" i="81" s="1"/>
  <c r="Z51" i="81"/>
  <c r="AX51" i="81" s="1"/>
  <c r="AW51" i="81"/>
  <c r="I51" i="81" s="1"/>
  <c r="AW50" i="81"/>
  <c r="I50" i="81" s="1"/>
  <c r="Z50" i="81"/>
  <c r="AX50" i="81" s="1"/>
  <c r="Z49" i="81"/>
  <c r="AX49" i="81" s="1"/>
  <c r="AW49" i="81"/>
  <c r="I49" i="81" s="1"/>
  <c r="Z48" i="81"/>
  <c r="AX48" i="81" s="1"/>
  <c r="AW48" i="81"/>
  <c r="I48" i="81" s="1"/>
  <c r="AW47" i="81"/>
  <c r="I47" i="81" s="1"/>
  <c r="Z47" i="81"/>
  <c r="Z43" i="81"/>
  <c r="Z42" i="81"/>
  <c r="Z41" i="81"/>
  <c r="Z40" i="81"/>
  <c r="Z39" i="81"/>
  <c r="Z35" i="81"/>
  <c r="AW34" i="81"/>
  <c r="I34" i="81" s="1"/>
  <c r="Z34" i="81"/>
  <c r="AX34" i="81" s="1"/>
  <c r="Z33" i="81"/>
  <c r="AW33" i="81"/>
  <c r="I33" i="81" s="1"/>
  <c r="Z29" i="81"/>
  <c r="AX29" i="81" s="1"/>
  <c r="AW29" i="81"/>
  <c r="I29" i="81" s="1"/>
  <c r="AW28" i="81"/>
  <c r="I28" i="81" s="1"/>
  <c r="Z28" i="81"/>
  <c r="AX28" i="81" s="1"/>
  <c r="Z27" i="81"/>
  <c r="AX27" i="81" s="1"/>
  <c r="AW27" i="81"/>
  <c r="I27" i="81" s="1"/>
  <c r="Z25" i="81"/>
  <c r="Z24" i="81"/>
  <c r="Z22" i="81"/>
  <c r="AW21" i="81"/>
  <c r="I21" i="81" s="1"/>
  <c r="Z21" i="81"/>
  <c r="AX21" i="81" s="1"/>
  <c r="Z20" i="81"/>
  <c r="AX20" i="81" s="1"/>
  <c r="AW20" i="81"/>
  <c r="I20" i="81" s="1"/>
  <c r="AW19" i="81"/>
  <c r="I19" i="81" s="1"/>
  <c r="Z19" i="81"/>
  <c r="Z16" i="81"/>
  <c r="AX16" i="81" s="1"/>
  <c r="AW16" i="81"/>
  <c r="I16" i="81" s="1"/>
  <c r="AW15" i="81"/>
  <c r="I15" i="81" s="1"/>
  <c r="Z15" i="81"/>
  <c r="AX15" i="81" s="1"/>
  <c r="Z13" i="81"/>
  <c r="Z12" i="81"/>
  <c r="J10" i="80"/>
  <c r="K66" i="80"/>
  <c r="K62" i="80"/>
  <c r="K61" i="80"/>
  <c r="K58" i="80"/>
  <c r="K57" i="80"/>
  <c r="K54" i="80"/>
  <c r="K52" i="80"/>
  <c r="K40" i="80"/>
  <c r="K35" i="80"/>
  <c r="K24" i="80"/>
  <c r="K15" i="80"/>
  <c r="K48" i="80"/>
  <c r="K42" i="80"/>
  <c r="K41" i="80"/>
  <c r="K39" i="80"/>
  <c r="K34" i="80"/>
  <c r="K29" i="80"/>
  <c r="K22" i="80"/>
  <c r="K21" i="80"/>
  <c r="K20" i="80"/>
  <c r="K65" i="80"/>
  <c r="K47" i="80"/>
  <c r="K19" i="80"/>
  <c r="K13" i="80"/>
  <c r="K12" i="80"/>
  <c r="K64" i="80"/>
  <c r="K63" i="80"/>
  <c r="K59" i="80"/>
  <c r="K51" i="80"/>
  <c r="K49" i="80"/>
  <c r="K33" i="80"/>
  <c r="K16" i="80"/>
  <c r="K60" i="80"/>
  <c r="K56" i="80"/>
  <c r="K55" i="80"/>
  <c r="K53" i="80"/>
  <c r="K50" i="80"/>
  <c r="K43" i="80"/>
  <c r="K28" i="80"/>
  <c r="K27" i="80"/>
  <c r="K25" i="80"/>
  <c r="AC30" i="79"/>
  <c r="J10" i="78"/>
  <c r="AB25" i="79"/>
  <c r="AI68" i="79"/>
  <c r="AW68" i="79" s="1"/>
  <c r="I68" i="79" s="1"/>
  <c r="AV70" i="79"/>
  <c r="AU70" i="79"/>
  <c r="AT70" i="79"/>
  <c r="AS70" i="79"/>
  <c r="AR70" i="79"/>
  <c r="AQ70" i="79"/>
  <c r="AO70" i="79"/>
  <c r="AN70" i="79"/>
  <c r="AM70" i="79"/>
  <c r="AL70" i="79"/>
  <c r="AK70" i="79"/>
  <c r="AH66" i="79"/>
  <c r="AF66" i="79"/>
  <c r="AD66" i="79"/>
  <c r="AB64" i="79"/>
  <c r="Z64" i="79"/>
  <c r="AF63" i="79"/>
  <c r="AD62" i="79"/>
  <c r="AB62" i="79"/>
  <c r="Z62" i="79"/>
  <c r="Z61" i="79"/>
  <c r="Z60" i="79"/>
  <c r="AF59" i="79"/>
  <c r="Z57" i="79"/>
  <c r="AH56" i="79"/>
  <c r="AD56" i="79"/>
  <c r="AB56" i="79"/>
  <c r="Z56" i="79"/>
  <c r="AH55" i="79"/>
  <c r="AD55" i="79"/>
  <c r="AB55" i="79"/>
  <c r="Z55" i="79"/>
  <c r="AF54" i="79"/>
  <c r="AH52" i="79"/>
  <c r="AF52" i="79"/>
  <c r="AD50" i="79"/>
  <c r="AB50" i="79"/>
  <c r="Z50" i="79"/>
  <c r="AH49" i="79"/>
  <c r="AF43" i="79"/>
  <c r="Z43" i="79"/>
  <c r="Z42" i="79"/>
  <c r="AF40" i="79"/>
  <c r="AF39" i="79"/>
  <c r="AD39" i="79"/>
  <c r="AB39" i="79"/>
  <c r="Z39" i="79"/>
  <c r="AB35" i="79"/>
  <c r="Z35" i="79"/>
  <c r="AH34" i="79"/>
  <c r="AF34" i="79"/>
  <c r="AF33" i="79"/>
  <c r="Z28" i="79"/>
  <c r="AF27" i="79"/>
  <c r="AB24" i="79"/>
  <c r="Z24" i="79"/>
  <c r="AH22" i="79"/>
  <c r="AH20" i="79"/>
  <c r="AH19" i="79"/>
  <c r="Z16" i="79"/>
  <c r="AH15" i="79"/>
  <c r="AH12" i="79"/>
  <c r="Z12" i="79"/>
  <c r="Z66" i="79"/>
  <c r="AH65" i="79"/>
  <c r="AD64" i="79"/>
  <c r="AD63" i="79"/>
  <c r="AB63" i="79"/>
  <c r="Z63" i="79"/>
  <c r="AH62" i="79"/>
  <c r="AF62" i="79"/>
  <c r="AF61" i="79"/>
  <c r="AD61" i="79"/>
  <c r="AB61" i="79"/>
  <c r="AH60" i="79"/>
  <c r="AH59" i="79"/>
  <c r="AD59" i="79"/>
  <c r="AB59" i="79"/>
  <c r="Z59" i="79"/>
  <c r="AF58" i="79"/>
  <c r="AD58" i="79"/>
  <c r="AB58" i="79"/>
  <c r="AF57" i="79"/>
  <c r="AD57" i="79"/>
  <c r="AB57" i="79"/>
  <c r="AF56" i="79"/>
  <c r="AD54" i="79"/>
  <c r="AD53" i="79"/>
  <c r="AB53" i="79"/>
  <c r="Z53" i="79"/>
  <c r="AB51" i="79"/>
  <c r="AF50" i="79"/>
  <c r="AD49" i="79"/>
  <c r="AB49" i="79"/>
  <c r="Z49" i="79"/>
  <c r="AF48" i="79"/>
  <c r="AH47" i="79"/>
  <c r="AF47" i="79"/>
  <c r="Z47" i="79"/>
  <c r="AF42" i="79"/>
  <c r="AF41" i="79"/>
  <c r="Z40" i="79"/>
  <c r="AH39" i="79"/>
  <c r="Z33" i="79"/>
  <c r="AF29" i="79"/>
  <c r="Z29" i="79"/>
  <c r="AF28" i="79"/>
  <c r="AH27" i="79"/>
  <c r="Z25" i="79"/>
  <c r="AH24" i="79"/>
  <c r="AF24" i="79"/>
  <c r="AD24" i="79"/>
  <c r="AF21" i="79"/>
  <c r="AB19" i="79"/>
  <c r="Z19" i="79"/>
  <c r="AH16" i="79"/>
  <c r="AD16" i="79"/>
  <c r="AB16" i="79"/>
  <c r="AF15" i="79"/>
  <c r="AD13" i="79"/>
  <c r="AB13" i="79"/>
  <c r="Z13" i="79"/>
  <c r="AB65" i="79"/>
  <c r="Z65" i="79"/>
  <c r="AH64" i="79"/>
  <c r="AH63" i="79"/>
  <c r="AD60" i="79"/>
  <c r="AB60" i="79"/>
  <c r="AH58" i="79"/>
  <c r="AH57" i="79"/>
  <c r="AH54" i="79"/>
  <c r="AF53" i="79"/>
  <c r="AD52" i="79"/>
  <c r="AB52" i="79"/>
  <c r="Z52" i="79"/>
  <c r="AH51" i="79"/>
  <c r="Z51" i="79"/>
  <c r="Z48" i="79"/>
  <c r="AB47" i="79"/>
  <c r="AB43" i="79"/>
  <c r="AH42" i="79"/>
  <c r="AD42" i="79"/>
  <c r="AB42" i="79"/>
  <c r="AD41" i="79"/>
  <c r="AB41" i="79"/>
  <c r="AH35" i="79"/>
  <c r="AH33" i="79"/>
  <c r="AB33" i="79"/>
  <c r="AH29" i="79"/>
  <c r="AD28" i="79"/>
  <c r="AB28" i="79"/>
  <c r="Z27" i="79"/>
  <c r="AD25" i="79"/>
  <c r="AH21" i="79"/>
  <c r="AD21" i="79"/>
  <c r="AB21" i="79"/>
  <c r="Z21" i="79"/>
  <c r="AF20" i="79"/>
  <c r="AD20" i="79"/>
  <c r="AB20" i="79"/>
  <c r="Z20" i="79"/>
  <c r="AF19" i="79"/>
  <c r="AD15" i="79"/>
  <c r="AH13" i="79"/>
  <c r="AF13" i="79"/>
  <c r="AD12" i="79"/>
  <c r="AB12" i="79"/>
  <c r="AP70" i="79"/>
  <c r="G70" i="79"/>
  <c r="AW67" i="79"/>
  <c r="I67" i="79" s="1"/>
  <c r="AB66" i="79"/>
  <c r="AF65" i="79"/>
  <c r="AD65" i="79"/>
  <c r="AF64" i="79"/>
  <c r="AH61" i="79"/>
  <c r="AF60" i="79"/>
  <c r="Z58" i="79"/>
  <c r="AF55" i="79"/>
  <c r="AB54" i="79"/>
  <c r="Z54" i="79"/>
  <c r="AH53" i="79"/>
  <c r="AF51" i="79"/>
  <c r="AD51" i="79"/>
  <c r="AH50" i="79"/>
  <c r="AF49" i="79"/>
  <c r="AH48" i="79"/>
  <c r="AD48" i="79"/>
  <c r="AB48" i="79"/>
  <c r="AD47" i="79"/>
  <c r="AH43" i="79"/>
  <c r="AD43" i="79"/>
  <c r="AH41" i="79"/>
  <c r="Z41" i="79"/>
  <c r="AH40" i="79"/>
  <c r="AD40" i="79"/>
  <c r="AB40" i="79"/>
  <c r="AF35" i="79"/>
  <c r="AD35" i="79"/>
  <c r="AD34" i="79"/>
  <c r="AB34" i="79"/>
  <c r="Z34" i="79"/>
  <c r="AD33" i="79"/>
  <c r="AD30" i="79" s="1"/>
  <c r="AD29" i="79"/>
  <c r="AH28" i="79"/>
  <c r="AD27" i="79"/>
  <c r="AB27" i="79"/>
  <c r="AH25" i="79"/>
  <c r="AF25" i="79"/>
  <c r="AF22" i="79"/>
  <c r="AD22" i="79"/>
  <c r="AB22" i="79"/>
  <c r="Z22" i="79"/>
  <c r="AD19" i="79"/>
  <c r="AF16" i="79"/>
  <c r="AB15" i="79"/>
  <c r="Z15" i="79"/>
  <c r="AF12" i="79"/>
  <c r="K65" i="78"/>
  <c r="K58" i="78"/>
  <c r="K42" i="78"/>
  <c r="K39" i="78"/>
  <c r="K34" i="78"/>
  <c r="K24" i="78"/>
  <c r="K19" i="78"/>
  <c r="K16" i="78"/>
  <c r="K12" i="78"/>
  <c r="K60" i="78"/>
  <c r="K55" i="78"/>
  <c r="K53" i="78"/>
  <c r="K52" i="78"/>
  <c r="K51" i="78"/>
  <c r="K49" i="78"/>
  <c r="K28" i="78"/>
  <c r="K66" i="78"/>
  <c r="K64" i="78"/>
  <c r="K61" i="78"/>
  <c r="K56" i="78"/>
  <c r="K50" i="78"/>
  <c r="K48" i="78"/>
  <c r="K40" i="78"/>
  <c r="K35" i="78"/>
  <c r="K33" i="78"/>
  <c r="K29" i="78"/>
  <c r="K25" i="78"/>
  <c r="K22" i="78"/>
  <c r="K21" i="78"/>
  <c r="K15" i="78"/>
  <c r="K63" i="78"/>
  <c r="K62" i="78"/>
  <c r="K59" i="78"/>
  <c r="K57" i="78"/>
  <c r="K54" i="78"/>
  <c r="K47" i="78"/>
  <c r="K43" i="78"/>
  <c r="K41" i="78"/>
  <c r="K27" i="78"/>
  <c r="K20" i="78"/>
  <c r="K13" i="78"/>
  <c r="J69" i="76"/>
  <c r="AN10" i="77"/>
  <c r="AM9" i="77"/>
  <c r="AM70" i="77" s="1"/>
  <c r="H30" i="77"/>
  <c r="AT36" i="77"/>
  <c r="AV9" i="77"/>
  <c r="AV70" i="77" s="1"/>
  <c r="AT10" i="77"/>
  <c r="AK9" i="77"/>
  <c r="AK70" i="77" s="1"/>
  <c r="AJ36" i="77"/>
  <c r="AP10" i="77"/>
  <c r="AN30" i="77"/>
  <c r="AW50" i="77"/>
  <c r="I50" i="77" s="1"/>
  <c r="J50" i="77" s="1"/>
  <c r="L50" i="77" s="1"/>
  <c r="G9" i="77"/>
  <c r="G70" i="77" s="1"/>
  <c r="AP30" i="77"/>
  <c r="AR30" i="77"/>
  <c r="H36" i="77"/>
  <c r="AN36" i="77"/>
  <c r="AW67" i="77"/>
  <c r="I67" i="77" s="1"/>
  <c r="K67" i="77" s="1"/>
  <c r="AR10" i="77"/>
  <c r="H10" i="77"/>
  <c r="AS9" i="77"/>
  <c r="AS70" i="77" s="1"/>
  <c r="AJ10" i="77"/>
  <c r="AL10" i="77"/>
  <c r="AJ30" i="77"/>
  <c r="AL30" i="77"/>
  <c r="AP36" i="77"/>
  <c r="AP44" i="77"/>
  <c r="AI9" i="77"/>
  <c r="AI70" i="77" s="1"/>
  <c r="AU9" i="77"/>
  <c r="AU70" i="77" s="1"/>
  <c r="AW34" i="77"/>
  <c r="I34" i="77" s="1"/>
  <c r="K34" i="77" s="1"/>
  <c r="AW48" i="77"/>
  <c r="I48" i="77" s="1"/>
  <c r="M48" i="77" s="1"/>
  <c r="AW66" i="77"/>
  <c r="I66" i="77" s="1"/>
  <c r="J66" i="77" s="1"/>
  <c r="L66" i="77" s="1"/>
  <c r="Z54" i="77"/>
  <c r="AW59" i="77"/>
  <c r="I59" i="77" s="1"/>
  <c r="M59" i="77" s="1"/>
  <c r="AW64" i="77"/>
  <c r="I64" i="77" s="1"/>
  <c r="K64" i="77" s="1"/>
  <c r="AD44" i="77"/>
  <c r="Z27" i="77"/>
  <c r="AD30" i="77"/>
  <c r="AD42" i="77"/>
  <c r="AD36" i="77" s="1"/>
  <c r="AD10" i="77"/>
  <c r="AW20" i="77"/>
  <c r="I20" i="77" s="1"/>
  <c r="J20" i="77" s="1"/>
  <c r="L20" i="77" s="1"/>
  <c r="Z50" i="77"/>
  <c r="AX50" i="77" s="1"/>
  <c r="AX49" i="77"/>
  <c r="Y10" i="77"/>
  <c r="AB30" i="77"/>
  <c r="Z34" i="77"/>
  <c r="AX34" i="77" s="1"/>
  <c r="Z64" i="77"/>
  <c r="AX64" i="77" s="1"/>
  <c r="AC36" i="77"/>
  <c r="AA10" i="77"/>
  <c r="AW52" i="77"/>
  <c r="I52" i="77" s="1"/>
  <c r="M52" i="77" s="1"/>
  <c r="AX65" i="77"/>
  <c r="AX60" i="77"/>
  <c r="AX48" i="77"/>
  <c r="AW29" i="77"/>
  <c r="I29" i="77" s="1"/>
  <c r="J29" i="77" s="1"/>
  <c r="L29" i="77" s="1"/>
  <c r="AW21" i="77"/>
  <c r="I21" i="77" s="1"/>
  <c r="J21" i="77" s="1"/>
  <c r="L21" i="77" s="1"/>
  <c r="AX21" i="77"/>
  <c r="AX19" i="77"/>
  <c r="AW19" i="77"/>
  <c r="I19" i="77" s="1"/>
  <c r="AA30" i="77"/>
  <c r="AT30" i="77"/>
  <c r="AC44" i="77"/>
  <c r="Y44" i="77"/>
  <c r="AW47" i="77"/>
  <c r="I47" i="77" s="1"/>
  <c r="Z47" i="77"/>
  <c r="AW51" i="77"/>
  <c r="I51" i="77" s="1"/>
  <c r="Z51" i="77"/>
  <c r="AX51" i="77" s="1"/>
  <c r="Z63" i="77"/>
  <c r="AX29" i="77"/>
  <c r="AC30" i="77"/>
  <c r="Y30" i="77"/>
  <c r="AW33" i="77"/>
  <c r="I33" i="77" s="1"/>
  <c r="Z33" i="77"/>
  <c r="AA36" i="77"/>
  <c r="AE36" i="77"/>
  <c r="AF39" i="77"/>
  <c r="AF36" i="77" s="1"/>
  <c r="AR36" i="77"/>
  <c r="AB44" i="77"/>
  <c r="AN44" i="77"/>
  <c r="AX59" i="77"/>
  <c r="AW53" i="77"/>
  <c r="I53" i="77" s="1"/>
  <c r="Z53" i="77"/>
  <c r="AX53" i="77" s="1"/>
  <c r="AC10" i="77"/>
  <c r="Z16" i="77"/>
  <c r="Z28" i="77"/>
  <c r="AE44" i="77"/>
  <c r="AF47" i="77"/>
  <c r="AF44" i="77" s="1"/>
  <c r="AR44" i="77"/>
  <c r="AL44" i="77"/>
  <c r="Z12" i="77"/>
  <c r="Y36" i="77"/>
  <c r="Z39" i="77"/>
  <c r="AL36" i="77"/>
  <c r="H44" i="77"/>
  <c r="AT44" i="77"/>
  <c r="AX52" i="77"/>
  <c r="AW58" i="77"/>
  <c r="I58" i="77" s="1"/>
  <c r="Z58" i="77"/>
  <c r="AX58" i="77" s="1"/>
  <c r="AW62" i="77"/>
  <c r="I62" i="77" s="1"/>
  <c r="Z62" i="77"/>
  <c r="AX62" i="77" s="1"/>
  <c r="Z57" i="77"/>
  <c r="Z13" i="77"/>
  <c r="AB20" i="77"/>
  <c r="AX20" i="77" s="1"/>
  <c r="AE30" i="77"/>
  <c r="AF33" i="77"/>
  <c r="AF30" i="77" s="1"/>
  <c r="Z41" i="77"/>
  <c r="AA44" i="77"/>
  <c r="AJ44" i="77"/>
  <c r="AX66" i="77"/>
  <c r="AW68" i="77"/>
  <c r="I68" i="77" s="1"/>
  <c r="AW49" i="77"/>
  <c r="I49" i="77" s="1"/>
  <c r="AW60" i="77"/>
  <c r="I60" i="77" s="1"/>
  <c r="AW65" i="77"/>
  <c r="I65" i="77" s="1"/>
  <c r="AB40" i="77"/>
  <c r="AB36" i="77" s="1"/>
  <c r="J30" i="76"/>
  <c r="K34" i="76"/>
  <c r="K30" i="76" s="1"/>
  <c r="J36" i="76"/>
  <c r="K36" i="76"/>
  <c r="J44" i="76"/>
  <c r="K47" i="76"/>
  <c r="K44" i="76" s="1"/>
  <c r="AC69" i="75"/>
  <c r="AA69" i="75"/>
  <c r="Y69" i="75"/>
  <c r="AC68" i="75"/>
  <c r="AA68" i="75"/>
  <c r="Y68" i="75"/>
  <c r="Y67" i="75"/>
  <c r="AW67" i="75" s="1"/>
  <c r="I67" i="75" s="1"/>
  <c r="M67" i="75" s="1"/>
  <c r="AT66" i="75"/>
  <c r="AR66" i="75"/>
  <c r="AP66" i="75"/>
  <c r="AN66" i="75"/>
  <c r="AL66" i="75"/>
  <c r="AJ66" i="75"/>
  <c r="AH66" i="75"/>
  <c r="AC66" i="75"/>
  <c r="AD66" i="75" s="1"/>
  <c r="AA66" i="75"/>
  <c r="AB66" i="75" s="1"/>
  <c r="Y66" i="75"/>
  <c r="Z66" i="75" s="1"/>
  <c r="H66" i="75"/>
  <c r="AT65" i="75"/>
  <c r="AR65" i="75"/>
  <c r="AP65" i="75"/>
  <c r="AN65" i="75"/>
  <c r="AL65" i="75"/>
  <c r="AJ65" i="75"/>
  <c r="AH65" i="75"/>
  <c r="AC65" i="75"/>
  <c r="AD65" i="75" s="1"/>
  <c r="AA65" i="75"/>
  <c r="AB65" i="75" s="1"/>
  <c r="Y65" i="75"/>
  <c r="Z65" i="75" s="1"/>
  <c r="H65" i="75"/>
  <c r="AT64" i="75"/>
  <c r="AR64" i="75"/>
  <c r="AP64" i="75"/>
  <c r="AN64" i="75"/>
  <c r="AL64" i="75"/>
  <c r="AJ64" i="75"/>
  <c r="AH64" i="75"/>
  <c r="AC64" i="75"/>
  <c r="AD64" i="75" s="1"/>
  <c r="AA64" i="75"/>
  <c r="AB64" i="75" s="1"/>
  <c r="Y64" i="75"/>
  <c r="H64" i="75"/>
  <c r="AT63" i="75"/>
  <c r="AR63" i="75"/>
  <c r="AP63" i="75"/>
  <c r="AN63" i="75"/>
  <c r="AL63" i="75"/>
  <c r="AJ63" i="75"/>
  <c r="AH63" i="75"/>
  <c r="AC63" i="75"/>
  <c r="AD63" i="75" s="1"/>
  <c r="AA63" i="75"/>
  <c r="AB63" i="75" s="1"/>
  <c r="Y63" i="75"/>
  <c r="Z63" i="75" s="1"/>
  <c r="H63" i="75"/>
  <c r="AT62" i="75"/>
  <c r="AR62" i="75"/>
  <c r="AP62" i="75"/>
  <c r="AN62" i="75"/>
  <c r="AL62" i="75"/>
  <c r="AJ62" i="75"/>
  <c r="AH62" i="75"/>
  <c r="AC62" i="75"/>
  <c r="AD62" i="75" s="1"/>
  <c r="AA62" i="75"/>
  <c r="AB62" i="75" s="1"/>
  <c r="Y62" i="75"/>
  <c r="H62" i="75"/>
  <c r="AT61" i="75"/>
  <c r="AR61" i="75"/>
  <c r="AP61" i="75"/>
  <c r="AN61" i="75"/>
  <c r="AL61" i="75"/>
  <c r="AJ61" i="75"/>
  <c r="AH61" i="75"/>
  <c r="AC61" i="75"/>
  <c r="AD61" i="75" s="1"/>
  <c r="AA61" i="75"/>
  <c r="AB61" i="75" s="1"/>
  <c r="Y61" i="75"/>
  <c r="H61" i="75"/>
  <c r="AT60" i="75"/>
  <c r="AR60" i="75"/>
  <c r="AP60" i="75"/>
  <c r="AN60" i="75"/>
  <c r="AL60" i="75"/>
  <c r="AJ60" i="75"/>
  <c r="AH60" i="75"/>
  <c r="AC60" i="75"/>
  <c r="AD60" i="75" s="1"/>
  <c r="AA60" i="75"/>
  <c r="AB60" i="75" s="1"/>
  <c r="Y60" i="75"/>
  <c r="Z60" i="75" s="1"/>
  <c r="H60" i="75"/>
  <c r="AT59" i="75"/>
  <c r="AR59" i="75"/>
  <c r="AP59" i="75"/>
  <c r="AN59" i="75"/>
  <c r="AL59" i="75"/>
  <c r="AJ59" i="75"/>
  <c r="AH59" i="75"/>
  <c r="AC59" i="75"/>
  <c r="AD59" i="75" s="1"/>
  <c r="AA59" i="75"/>
  <c r="AB59" i="75" s="1"/>
  <c r="Y59" i="75"/>
  <c r="Z59" i="75" s="1"/>
  <c r="H59" i="75"/>
  <c r="AT58" i="75"/>
  <c r="AR58" i="75"/>
  <c r="AP58" i="75"/>
  <c r="AN58" i="75"/>
  <c r="AL58" i="75"/>
  <c r="AJ58" i="75"/>
  <c r="AH58" i="75"/>
  <c r="AC58" i="75"/>
  <c r="AD58" i="75" s="1"/>
  <c r="AA58" i="75"/>
  <c r="AB58" i="75" s="1"/>
  <c r="Y58" i="75"/>
  <c r="H58" i="75"/>
  <c r="AT57" i="75"/>
  <c r="AR57" i="75"/>
  <c r="AP57" i="75"/>
  <c r="AN57" i="75"/>
  <c r="AL57" i="75"/>
  <c r="AJ57" i="75"/>
  <c r="AH57" i="75"/>
  <c r="AC57" i="75"/>
  <c r="AD57" i="75" s="1"/>
  <c r="AA57" i="75"/>
  <c r="Y57" i="75"/>
  <c r="Z57" i="75" s="1"/>
  <c r="H57" i="75"/>
  <c r="AT56" i="75"/>
  <c r="AR56" i="75"/>
  <c r="AP56" i="75"/>
  <c r="AN56" i="75"/>
  <c r="AL56" i="75"/>
  <c r="AJ56" i="75"/>
  <c r="AH56" i="75"/>
  <c r="AC56" i="75"/>
  <c r="AD56" i="75" s="1"/>
  <c r="AA56" i="75"/>
  <c r="AB56" i="75" s="1"/>
  <c r="Y56" i="75"/>
  <c r="H56" i="75"/>
  <c r="AT55" i="75"/>
  <c r="AR55" i="75"/>
  <c r="AP55" i="75"/>
  <c r="AN55" i="75"/>
  <c r="AL55" i="75"/>
  <c r="AJ55" i="75"/>
  <c r="AH55" i="75"/>
  <c r="AC55" i="75"/>
  <c r="AD55" i="75" s="1"/>
  <c r="AA55" i="75"/>
  <c r="AB55" i="75" s="1"/>
  <c r="Y55" i="75"/>
  <c r="Z55" i="75" s="1"/>
  <c r="H55" i="75"/>
  <c r="AT54" i="75"/>
  <c r="AR54" i="75"/>
  <c r="AP54" i="75"/>
  <c r="AN54" i="75"/>
  <c r="AL54" i="75"/>
  <c r="AJ54" i="75"/>
  <c r="AH54" i="75"/>
  <c r="AC54" i="75"/>
  <c r="AD54" i="75" s="1"/>
  <c r="AA54" i="75"/>
  <c r="Y54" i="75"/>
  <c r="Z54" i="75" s="1"/>
  <c r="H54" i="75"/>
  <c r="AT53" i="75"/>
  <c r="AR53" i="75"/>
  <c r="AP53" i="75"/>
  <c r="AN53" i="75"/>
  <c r="AL53" i="75"/>
  <c r="AJ53" i="75"/>
  <c r="AH53" i="75"/>
  <c r="AC53" i="75"/>
  <c r="AD53" i="75" s="1"/>
  <c r="AA53" i="75"/>
  <c r="AB53" i="75" s="1"/>
  <c r="Y53" i="75"/>
  <c r="H53" i="75"/>
  <c r="AT52" i="75"/>
  <c r="AR52" i="75"/>
  <c r="AP52" i="75"/>
  <c r="AN52" i="75"/>
  <c r="AL52" i="75"/>
  <c r="AJ52" i="75"/>
  <c r="AH52" i="75"/>
  <c r="AC52" i="75"/>
  <c r="AD52" i="75" s="1"/>
  <c r="AA52" i="75"/>
  <c r="AB52" i="75" s="1"/>
  <c r="Y52" i="75"/>
  <c r="Z52" i="75" s="1"/>
  <c r="H52" i="75"/>
  <c r="AT51" i="75"/>
  <c r="AR51" i="75"/>
  <c r="AP51" i="75"/>
  <c r="AN51" i="75"/>
  <c r="AL51" i="75"/>
  <c r="AJ51" i="75"/>
  <c r="AH51" i="75"/>
  <c r="AC51" i="75"/>
  <c r="AD51" i="75" s="1"/>
  <c r="AA51" i="75"/>
  <c r="AB51" i="75" s="1"/>
  <c r="Y51" i="75"/>
  <c r="Z51" i="75" s="1"/>
  <c r="H51" i="75"/>
  <c r="AT50" i="75"/>
  <c r="AR50" i="75"/>
  <c r="AP50" i="75"/>
  <c r="AN50" i="75"/>
  <c r="AL50" i="75"/>
  <c r="AJ50" i="75"/>
  <c r="AH50" i="75"/>
  <c r="AC50" i="75"/>
  <c r="AD50" i="75" s="1"/>
  <c r="AA50" i="75"/>
  <c r="AB50" i="75" s="1"/>
  <c r="Y50" i="75"/>
  <c r="Z50" i="75" s="1"/>
  <c r="H50" i="75"/>
  <c r="AT49" i="75"/>
  <c r="AR49" i="75"/>
  <c r="AP49" i="75"/>
  <c r="AN49" i="75"/>
  <c r="AL49" i="75"/>
  <c r="AJ49" i="75"/>
  <c r="AH49" i="75"/>
  <c r="AC49" i="75"/>
  <c r="AD49" i="75" s="1"/>
  <c r="AA49" i="75"/>
  <c r="AB49" i="75" s="1"/>
  <c r="Y49" i="75"/>
  <c r="Z49" i="75" s="1"/>
  <c r="H49" i="75"/>
  <c r="AT48" i="75"/>
  <c r="AR48" i="75"/>
  <c r="AP48" i="75"/>
  <c r="AN48" i="75"/>
  <c r="AL48" i="75"/>
  <c r="AJ48" i="75"/>
  <c r="AH48" i="75"/>
  <c r="AC48" i="75"/>
  <c r="AD48" i="75" s="1"/>
  <c r="AA48" i="75"/>
  <c r="AB48" i="75" s="1"/>
  <c r="Y48" i="75"/>
  <c r="Z48" i="75" s="1"/>
  <c r="H48" i="75"/>
  <c r="AT47" i="75"/>
  <c r="AR47" i="75"/>
  <c r="AP47" i="75"/>
  <c r="AN47" i="75"/>
  <c r="AL47" i="75"/>
  <c r="AJ47" i="75"/>
  <c r="AH47" i="75"/>
  <c r="AC47" i="75"/>
  <c r="AD47" i="75" s="1"/>
  <c r="AA47" i="75"/>
  <c r="AB47" i="75" s="1"/>
  <c r="Y47" i="75"/>
  <c r="Z47" i="75" s="1"/>
  <c r="H47" i="75"/>
  <c r="AV44" i="75"/>
  <c r="AU44" i="75"/>
  <c r="AS44" i="75"/>
  <c r="AQ44" i="75"/>
  <c r="AO44" i="75"/>
  <c r="AM44" i="75"/>
  <c r="AK44" i="75"/>
  <c r="AI44" i="75"/>
  <c r="AG44" i="75"/>
  <c r="G44" i="75"/>
  <c r="AT43" i="75"/>
  <c r="AR43" i="75"/>
  <c r="AP43" i="75"/>
  <c r="AN43" i="75"/>
  <c r="AL43" i="75"/>
  <c r="AJ43" i="75"/>
  <c r="AH43" i="75"/>
  <c r="AC43" i="75"/>
  <c r="AD43" i="75" s="1"/>
  <c r="AA43" i="75"/>
  <c r="AB43" i="75" s="1"/>
  <c r="Y43" i="75"/>
  <c r="Z43" i="75" s="1"/>
  <c r="H43" i="75"/>
  <c r="AT42" i="75"/>
  <c r="AR42" i="75"/>
  <c r="AP42" i="75"/>
  <c r="AN42" i="75"/>
  <c r="AL42" i="75"/>
  <c r="AJ42" i="75"/>
  <c r="AH42" i="75"/>
  <c r="AC42" i="75"/>
  <c r="AD42" i="75" s="1"/>
  <c r="AA42" i="75"/>
  <c r="AB42" i="75" s="1"/>
  <c r="Y42" i="75"/>
  <c r="H42" i="75"/>
  <c r="AT41" i="75"/>
  <c r="AR41" i="75"/>
  <c r="AP41" i="75"/>
  <c r="AN41" i="75"/>
  <c r="AL41" i="75"/>
  <c r="AJ41" i="75"/>
  <c r="AH41" i="75"/>
  <c r="AC41" i="75"/>
  <c r="AD41" i="75" s="1"/>
  <c r="AA41" i="75"/>
  <c r="AB41" i="75" s="1"/>
  <c r="Y41" i="75"/>
  <c r="Z41" i="75" s="1"/>
  <c r="H41" i="75"/>
  <c r="AT40" i="75"/>
  <c r="AR40" i="75"/>
  <c r="AP40" i="75"/>
  <c r="AN40" i="75"/>
  <c r="AL40" i="75"/>
  <c r="AJ40" i="75"/>
  <c r="AH40" i="75"/>
  <c r="AC40" i="75"/>
  <c r="AA40" i="75"/>
  <c r="Y40" i="75"/>
  <c r="Z40" i="75" s="1"/>
  <c r="H40" i="75"/>
  <c r="AT39" i="75"/>
  <c r="AR39" i="75"/>
  <c r="AR36" i="75" s="1"/>
  <c r="AP39" i="75"/>
  <c r="AN39" i="75"/>
  <c r="AL39" i="75"/>
  <c r="AJ39" i="75"/>
  <c r="AH39" i="75"/>
  <c r="AC39" i="75"/>
  <c r="AD39" i="75" s="1"/>
  <c r="AA39" i="75"/>
  <c r="AB39" i="75" s="1"/>
  <c r="Y39" i="75"/>
  <c r="H39" i="75"/>
  <c r="AX38" i="75"/>
  <c r="AW38" i="75"/>
  <c r="AV36" i="75"/>
  <c r="AU36" i="75"/>
  <c r="AT36" i="75"/>
  <c r="AS36" i="75"/>
  <c r="AQ36" i="75"/>
  <c r="AO36" i="75"/>
  <c r="AN36" i="75"/>
  <c r="AM36" i="75"/>
  <c r="AK36" i="75"/>
  <c r="AI36" i="75"/>
  <c r="AH36" i="75"/>
  <c r="AG36" i="75"/>
  <c r="G36" i="75"/>
  <c r="AT35" i="75"/>
  <c r="AR35" i="75"/>
  <c r="AP35" i="75"/>
  <c r="AN35" i="75"/>
  <c r="AL35" i="75"/>
  <c r="AJ35" i="75"/>
  <c r="AH35" i="75"/>
  <c r="AC35" i="75"/>
  <c r="AD35" i="75" s="1"/>
  <c r="AA35" i="75"/>
  <c r="AB35" i="75" s="1"/>
  <c r="Y35" i="75"/>
  <c r="Z35" i="75" s="1"/>
  <c r="H35" i="75"/>
  <c r="AT34" i="75"/>
  <c r="AR34" i="75"/>
  <c r="AP34" i="75"/>
  <c r="AN34" i="75"/>
  <c r="AL34" i="75"/>
  <c r="AJ34" i="75"/>
  <c r="AH34" i="75"/>
  <c r="AC34" i="75"/>
  <c r="AD34" i="75" s="1"/>
  <c r="AA34" i="75"/>
  <c r="AB34" i="75" s="1"/>
  <c r="Y34" i="75"/>
  <c r="H34" i="75"/>
  <c r="AT33" i="75"/>
  <c r="AR33" i="75"/>
  <c r="AP33" i="75"/>
  <c r="AP30" i="75" s="1"/>
  <c r="AN33" i="75"/>
  <c r="AN30" i="75" s="1"/>
  <c r="AL33" i="75"/>
  <c r="AJ33" i="75"/>
  <c r="AH33" i="75"/>
  <c r="AC33" i="75"/>
  <c r="AA33" i="75"/>
  <c r="AB33" i="75" s="1"/>
  <c r="Y33" i="75"/>
  <c r="Z33" i="75" s="1"/>
  <c r="H33" i="75"/>
  <c r="AV30" i="75"/>
  <c r="AU30" i="75"/>
  <c r="AS30" i="75"/>
  <c r="AQ30" i="75"/>
  <c r="AO30" i="75"/>
  <c r="AM30" i="75"/>
  <c r="AL30" i="75"/>
  <c r="AK30" i="75"/>
  <c r="AI30" i="75"/>
  <c r="AG30" i="75"/>
  <c r="O30" i="75"/>
  <c r="G30" i="75"/>
  <c r="AT29" i="75"/>
  <c r="AR29" i="75"/>
  <c r="AP29" i="75"/>
  <c r="AN29" i="75"/>
  <c r="AL29" i="75"/>
  <c r="AJ29" i="75"/>
  <c r="AH29" i="75"/>
  <c r="AC29" i="75"/>
  <c r="AD29" i="75" s="1"/>
  <c r="AB29" i="75"/>
  <c r="Y29" i="75"/>
  <c r="H29" i="75"/>
  <c r="AT28" i="75"/>
  <c r="AR28" i="75"/>
  <c r="AP28" i="75"/>
  <c r="AN28" i="75"/>
  <c r="AL28" i="75"/>
  <c r="AJ28" i="75"/>
  <c r="AH28" i="75"/>
  <c r="AC28" i="75"/>
  <c r="AD28" i="75" s="1"/>
  <c r="AA28" i="75"/>
  <c r="Y28" i="75"/>
  <c r="Z28" i="75" s="1"/>
  <c r="H28" i="75"/>
  <c r="AT27" i="75"/>
  <c r="AR27" i="75"/>
  <c r="AP27" i="75"/>
  <c r="AN27" i="75"/>
  <c r="AL27" i="75"/>
  <c r="AJ27" i="75"/>
  <c r="AH27" i="75"/>
  <c r="AC27" i="75"/>
  <c r="AD27" i="75" s="1"/>
  <c r="AA27" i="75"/>
  <c r="AB27" i="75" s="1"/>
  <c r="Y27" i="75"/>
  <c r="H27" i="75"/>
  <c r="AX26" i="75"/>
  <c r="AW26" i="75"/>
  <c r="AT25" i="75"/>
  <c r="AR25" i="75"/>
  <c r="AP25" i="75"/>
  <c r="AN25" i="75"/>
  <c r="AL25" i="75"/>
  <c r="AJ25" i="75"/>
  <c r="AH25" i="75"/>
  <c r="AC25" i="75"/>
  <c r="AD25" i="75" s="1"/>
  <c r="AA25" i="75"/>
  <c r="AB25" i="75" s="1"/>
  <c r="Y25" i="75"/>
  <c r="Z25" i="75" s="1"/>
  <c r="H25" i="75"/>
  <c r="AT24" i="75"/>
  <c r="AR24" i="75"/>
  <c r="AP24" i="75"/>
  <c r="AN24" i="75"/>
  <c r="AL24" i="75"/>
  <c r="AJ24" i="75"/>
  <c r="AH24" i="75"/>
  <c r="AC24" i="75"/>
  <c r="AD24" i="75" s="1"/>
  <c r="AA24" i="75"/>
  <c r="AB24" i="75" s="1"/>
  <c r="Y24" i="75"/>
  <c r="Z24" i="75" s="1"/>
  <c r="H24" i="75"/>
  <c r="AX23" i="75"/>
  <c r="AW23" i="75"/>
  <c r="AT22" i="75"/>
  <c r="AR22" i="75"/>
  <c r="AP22" i="75"/>
  <c r="AN22" i="75"/>
  <c r="AL22" i="75"/>
  <c r="AJ22" i="75"/>
  <c r="AH22" i="75"/>
  <c r="AC22" i="75"/>
  <c r="AD22" i="75" s="1"/>
  <c r="AA22" i="75"/>
  <c r="AB22" i="75" s="1"/>
  <c r="Y22" i="75"/>
  <c r="Z22" i="75" s="1"/>
  <c r="H22" i="75"/>
  <c r="AT21" i="75"/>
  <c r="AR21" i="75"/>
  <c r="AP21" i="75"/>
  <c r="AN21" i="75"/>
  <c r="AL21" i="75"/>
  <c r="AJ21" i="75"/>
  <c r="AH21" i="75"/>
  <c r="AC21" i="75"/>
  <c r="AD21" i="75" s="1"/>
  <c r="AA21" i="75"/>
  <c r="AB21" i="75" s="1"/>
  <c r="Y21" i="75"/>
  <c r="Z21" i="75" s="1"/>
  <c r="H21" i="75"/>
  <c r="AT20" i="75"/>
  <c r="AR20" i="75"/>
  <c r="AP20" i="75"/>
  <c r="AN20" i="75"/>
  <c r="AL20" i="75"/>
  <c r="AJ20" i="75"/>
  <c r="AH20" i="75"/>
  <c r="AC20" i="75"/>
  <c r="AD20" i="75" s="1"/>
  <c r="AA20" i="75"/>
  <c r="AB20" i="75" s="1"/>
  <c r="Y20" i="75"/>
  <c r="H20" i="75"/>
  <c r="AT19" i="75"/>
  <c r="AR19" i="75"/>
  <c r="AP19" i="75"/>
  <c r="AN19" i="75"/>
  <c r="AL19" i="75"/>
  <c r="AJ19" i="75"/>
  <c r="AH19" i="75"/>
  <c r="AC19" i="75"/>
  <c r="AD19" i="75" s="1"/>
  <c r="AA19" i="75"/>
  <c r="AB19" i="75" s="1"/>
  <c r="Y19" i="75"/>
  <c r="H19" i="75"/>
  <c r="AX18" i="75"/>
  <c r="AW18" i="75"/>
  <c r="L18" i="75"/>
  <c r="AT16" i="75"/>
  <c r="AR16" i="75"/>
  <c r="AP16" i="75"/>
  <c r="AN16" i="75"/>
  <c r="AL16" i="75"/>
  <c r="AJ16" i="75"/>
  <c r="AH16" i="75"/>
  <c r="AC16" i="75"/>
  <c r="AD16" i="75" s="1"/>
  <c r="AA16" i="75"/>
  <c r="AB16" i="75" s="1"/>
  <c r="Y16" i="75"/>
  <c r="H16" i="75"/>
  <c r="AT15" i="75"/>
  <c r="AR15" i="75"/>
  <c r="AP15" i="75"/>
  <c r="AN15" i="75"/>
  <c r="AL15" i="75"/>
  <c r="AJ15" i="75"/>
  <c r="AH15" i="75"/>
  <c r="AC15" i="75"/>
  <c r="AD15" i="75" s="1"/>
  <c r="AA15" i="75"/>
  <c r="AB15" i="75" s="1"/>
  <c r="Y15" i="75"/>
  <c r="H15" i="75"/>
  <c r="AX14" i="75"/>
  <c r="AW14" i="75"/>
  <c r="AT13" i="75"/>
  <c r="AR13" i="75"/>
  <c r="AP13" i="75"/>
  <c r="AN13" i="75"/>
  <c r="AL13" i="75"/>
  <c r="AJ13" i="75"/>
  <c r="AH13" i="75"/>
  <c r="AC13" i="75"/>
  <c r="AD13" i="75" s="1"/>
  <c r="AA13" i="75"/>
  <c r="AB13" i="75" s="1"/>
  <c r="Y13" i="75"/>
  <c r="H13" i="75"/>
  <c r="AT12" i="75"/>
  <c r="AR12" i="75"/>
  <c r="AP12" i="75"/>
  <c r="AP10" i="75" s="1"/>
  <c r="AN12" i="75"/>
  <c r="AL12" i="75"/>
  <c r="AJ12" i="75"/>
  <c r="AJ10" i="75" s="1"/>
  <c r="AH12" i="75"/>
  <c r="AC12" i="75"/>
  <c r="AD12" i="75" s="1"/>
  <c r="AA12" i="75"/>
  <c r="Y12" i="75"/>
  <c r="Z12" i="75" s="1"/>
  <c r="H12" i="75"/>
  <c r="AX11" i="75"/>
  <c r="AW11" i="75"/>
  <c r="AV10" i="75"/>
  <c r="AV9" i="75" s="1"/>
  <c r="AV70" i="75" s="1"/>
  <c r="AU10" i="75"/>
  <c r="AT10" i="75"/>
  <c r="AS10" i="75"/>
  <c r="AR10" i="75"/>
  <c r="AQ10" i="75"/>
  <c r="AO10" i="75"/>
  <c r="AN10" i="75"/>
  <c r="AM10" i="75"/>
  <c r="AK10" i="75"/>
  <c r="AI10" i="75"/>
  <c r="AH10" i="75"/>
  <c r="AG10" i="75"/>
  <c r="H10" i="75"/>
  <c r="G10" i="75"/>
  <c r="G9" i="75" s="1"/>
  <c r="G70" i="75" s="1"/>
  <c r="AU9" i="75"/>
  <c r="AU70" i="75" s="1"/>
  <c r="AQ9" i="75"/>
  <c r="AQ70" i="75" s="1"/>
  <c r="AO9" i="75"/>
  <c r="AO70" i="75" s="1"/>
  <c r="AM9" i="75"/>
  <c r="AM70" i="75" s="1"/>
  <c r="AK9" i="75"/>
  <c r="AK70" i="75" s="1"/>
  <c r="AI9" i="75"/>
  <c r="AI70" i="75" s="1"/>
  <c r="AG9" i="75"/>
  <c r="AG70" i="75" s="1"/>
  <c r="J70" i="74"/>
  <c r="J69" i="74"/>
  <c r="J67" i="74"/>
  <c r="K67" i="74" s="1"/>
  <c r="J66" i="74"/>
  <c r="K66" i="74" s="1"/>
  <c r="J65" i="74"/>
  <c r="K65" i="74" s="1"/>
  <c r="J64" i="74"/>
  <c r="K64" i="74" s="1"/>
  <c r="J63" i="74"/>
  <c r="K63" i="74" s="1"/>
  <c r="J62" i="74"/>
  <c r="K62" i="74" s="1"/>
  <c r="J61" i="74"/>
  <c r="K61" i="74" s="1"/>
  <c r="J60" i="74"/>
  <c r="K60" i="74" s="1"/>
  <c r="J59" i="74"/>
  <c r="K59" i="74" s="1"/>
  <c r="J58" i="74"/>
  <c r="K58" i="74" s="1"/>
  <c r="J57" i="74"/>
  <c r="K57" i="74" s="1"/>
  <c r="J56" i="74"/>
  <c r="K56" i="74" s="1"/>
  <c r="J55" i="74"/>
  <c r="K55" i="74" s="1"/>
  <c r="J54" i="74"/>
  <c r="K54" i="74" s="1"/>
  <c r="J53" i="74"/>
  <c r="K53" i="74" s="1"/>
  <c r="J52" i="74"/>
  <c r="K52" i="74" s="1"/>
  <c r="J51" i="74"/>
  <c r="K51" i="74" s="1"/>
  <c r="J50" i="74"/>
  <c r="K50" i="74" s="1"/>
  <c r="J49" i="74"/>
  <c r="K49" i="74" s="1"/>
  <c r="J48" i="74"/>
  <c r="K48" i="74" s="1"/>
  <c r="J44" i="74"/>
  <c r="K44" i="74" s="1"/>
  <c r="J43" i="74"/>
  <c r="K43" i="74" s="1"/>
  <c r="J42" i="74"/>
  <c r="K42" i="74" s="1"/>
  <c r="J41" i="74"/>
  <c r="K41" i="74" s="1"/>
  <c r="J40" i="74"/>
  <c r="K40" i="74" s="1"/>
  <c r="J36" i="74"/>
  <c r="K36" i="74" s="1"/>
  <c r="J35" i="74"/>
  <c r="K35" i="74" s="1"/>
  <c r="J34" i="74"/>
  <c r="K34" i="74" s="1"/>
  <c r="J30" i="74"/>
  <c r="K30" i="74" s="1"/>
  <c r="J29" i="74"/>
  <c r="K29" i="74" s="1"/>
  <c r="J28" i="74"/>
  <c r="K28" i="74" s="1"/>
  <c r="J26" i="74"/>
  <c r="K26" i="74" s="1"/>
  <c r="J25" i="74"/>
  <c r="K25" i="74" s="1"/>
  <c r="J23" i="74"/>
  <c r="K23" i="74" s="1"/>
  <c r="J22" i="74"/>
  <c r="K22" i="74" s="1"/>
  <c r="J21" i="74"/>
  <c r="K21" i="74" s="1"/>
  <c r="J20" i="74"/>
  <c r="K20" i="74" s="1"/>
  <c r="J17" i="74"/>
  <c r="K17" i="74" s="1"/>
  <c r="J16" i="74"/>
  <c r="K16" i="74" s="1"/>
  <c r="J14" i="74"/>
  <c r="K14" i="74" s="1"/>
  <c r="J13" i="74"/>
  <c r="K13" i="74" s="1"/>
  <c r="AC13" i="73"/>
  <c r="AD13" i="73" s="1"/>
  <c r="AC68" i="73"/>
  <c r="AC63" i="73"/>
  <c r="AD63" i="73" s="1"/>
  <c r="AC64" i="73"/>
  <c r="AD64" i="73" s="1"/>
  <c r="AC65" i="73"/>
  <c r="AC66" i="73"/>
  <c r="AD66" i="73" s="1"/>
  <c r="AC29" i="73"/>
  <c r="AD29" i="73" s="1"/>
  <c r="AC28" i="73"/>
  <c r="AD28" i="73" s="1"/>
  <c r="AC27" i="73"/>
  <c r="AD27" i="73" s="1"/>
  <c r="AC20" i="73"/>
  <c r="AD20" i="73" s="1"/>
  <c r="AC21" i="73"/>
  <c r="AD21" i="73" s="1"/>
  <c r="AC19" i="73"/>
  <c r="AD19" i="73" s="1"/>
  <c r="AC16" i="73"/>
  <c r="AD16" i="73" s="1"/>
  <c r="AC15" i="73"/>
  <c r="AD15" i="73" s="1"/>
  <c r="AA69" i="73"/>
  <c r="Y69" i="73"/>
  <c r="AA68" i="73"/>
  <c r="Y68" i="73"/>
  <c r="Y67" i="73"/>
  <c r="AW67" i="73" s="1"/>
  <c r="I67" i="73" s="1"/>
  <c r="M67" i="73" s="1"/>
  <c r="AT66" i="73"/>
  <c r="AR66" i="73"/>
  <c r="AP66" i="73"/>
  <c r="AN66" i="73"/>
  <c r="AL66" i="73"/>
  <c r="AJ66" i="73"/>
  <c r="AH66" i="73"/>
  <c r="AF66" i="73"/>
  <c r="AA66" i="73"/>
  <c r="AB66" i="73" s="1"/>
  <c r="Y66" i="73"/>
  <c r="H66" i="73"/>
  <c r="AT65" i="73"/>
  <c r="AR65" i="73"/>
  <c r="AP65" i="73"/>
  <c r="AN65" i="73"/>
  <c r="AL65" i="73"/>
  <c r="AJ65" i="73"/>
  <c r="AH65" i="73"/>
  <c r="AF65" i="73"/>
  <c r="AA65" i="73"/>
  <c r="AB65" i="73" s="1"/>
  <c r="Y65" i="73"/>
  <c r="Z65" i="73" s="1"/>
  <c r="H65" i="73"/>
  <c r="AT64" i="73"/>
  <c r="AR64" i="73"/>
  <c r="AP64" i="73"/>
  <c r="AN64" i="73"/>
  <c r="AL64" i="73"/>
  <c r="AJ64" i="73"/>
  <c r="AH64" i="73"/>
  <c r="AF64" i="73"/>
  <c r="AA64" i="73"/>
  <c r="AB64" i="73" s="1"/>
  <c r="Y64" i="73"/>
  <c r="H64" i="73"/>
  <c r="AT63" i="73"/>
  <c r="AR63" i="73"/>
  <c r="AP63" i="73"/>
  <c r="AN63" i="73"/>
  <c r="AL63" i="73"/>
  <c r="AJ63" i="73"/>
  <c r="AH63" i="73"/>
  <c r="AF63" i="73"/>
  <c r="AA63" i="73"/>
  <c r="AB63" i="73" s="1"/>
  <c r="Y63" i="73"/>
  <c r="Z63" i="73" s="1"/>
  <c r="H63" i="73"/>
  <c r="AT62" i="73"/>
  <c r="AR62" i="73"/>
  <c r="AP62" i="73"/>
  <c r="AN62" i="73"/>
  <c r="AL62" i="73"/>
  <c r="AJ62" i="73"/>
  <c r="AH62" i="73"/>
  <c r="AF62" i="73"/>
  <c r="AA62" i="73"/>
  <c r="AB62" i="73" s="1"/>
  <c r="Y62" i="73"/>
  <c r="Z62" i="73" s="1"/>
  <c r="H62" i="73"/>
  <c r="AT61" i="73"/>
  <c r="AR61" i="73"/>
  <c r="AP61" i="73"/>
  <c r="AN61" i="73"/>
  <c r="AL61" i="73"/>
  <c r="AJ61" i="73"/>
  <c r="AH61" i="73"/>
  <c r="AF61" i="73"/>
  <c r="AA61" i="73"/>
  <c r="AB61" i="73" s="1"/>
  <c r="Y61" i="73"/>
  <c r="H61" i="73"/>
  <c r="AT60" i="73"/>
  <c r="AR60" i="73"/>
  <c r="AP60" i="73"/>
  <c r="AN60" i="73"/>
  <c r="AL60" i="73"/>
  <c r="AJ60" i="73"/>
  <c r="AH60" i="73"/>
  <c r="AF60" i="73"/>
  <c r="AA60" i="73"/>
  <c r="AB60" i="73" s="1"/>
  <c r="Y60" i="73"/>
  <c r="Z60" i="73" s="1"/>
  <c r="H60" i="73"/>
  <c r="AT59" i="73"/>
  <c r="AR59" i="73"/>
  <c r="AP59" i="73"/>
  <c r="AN59" i="73"/>
  <c r="AL59" i="73"/>
  <c r="AJ59" i="73"/>
  <c r="AH59" i="73"/>
  <c r="AF59" i="73"/>
  <c r="AA59" i="73"/>
  <c r="AB59" i="73" s="1"/>
  <c r="Y59" i="73"/>
  <c r="H59" i="73"/>
  <c r="AT58" i="73"/>
  <c r="AR58" i="73"/>
  <c r="AP58" i="73"/>
  <c r="AN58" i="73"/>
  <c r="AL58" i="73"/>
  <c r="AJ58" i="73"/>
  <c r="AH58" i="73"/>
  <c r="AF58" i="73"/>
  <c r="AA58" i="73"/>
  <c r="AB58" i="73" s="1"/>
  <c r="Y58" i="73"/>
  <c r="H58" i="73"/>
  <c r="AT57" i="73"/>
  <c r="AR57" i="73"/>
  <c r="AP57" i="73"/>
  <c r="AN57" i="73"/>
  <c r="AL57" i="73"/>
  <c r="AJ57" i="73"/>
  <c r="AH57" i="73"/>
  <c r="AF57" i="73"/>
  <c r="AA57" i="73"/>
  <c r="AB57" i="73" s="1"/>
  <c r="Y57" i="73"/>
  <c r="Z57" i="73" s="1"/>
  <c r="H57" i="73"/>
  <c r="AT56" i="73"/>
  <c r="AR56" i="73"/>
  <c r="AP56" i="73"/>
  <c r="AN56" i="73"/>
  <c r="AL56" i="73"/>
  <c r="AJ56" i="73"/>
  <c r="AH56" i="73"/>
  <c r="AF56" i="73"/>
  <c r="AA56" i="73"/>
  <c r="AB56" i="73" s="1"/>
  <c r="Y56" i="73"/>
  <c r="H56" i="73"/>
  <c r="AT55" i="73"/>
  <c r="AR55" i="73"/>
  <c r="AP55" i="73"/>
  <c r="AN55" i="73"/>
  <c r="AL55" i="73"/>
  <c r="AJ55" i="73"/>
  <c r="AH55" i="73"/>
  <c r="AF55" i="73"/>
  <c r="AA55" i="73"/>
  <c r="AB55" i="73" s="1"/>
  <c r="Y55" i="73"/>
  <c r="H55" i="73"/>
  <c r="AT54" i="73"/>
  <c r="AR54" i="73"/>
  <c r="AP54" i="73"/>
  <c r="AN54" i="73"/>
  <c r="AL54" i="73"/>
  <c r="AJ54" i="73"/>
  <c r="AH54" i="73"/>
  <c r="AF54" i="73"/>
  <c r="AA54" i="73"/>
  <c r="AB54" i="73" s="1"/>
  <c r="Y54" i="73"/>
  <c r="H54" i="73"/>
  <c r="AT53" i="73"/>
  <c r="AR53" i="73"/>
  <c r="AP53" i="73"/>
  <c r="AN53" i="73"/>
  <c r="AL53" i="73"/>
  <c r="AJ53" i="73"/>
  <c r="AH53" i="73"/>
  <c r="AF53" i="73"/>
  <c r="AA53" i="73"/>
  <c r="AB53" i="73" s="1"/>
  <c r="Y53" i="73"/>
  <c r="Z53" i="73" s="1"/>
  <c r="H53" i="73"/>
  <c r="AT52" i="73"/>
  <c r="AR52" i="73"/>
  <c r="AP52" i="73"/>
  <c r="AN52" i="73"/>
  <c r="AL52" i="73"/>
  <c r="AJ52" i="73"/>
  <c r="AH52" i="73"/>
  <c r="AF52" i="73"/>
  <c r="AA52" i="73"/>
  <c r="AB52" i="73" s="1"/>
  <c r="Y52" i="73"/>
  <c r="H52" i="73"/>
  <c r="AT51" i="73"/>
  <c r="AR51" i="73"/>
  <c r="AP51" i="73"/>
  <c r="AN51" i="73"/>
  <c r="AL51" i="73"/>
  <c r="AJ51" i="73"/>
  <c r="AH51" i="73"/>
  <c r="AF51" i="73"/>
  <c r="AA51" i="73"/>
  <c r="AB51" i="73" s="1"/>
  <c r="Y51" i="73"/>
  <c r="H51" i="73"/>
  <c r="AT50" i="73"/>
  <c r="AR50" i="73"/>
  <c r="AP50" i="73"/>
  <c r="AN50" i="73"/>
  <c r="AL50" i="73"/>
  <c r="AJ50" i="73"/>
  <c r="AH50" i="73"/>
  <c r="AF50" i="73"/>
  <c r="AA50" i="73"/>
  <c r="AB50" i="73" s="1"/>
  <c r="Y50" i="73"/>
  <c r="H50" i="73"/>
  <c r="AT49" i="73"/>
  <c r="AR49" i="73"/>
  <c r="AP49" i="73"/>
  <c r="AN49" i="73"/>
  <c r="AL49" i="73"/>
  <c r="AJ49" i="73"/>
  <c r="AH49" i="73"/>
  <c r="AF49" i="73"/>
  <c r="AA49" i="73"/>
  <c r="AB49" i="73" s="1"/>
  <c r="Y49" i="73"/>
  <c r="H49" i="73"/>
  <c r="AT48" i="73"/>
  <c r="AR48" i="73"/>
  <c r="AP48" i="73"/>
  <c r="AN48" i="73"/>
  <c r="AL48" i="73"/>
  <c r="AJ48" i="73"/>
  <c r="AH48" i="73"/>
  <c r="AF48" i="73"/>
  <c r="AA48" i="73"/>
  <c r="Y48" i="73"/>
  <c r="H48" i="73"/>
  <c r="AT47" i="73"/>
  <c r="AR47" i="73"/>
  <c r="AP47" i="73"/>
  <c r="AN47" i="73"/>
  <c r="AN44" i="73" s="1"/>
  <c r="AL47" i="73"/>
  <c r="AJ47" i="73"/>
  <c r="AH47" i="73"/>
  <c r="AF47" i="73"/>
  <c r="AA47" i="73"/>
  <c r="AB47" i="73" s="1"/>
  <c r="Y47" i="73"/>
  <c r="H47" i="73"/>
  <c r="AV44" i="73"/>
  <c r="AU44" i="73"/>
  <c r="AS44" i="73"/>
  <c r="AQ44" i="73"/>
  <c r="AO44" i="73"/>
  <c r="AM44" i="73"/>
  <c r="AL44" i="73"/>
  <c r="AK44" i="73"/>
  <c r="AI44" i="73"/>
  <c r="AG44" i="73"/>
  <c r="AE44" i="73"/>
  <c r="G44" i="73"/>
  <c r="AT43" i="73"/>
  <c r="AR43" i="73"/>
  <c r="AP43" i="73"/>
  <c r="AN43" i="73"/>
  <c r="AL43" i="73"/>
  <c r="AJ43" i="73"/>
  <c r="AH43" i="73"/>
  <c r="AF43" i="73"/>
  <c r="AA43" i="73"/>
  <c r="AB43" i="73" s="1"/>
  <c r="Y43" i="73"/>
  <c r="Z43" i="73" s="1"/>
  <c r="H43" i="73"/>
  <c r="AT42" i="73"/>
  <c r="AR42" i="73"/>
  <c r="AP42" i="73"/>
  <c r="AN42" i="73"/>
  <c r="AL42" i="73"/>
  <c r="AJ42" i="73"/>
  <c r="AH42" i="73"/>
  <c r="AF42" i="73"/>
  <c r="AA42" i="73"/>
  <c r="AB42" i="73" s="1"/>
  <c r="Y42" i="73"/>
  <c r="H42" i="73"/>
  <c r="AT41" i="73"/>
  <c r="AR41" i="73"/>
  <c r="AP41" i="73"/>
  <c r="AN41" i="73"/>
  <c r="AL41" i="73"/>
  <c r="AJ41" i="73"/>
  <c r="AH41" i="73"/>
  <c r="AF41" i="73"/>
  <c r="AA41" i="73"/>
  <c r="AB41" i="73" s="1"/>
  <c r="Y41" i="73"/>
  <c r="H41" i="73"/>
  <c r="AT40" i="73"/>
  <c r="AR40" i="73"/>
  <c r="AP40" i="73"/>
  <c r="AN40" i="73"/>
  <c r="AL40" i="73"/>
  <c r="AJ40" i="73"/>
  <c r="AH40" i="73"/>
  <c r="AF40" i="73"/>
  <c r="AA40" i="73"/>
  <c r="AB40" i="73" s="1"/>
  <c r="Y40" i="73"/>
  <c r="H40" i="73"/>
  <c r="AT39" i="73"/>
  <c r="AR39" i="73"/>
  <c r="AP39" i="73"/>
  <c r="AN39" i="73"/>
  <c r="AN36" i="73" s="1"/>
  <c r="AL39" i="73"/>
  <c r="AJ39" i="73"/>
  <c r="AH39" i="73"/>
  <c r="AF39" i="73"/>
  <c r="AA39" i="73"/>
  <c r="AB39" i="73" s="1"/>
  <c r="Y39" i="73"/>
  <c r="H39" i="73"/>
  <c r="AX38" i="73"/>
  <c r="AW38" i="73"/>
  <c r="AV36" i="73"/>
  <c r="AU36" i="73"/>
  <c r="AS36" i="73"/>
  <c r="AQ36" i="73"/>
  <c r="AO36" i="73"/>
  <c r="AM36" i="73"/>
  <c r="AK36" i="73"/>
  <c r="AI36" i="73"/>
  <c r="AG36" i="73"/>
  <c r="AF36" i="73"/>
  <c r="AE36" i="73"/>
  <c r="G36" i="73"/>
  <c r="AT35" i="73"/>
  <c r="AR35" i="73"/>
  <c r="AP35" i="73"/>
  <c r="AN35" i="73"/>
  <c r="AL35" i="73"/>
  <c r="AJ35" i="73"/>
  <c r="AH35" i="73"/>
  <c r="AF35" i="73"/>
  <c r="AA35" i="73"/>
  <c r="AB35" i="73" s="1"/>
  <c r="Y35" i="73"/>
  <c r="H35" i="73"/>
  <c r="AT34" i="73"/>
  <c r="AR34" i="73"/>
  <c r="AP34" i="73"/>
  <c r="AN34" i="73"/>
  <c r="AL34" i="73"/>
  <c r="AJ34" i="73"/>
  <c r="AH34" i="73"/>
  <c r="AF34" i="73"/>
  <c r="AA34" i="73"/>
  <c r="Y34" i="73"/>
  <c r="H34" i="73"/>
  <c r="AT33" i="73"/>
  <c r="AR33" i="73"/>
  <c r="AP33" i="73"/>
  <c r="AN33" i="73"/>
  <c r="AL33" i="73"/>
  <c r="AJ33" i="73"/>
  <c r="AJ30" i="73" s="1"/>
  <c r="AH33" i="73"/>
  <c r="AF33" i="73"/>
  <c r="AA33" i="73"/>
  <c r="AB33" i="73" s="1"/>
  <c r="Y33" i="73"/>
  <c r="Z33" i="73" s="1"/>
  <c r="H33" i="73"/>
  <c r="AV30" i="73"/>
  <c r="AU30" i="73"/>
  <c r="AT30" i="73"/>
  <c r="AS30" i="73"/>
  <c r="AQ30" i="73"/>
  <c r="AO30" i="73"/>
  <c r="AM30" i="73"/>
  <c r="AK30" i="73"/>
  <c r="AI30" i="73"/>
  <c r="AG30" i="73"/>
  <c r="AE30" i="73"/>
  <c r="O30" i="73"/>
  <c r="G30" i="73"/>
  <c r="AT29" i="73"/>
  <c r="AR29" i="73"/>
  <c r="AP29" i="73"/>
  <c r="AN29" i="73"/>
  <c r="AL29" i="73"/>
  <c r="AJ29" i="73"/>
  <c r="AH29" i="73"/>
  <c r="AF29" i="73"/>
  <c r="AB29" i="73"/>
  <c r="Y29" i="73"/>
  <c r="Z29" i="73" s="1"/>
  <c r="H29" i="73"/>
  <c r="AT28" i="73"/>
  <c r="AR28" i="73"/>
  <c r="AP28" i="73"/>
  <c r="AN28" i="73"/>
  <c r="AL28" i="73"/>
  <c r="AJ28" i="73"/>
  <c r="AH28" i="73"/>
  <c r="AF28" i="73"/>
  <c r="AA28" i="73"/>
  <c r="AB28" i="73" s="1"/>
  <c r="Y28" i="73"/>
  <c r="Z28" i="73" s="1"/>
  <c r="H28" i="73"/>
  <c r="AT27" i="73"/>
  <c r="AR27" i="73"/>
  <c r="AP27" i="73"/>
  <c r="AN27" i="73"/>
  <c r="AL27" i="73"/>
  <c r="AJ27" i="73"/>
  <c r="AH27" i="73"/>
  <c r="AF27" i="73"/>
  <c r="AA27" i="73"/>
  <c r="AB27" i="73" s="1"/>
  <c r="Y27" i="73"/>
  <c r="H27" i="73"/>
  <c r="AX26" i="73"/>
  <c r="AW26" i="73"/>
  <c r="AT25" i="73"/>
  <c r="AR25" i="73"/>
  <c r="AP25" i="73"/>
  <c r="AN25" i="73"/>
  <c r="AL25" i="73"/>
  <c r="AJ25" i="73"/>
  <c r="AH25" i="73"/>
  <c r="AF25" i="73"/>
  <c r="AA25" i="73"/>
  <c r="AB25" i="73" s="1"/>
  <c r="Y25" i="73"/>
  <c r="H25" i="73"/>
  <c r="AT24" i="73"/>
  <c r="AR24" i="73"/>
  <c r="AP24" i="73"/>
  <c r="AN24" i="73"/>
  <c r="AL24" i="73"/>
  <c r="AJ24" i="73"/>
  <c r="AH24" i="73"/>
  <c r="AF24" i="73"/>
  <c r="AA24" i="73"/>
  <c r="AB24" i="73" s="1"/>
  <c r="Y24" i="73"/>
  <c r="Z24" i="73" s="1"/>
  <c r="H24" i="73"/>
  <c r="AX23" i="73"/>
  <c r="AW23" i="73"/>
  <c r="AT22" i="73"/>
  <c r="AR22" i="73"/>
  <c r="AP22" i="73"/>
  <c r="AN22" i="73"/>
  <c r="AL22" i="73"/>
  <c r="AJ22" i="73"/>
  <c r="AH22" i="73"/>
  <c r="AF22" i="73"/>
  <c r="AA22" i="73"/>
  <c r="AB22" i="73" s="1"/>
  <c r="Y22" i="73"/>
  <c r="Z22" i="73" s="1"/>
  <c r="H22" i="73"/>
  <c r="AT21" i="73"/>
  <c r="AR21" i="73"/>
  <c r="AP21" i="73"/>
  <c r="AN21" i="73"/>
  <c r="AL21" i="73"/>
  <c r="AJ21" i="73"/>
  <c r="AH21" i="73"/>
  <c r="AF21" i="73"/>
  <c r="AA21" i="73"/>
  <c r="AB21" i="73" s="1"/>
  <c r="Y21" i="73"/>
  <c r="H21" i="73"/>
  <c r="AT20" i="73"/>
  <c r="AR20" i="73"/>
  <c r="AP20" i="73"/>
  <c r="AN20" i="73"/>
  <c r="AL20" i="73"/>
  <c r="AJ20" i="73"/>
  <c r="AH20" i="73"/>
  <c r="AF20" i="73"/>
  <c r="AA20" i="73"/>
  <c r="AB20" i="73" s="1"/>
  <c r="Y20" i="73"/>
  <c r="H20" i="73"/>
  <c r="AT19" i="73"/>
  <c r="AR19" i="73"/>
  <c r="AP19" i="73"/>
  <c r="AN19" i="73"/>
  <c r="AL19" i="73"/>
  <c r="AJ19" i="73"/>
  <c r="AH19" i="73"/>
  <c r="AF19" i="73"/>
  <c r="AA19" i="73"/>
  <c r="AB19" i="73" s="1"/>
  <c r="Y19" i="73"/>
  <c r="Z19" i="73" s="1"/>
  <c r="H19" i="73"/>
  <c r="AX18" i="73"/>
  <c r="AW18" i="73"/>
  <c r="L18" i="73"/>
  <c r="AT16" i="73"/>
  <c r="AR16" i="73"/>
  <c r="AP16" i="73"/>
  <c r="AN16" i="73"/>
  <c r="AL16" i="73"/>
  <c r="AJ16" i="73"/>
  <c r="AH16" i="73"/>
  <c r="AF16" i="73"/>
  <c r="AA16" i="73"/>
  <c r="AB16" i="73" s="1"/>
  <c r="Y16" i="73"/>
  <c r="Z16" i="73" s="1"/>
  <c r="H16" i="73"/>
  <c r="AT15" i="73"/>
  <c r="AR15" i="73"/>
  <c r="AP15" i="73"/>
  <c r="AN15" i="73"/>
  <c r="AL15" i="73"/>
  <c r="AJ15" i="73"/>
  <c r="AH15" i="73"/>
  <c r="AF15" i="73"/>
  <c r="AA15" i="73"/>
  <c r="AB15" i="73" s="1"/>
  <c r="Y15" i="73"/>
  <c r="H15" i="73"/>
  <c r="AX14" i="73"/>
  <c r="AW14" i="73"/>
  <c r="AT13" i="73"/>
  <c r="AR13" i="73"/>
  <c r="AP13" i="73"/>
  <c r="AN13" i="73"/>
  <c r="AL13" i="73"/>
  <c r="AJ13" i="73"/>
  <c r="AH13" i="73"/>
  <c r="AF13" i="73"/>
  <c r="AA13" i="73"/>
  <c r="AB13" i="73" s="1"/>
  <c r="Y13" i="73"/>
  <c r="H13" i="73"/>
  <c r="AT12" i="73"/>
  <c r="AR12" i="73"/>
  <c r="AP12" i="73"/>
  <c r="AN12" i="73"/>
  <c r="AL12" i="73"/>
  <c r="AJ12" i="73"/>
  <c r="AH12" i="73"/>
  <c r="AF12" i="73"/>
  <c r="AA12" i="73"/>
  <c r="AB12" i="73" s="1"/>
  <c r="Y12" i="73"/>
  <c r="H12" i="73"/>
  <c r="H10" i="73" s="1"/>
  <c r="AX11" i="73"/>
  <c r="AW11" i="73"/>
  <c r="AV10" i="73"/>
  <c r="AU10" i="73"/>
  <c r="AS10" i="73"/>
  <c r="AQ10" i="73"/>
  <c r="AO10" i="73"/>
  <c r="AM10" i="73"/>
  <c r="AK10" i="73"/>
  <c r="AI10" i="73"/>
  <c r="AH10" i="73"/>
  <c r="AG10" i="73"/>
  <c r="AE10" i="73"/>
  <c r="G10" i="73"/>
  <c r="AO13" i="85" l="1"/>
  <c r="AO42" i="85"/>
  <c r="AX56" i="85"/>
  <c r="AB9" i="81"/>
  <c r="AB70" i="81" s="1"/>
  <c r="AO43" i="85"/>
  <c r="K53" i="85"/>
  <c r="J53" i="85"/>
  <c r="L53" i="85" s="1"/>
  <c r="M53" i="85"/>
  <c r="AP35" i="85"/>
  <c r="AP30" i="85" s="1"/>
  <c r="AO30" i="85"/>
  <c r="AW35" i="85"/>
  <c r="I35" i="85" s="1"/>
  <c r="AB9" i="83"/>
  <c r="AB70" i="83" s="1"/>
  <c r="AA9" i="83"/>
  <c r="AA70" i="83" s="1"/>
  <c r="AL9" i="83"/>
  <c r="AL70" i="83" s="1"/>
  <c r="AK9" i="83"/>
  <c r="AK70" i="83" s="1"/>
  <c r="AJ9" i="83"/>
  <c r="AJ70" i="83" s="1"/>
  <c r="AP16" i="85"/>
  <c r="AX16" i="85" s="1"/>
  <c r="AW16" i="85"/>
  <c r="I16" i="85" s="1"/>
  <c r="AA9" i="79"/>
  <c r="AA70" i="79" s="1"/>
  <c r="AP61" i="85"/>
  <c r="AX61" i="85" s="1"/>
  <c r="AW61" i="85"/>
  <c r="I61" i="85" s="1"/>
  <c r="AP54" i="85"/>
  <c r="AX54" i="85" s="1"/>
  <c r="AW54" i="85"/>
  <c r="I54" i="85" s="1"/>
  <c r="AH9" i="83"/>
  <c r="AH70" i="83" s="1"/>
  <c r="AF9" i="83"/>
  <c r="AF70" i="83" s="1"/>
  <c r="AX35" i="85"/>
  <c r="AL9" i="85"/>
  <c r="AL70" i="85" s="1"/>
  <c r="AD9" i="83"/>
  <c r="AD70" i="83" s="1"/>
  <c r="AC9" i="83"/>
  <c r="AC70" i="83" s="1"/>
  <c r="AI9" i="83"/>
  <c r="AI70" i="83" s="1"/>
  <c r="AG9" i="83"/>
  <c r="AG70" i="83" s="1"/>
  <c r="AE9" i="83"/>
  <c r="AE70" i="83" s="1"/>
  <c r="AP25" i="85"/>
  <c r="AX25" i="85" s="1"/>
  <c r="AW25" i="85"/>
  <c r="I25" i="85" s="1"/>
  <c r="M69" i="85"/>
  <c r="K69" i="85"/>
  <c r="AN34" i="83"/>
  <c r="AX34" i="83" s="1"/>
  <c r="AW34" i="83"/>
  <c r="I34" i="83" s="1"/>
  <c r="AN19" i="83"/>
  <c r="AX19" i="83" s="1"/>
  <c r="AW19" i="83"/>
  <c r="I19" i="83" s="1"/>
  <c r="AN21" i="83"/>
  <c r="AX21" i="83" s="1"/>
  <c r="AW21" i="83"/>
  <c r="I21" i="83" s="1"/>
  <c r="AN20" i="83"/>
  <c r="AX20" i="83" s="1"/>
  <c r="AW20" i="83"/>
  <c r="I20" i="83" s="1"/>
  <c r="AP42" i="85"/>
  <c r="AX42" i="85" s="1"/>
  <c r="AW42" i="85"/>
  <c r="I42" i="85" s="1"/>
  <c r="AP41" i="85"/>
  <c r="AX41" i="85" s="1"/>
  <c r="AW41" i="85"/>
  <c r="I41" i="85" s="1"/>
  <c r="AP40" i="85"/>
  <c r="AX40" i="85" s="1"/>
  <c r="AW40" i="85"/>
  <c r="I40" i="85" s="1"/>
  <c r="AP57" i="85"/>
  <c r="AO44" i="85"/>
  <c r="AW44" i="85" s="1"/>
  <c r="AP22" i="85"/>
  <c r="AX22" i="85" s="1"/>
  <c r="AW22" i="85"/>
  <c r="I22" i="85" s="1"/>
  <c r="AP13" i="85"/>
  <c r="AX13" i="85" s="1"/>
  <c r="AW13" i="85"/>
  <c r="I13" i="85" s="1"/>
  <c r="AG9" i="85"/>
  <c r="AG70" i="85" s="1"/>
  <c r="AW30" i="85"/>
  <c r="Y9" i="81"/>
  <c r="Y70" i="81" s="1"/>
  <c r="Y9" i="79"/>
  <c r="Y70" i="79" s="1"/>
  <c r="AP39" i="85"/>
  <c r="K66" i="85"/>
  <c r="J66" i="85"/>
  <c r="L66" i="85" s="1"/>
  <c r="M66" i="85"/>
  <c r="K65" i="85"/>
  <c r="M65" i="85"/>
  <c r="J65" i="85"/>
  <c r="L65" i="85" s="1"/>
  <c r="J64" i="85"/>
  <c r="L64" i="85" s="1"/>
  <c r="K64" i="85"/>
  <c r="M64" i="85"/>
  <c r="J63" i="85"/>
  <c r="L63" i="85" s="1"/>
  <c r="K63" i="85"/>
  <c r="K62" i="85"/>
  <c r="M62" i="85"/>
  <c r="J62" i="85"/>
  <c r="L62" i="85" s="1"/>
  <c r="J60" i="85"/>
  <c r="L60" i="85" s="1"/>
  <c r="K60" i="85"/>
  <c r="M60" i="85"/>
  <c r="J59" i="85"/>
  <c r="L59" i="85" s="1"/>
  <c r="K59" i="85"/>
  <c r="M59" i="85"/>
  <c r="K58" i="85"/>
  <c r="J58" i="85"/>
  <c r="L58" i="85" s="1"/>
  <c r="J57" i="85"/>
  <c r="L57" i="85" s="1"/>
  <c r="M57" i="85"/>
  <c r="K57" i="85"/>
  <c r="J56" i="85"/>
  <c r="L56" i="85" s="1"/>
  <c r="M56" i="85"/>
  <c r="K56" i="85"/>
  <c r="K55" i="85"/>
  <c r="M55" i="85"/>
  <c r="J55" i="85"/>
  <c r="L55" i="85" s="1"/>
  <c r="J52" i="85"/>
  <c r="L52" i="85" s="1"/>
  <c r="K52" i="85"/>
  <c r="M52" i="85"/>
  <c r="K51" i="85"/>
  <c r="M51" i="85"/>
  <c r="J51" i="85"/>
  <c r="L51" i="85" s="1"/>
  <c r="M50" i="85"/>
  <c r="J50" i="85"/>
  <c r="L50" i="85" s="1"/>
  <c r="K50" i="85"/>
  <c r="M49" i="85"/>
  <c r="J49" i="85"/>
  <c r="L49" i="85" s="1"/>
  <c r="K49" i="85"/>
  <c r="J48" i="85"/>
  <c r="L48" i="85" s="1"/>
  <c r="M48" i="85"/>
  <c r="K48" i="85"/>
  <c r="Z44" i="85"/>
  <c r="AX47" i="85"/>
  <c r="M47" i="85"/>
  <c r="K47" i="85"/>
  <c r="J47" i="85"/>
  <c r="Z36" i="85"/>
  <c r="K39" i="85"/>
  <c r="M39" i="85"/>
  <c r="J39" i="85"/>
  <c r="K34" i="85"/>
  <c r="J34" i="85"/>
  <c r="L34" i="85" s="1"/>
  <c r="M34" i="85"/>
  <c r="K33" i="85"/>
  <c r="J33" i="85"/>
  <c r="M33" i="85"/>
  <c r="AX33" i="85"/>
  <c r="Z30" i="85"/>
  <c r="K29" i="85"/>
  <c r="J29" i="85"/>
  <c r="L29" i="85" s="1"/>
  <c r="K28" i="85"/>
  <c r="J28" i="85"/>
  <c r="L28" i="85" s="1"/>
  <c r="M28" i="85"/>
  <c r="J27" i="85"/>
  <c r="L27" i="85" s="1"/>
  <c r="K27" i="85"/>
  <c r="M27" i="85"/>
  <c r="J21" i="85"/>
  <c r="L21" i="85" s="1"/>
  <c r="K21" i="85"/>
  <c r="K20" i="85"/>
  <c r="J20" i="85"/>
  <c r="L20" i="85" s="1"/>
  <c r="J19" i="85"/>
  <c r="L19" i="85" s="1"/>
  <c r="K19" i="85"/>
  <c r="K15" i="85"/>
  <c r="J15" i="85"/>
  <c r="L15" i="85" s="1"/>
  <c r="M15" i="85"/>
  <c r="Z10" i="85"/>
  <c r="AN56" i="83"/>
  <c r="AX56" i="83" s="1"/>
  <c r="AW56" i="83"/>
  <c r="I56" i="83" s="1"/>
  <c r="AM39" i="83"/>
  <c r="AN53" i="83"/>
  <c r="AX53" i="83" s="1"/>
  <c r="AW53" i="83"/>
  <c r="I53" i="83" s="1"/>
  <c r="AM42" i="83"/>
  <c r="AW16" i="83"/>
  <c r="I16" i="83" s="1"/>
  <c r="AN16" i="83"/>
  <c r="AX16" i="83" s="1"/>
  <c r="AX19" i="81"/>
  <c r="AN15" i="83"/>
  <c r="AX15" i="83" s="1"/>
  <c r="AW15" i="83"/>
  <c r="I15" i="83" s="1"/>
  <c r="AN61" i="83"/>
  <c r="AX61" i="83" s="1"/>
  <c r="AW61" i="83"/>
  <c r="I61" i="83" s="1"/>
  <c r="AN59" i="83"/>
  <c r="AX59" i="83" s="1"/>
  <c r="AW59" i="83"/>
  <c r="I59" i="83" s="1"/>
  <c r="AM25" i="83"/>
  <c r="AM12" i="83"/>
  <c r="J9" i="82"/>
  <c r="J70" i="82" s="1"/>
  <c r="AL63" i="81"/>
  <c r="AX63" i="81" s="1"/>
  <c r="AW63" i="81"/>
  <c r="I63" i="81" s="1"/>
  <c r="K67" i="81"/>
  <c r="M67" i="81"/>
  <c r="AN40" i="83"/>
  <c r="AX40" i="83" s="1"/>
  <c r="AW40" i="83"/>
  <c r="I40" i="83" s="1"/>
  <c r="AN57" i="83"/>
  <c r="AX57" i="83" s="1"/>
  <c r="AW57" i="83"/>
  <c r="I57" i="83" s="1"/>
  <c r="M57" i="83" s="1"/>
  <c r="AN35" i="83"/>
  <c r="AW35" i="83"/>
  <c r="I35" i="83" s="1"/>
  <c r="AM30" i="83"/>
  <c r="AW30" i="83" s="1"/>
  <c r="AW69" i="83"/>
  <c r="I69" i="83" s="1"/>
  <c r="AM43" i="83"/>
  <c r="AN41" i="83"/>
  <c r="AX41" i="83" s="1"/>
  <c r="AW41" i="83"/>
  <c r="I41" i="83" s="1"/>
  <c r="AN22" i="83"/>
  <c r="AX22" i="83" s="1"/>
  <c r="AW22" i="83"/>
  <c r="I22" i="83" s="1"/>
  <c r="M22" i="83" s="1"/>
  <c r="AM13" i="83"/>
  <c r="AM44" i="83"/>
  <c r="AN54" i="83"/>
  <c r="K9" i="82"/>
  <c r="J9" i="80"/>
  <c r="J70" i="80" s="1"/>
  <c r="AC9" i="79"/>
  <c r="AC70" i="79" s="1"/>
  <c r="J9" i="78"/>
  <c r="J70" i="78" s="1"/>
  <c r="J66" i="83"/>
  <c r="L66" i="83" s="1"/>
  <c r="M66" i="83"/>
  <c r="K66" i="83"/>
  <c r="M65" i="83"/>
  <c r="K65" i="83"/>
  <c r="J65" i="83"/>
  <c r="L65" i="83" s="1"/>
  <c r="J64" i="83"/>
  <c r="L64" i="83" s="1"/>
  <c r="M64" i="83"/>
  <c r="K64" i="83"/>
  <c r="K63" i="83"/>
  <c r="J63" i="83"/>
  <c r="L63" i="83" s="1"/>
  <c r="J62" i="83"/>
  <c r="L62" i="83" s="1"/>
  <c r="K62" i="83"/>
  <c r="M62" i="83"/>
  <c r="K60" i="83"/>
  <c r="J60" i="83"/>
  <c r="L60" i="83" s="1"/>
  <c r="M60" i="83"/>
  <c r="J58" i="83"/>
  <c r="L58" i="83" s="1"/>
  <c r="K58" i="83"/>
  <c r="M55" i="83"/>
  <c r="K55" i="83"/>
  <c r="J55" i="83"/>
  <c r="L55" i="83" s="1"/>
  <c r="J54" i="83"/>
  <c r="L54" i="83" s="1"/>
  <c r="M54" i="83"/>
  <c r="K54" i="83"/>
  <c r="M52" i="83"/>
  <c r="K52" i="83"/>
  <c r="J52" i="83"/>
  <c r="L52" i="83" s="1"/>
  <c r="M51" i="83"/>
  <c r="J51" i="83"/>
  <c r="L51" i="83" s="1"/>
  <c r="K51" i="83"/>
  <c r="K50" i="83"/>
  <c r="J50" i="83"/>
  <c r="L50" i="83" s="1"/>
  <c r="M50" i="83"/>
  <c r="J49" i="83"/>
  <c r="L49" i="83" s="1"/>
  <c r="M49" i="83"/>
  <c r="K49" i="83"/>
  <c r="K48" i="83"/>
  <c r="M48" i="83"/>
  <c r="J48" i="83"/>
  <c r="L48" i="83" s="1"/>
  <c r="J47" i="83"/>
  <c r="M47" i="83"/>
  <c r="K47" i="83"/>
  <c r="AX47" i="83"/>
  <c r="Z44" i="83"/>
  <c r="Z36" i="83"/>
  <c r="K33" i="83"/>
  <c r="M33" i="83"/>
  <c r="J33" i="83"/>
  <c r="AX33" i="83"/>
  <c r="Z30" i="83"/>
  <c r="J29" i="83"/>
  <c r="L29" i="83" s="1"/>
  <c r="K29" i="83"/>
  <c r="J28" i="83"/>
  <c r="L28" i="83" s="1"/>
  <c r="M28" i="83"/>
  <c r="K28" i="83"/>
  <c r="K27" i="83"/>
  <c r="M27" i="83"/>
  <c r="J27" i="83"/>
  <c r="L27" i="83" s="1"/>
  <c r="Z10" i="83"/>
  <c r="M68" i="81"/>
  <c r="K68" i="81"/>
  <c r="AL61" i="81"/>
  <c r="AX61" i="81" s="1"/>
  <c r="AW61" i="81"/>
  <c r="I61" i="81" s="1"/>
  <c r="AL56" i="81"/>
  <c r="AW56" i="81"/>
  <c r="I56" i="81" s="1"/>
  <c r="AL43" i="81"/>
  <c r="AX43" i="81" s="1"/>
  <c r="AW43" i="81"/>
  <c r="I43" i="81" s="1"/>
  <c r="AX40" i="81"/>
  <c r="AW39" i="81"/>
  <c r="I39" i="81" s="1"/>
  <c r="AL39" i="81"/>
  <c r="AX39" i="81" s="1"/>
  <c r="AG9" i="79"/>
  <c r="AG70" i="79" s="1"/>
  <c r="AE9" i="81"/>
  <c r="AE70" i="81" s="1"/>
  <c r="AD9" i="81"/>
  <c r="AD70" i="81" s="1"/>
  <c r="AW40" i="81"/>
  <c r="I40" i="81" s="1"/>
  <c r="AX56" i="81"/>
  <c r="AG9" i="81"/>
  <c r="AG70" i="81" s="1"/>
  <c r="AE9" i="79"/>
  <c r="AE70" i="79" s="1"/>
  <c r="AJ9" i="81"/>
  <c r="AJ70" i="81" s="1"/>
  <c r="AW24" i="81"/>
  <c r="I24" i="81" s="1"/>
  <c r="K24" i="81" s="1"/>
  <c r="AX54" i="81"/>
  <c r="K30" i="80"/>
  <c r="AX24" i="81"/>
  <c r="AW54" i="81"/>
  <c r="I54" i="81" s="1"/>
  <c r="AF9" i="81"/>
  <c r="AF70" i="81" s="1"/>
  <c r="AW25" i="81"/>
  <c r="I25" i="81" s="1"/>
  <c r="AW41" i="81"/>
  <c r="I41" i="81" s="1"/>
  <c r="AW62" i="81"/>
  <c r="I62" i="81" s="1"/>
  <c r="AW65" i="81"/>
  <c r="I65" i="81" s="1"/>
  <c r="AC9" i="81"/>
  <c r="AC70" i="81" s="1"/>
  <c r="AX25" i="81"/>
  <c r="AX41" i="81"/>
  <c r="AX62" i="81"/>
  <c r="AX65" i="81"/>
  <c r="AK36" i="81"/>
  <c r="AW36" i="81" s="1"/>
  <c r="AA9" i="81"/>
  <c r="AA70" i="81" s="1"/>
  <c r="AX42" i="81"/>
  <c r="K69" i="81"/>
  <c r="AH9" i="81"/>
  <c r="AH70" i="81" s="1"/>
  <c r="AW42" i="81"/>
  <c r="I42" i="81" s="1"/>
  <c r="M42" i="81" s="1"/>
  <c r="AI9" i="81"/>
  <c r="AI70" i="81" s="1"/>
  <c r="AL57" i="81"/>
  <c r="AK44" i="81"/>
  <c r="AW44" i="81" s="1"/>
  <c r="AL35" i="81"/>
  <c r="AK30" i="81"/>
  <c r="AW30" i="81" s="1"/>
  <c r="AK13" i="81"/>
  <c r="AL12" i="81"/>
  <c r="M66" i="81"/>
  <c r="J66" i="81"/>
  <c r="L66" i="81" s="1"/>
  <c r="K66" i="81"/>
  <c r="K64" i="81"/>
  <c r="M64" i="81"/>
  <c r="J64" i="81"/>
  <c r="L64" i="81" s="1"/>
  <c r="K60" i="81"/>
  <c r="J60" i="81"/>
  <c r="L60" i="81" s="1"/>
  <c r="M60" i="81"/>
  <c r="J59" i="81"/>
  <c r="L59" i="81" s="1"/>
  <c r="M59" i="81"/>
  <c r="K59" i="81"/>
  <c r="J58" i="81"/>
  <c r="L58" i="81" s="1"/>
  <c r="K58" i="81"/>
  <c r="J57" i="81"/>
  <c r="L57" i="81" s="1"/>
  <c r="M57" i="81"/>
  <c r="K57" i="81"/>
  <c r="J55" i="81"/>
  <c r="L55" i="81" s="1"/>
  <c r="K55" i="81"/>
  <c r="M55" i="81"/>
  <c r="K53" i="81"/>
  <c r="J53" i="81"/>
  <c r="L53" i="81" s="1"/>
  <c r="M53" i="81"/>
  <c r="K52" i="81"/>
  <c r="J52" i="81"/>
  <c r="L52" i="81" s="1"/>
  <c r="M52" i="81"/>
  <c r="K51" i="81"/>
  <c r="M51" i="81"/>
  <c r="J51" i="81"/>
  <c r="L51" i="81" s="1"/>
  <c r="K50" i="81"/>
  <c r="M50" i="81"/>
  <c r="J50" i="81"/>
  <c r="L50" i="81" s="1"/>
  <c r="M49" i="81"/>
  <c r="J49" i="81"/>
  <c r="L49" i="81" s="1"/>
  <c r="K49" i="81"/>
  <c r="M48" i="81"/>
  <c r="J48" i="81"/>
  <c r="L48" i="81" s="1"/>
  <c r="K48" i="81"/>
  <c r="K47" i="81"/>
  <c r="M47" i="81"/>
  <c r="J47" i="81"/>
  <c r="Z44" i="81"/>
  <c r="AX47" i="81"/>
  <c r="Z36" i="81"/>
  <c r="M35" i="81"/>
  <c r="J35" i="81"/>
  <c r="L35" i="81" s="1"/>
  <c r="K35" i="81"/>
  <c r="J34" i="81"/>
  <c r="L34" i="81" s="1"/>
  <c r="M34" i="81"/>
  <c r="K34" i="81"/>
  <c r="AX33" i="81"/>
  <c r="Z30" i="81"/>
  <c r="K33" i="81"/>
  <c r="M33" i="81"/>
  <c r="I30" i="81"/>
  <c r="M30" i="81" s="1"/>
  <c r="J33" i="81"/>
  <c r="K29" i="81"/>
  <c r="J29" i="81"/>
  <c r="L29" i="81" s="1"/>
  <c r="K28" i="81"/>
  <c r="J28" i="81"/>
  <c r="L28" i="81" s="1"/>
  <c r="M28" i="81"/>
  <c r="J27" i="81"/>
  <c r="L27" i="81" s="1"/>
  <c r="M27" i="81"/>
  <c r="K27" i="81"/>
  <c r="K21" i="81"/>
  <c r="J21" i="81"/>
  <c r="L21" i="81" s="1"/>
  <c r="J20" i="81"/>
  <c r="L20" i="81" s="1"/>
  <c r="K20" i="81"/>
  <c r="K19" i="81"/>
  <c r="J19" i="81"/>
  <c r="L19" i="81" s="1"/>
  <c r="K16" i="81"/>
  <c r="J16" i="81"/>
  <c r="L16" i="81" s="1"/>
  <c r="M16" i="81"/>
  <c r="J15" i="81"/>
  <c r="L15" i="81" s="1"/>
  <c r="M15" i="81"/>
  <c r="K15" i="81"/>
  <c r="Z10" i="81"/>
  <c r="M12" i="81"/>
  <c r="K12" i="81"/>
  <c r="J12" i="81"/>
  <c r="K44" i="80"/>
  <c r="K36" i="80"/>
  <c r="K10" i="80"/>
  <c r="AH30" i="79"/>
  <c r="AD44" i="79"/>
  <c r="AI28" i="79"/>
  <c r="AI69" i="79"/>
  <c r="AW69" i="79" s="1"/>
  <c r="I69" i="79" s="1"/>
  <c r="M34" i="77"/>
  <c r="AF10" i="79"/>
  <c r="K68" i="79"/>
  <c r="M68" i="79"/>
  <c r="AI15" i="79"/>
  <c r="AI16" i="79"/>
  <c r="AI19" i="79"/>
  <c r="AI20" i="79"/>
  <c r="AI21" i="79"/>
  <c r="AI24" i="79"/>
  <c r="AI27" i="79"/>
  <c r="AI25" i="79"/>
  <c r="AI29" i="79"/>
  <c r="AI33" i="79"/>
  <c r="AI34" i="79"/>
  <c r="AI35" i="79"/>
  <c r="AI39" i="79"/>
  <c r="AI40" i="79"/>
  <c r="AI41" i="79"/>
  <c r="AI43" i="79"/>
  <c r="AI47" i="79"/>
  <c r="AI48" i="79"/>
  <c r="AI49" i="79"/>
  <c r="AI50" i="79"/>
  <c r="AI51" i="79"/>
  <c r="AI52" i="79"/>
  <c r="AI53" i="79"/>
  <c r="AI54" i="79"/>
  <c r="AI55" i="79"/>
  <c r="AI56" i="79"/>
  <c r="AI57" i="79"/>
  <c r="AI58" i="79"/>
  <c r="AI59" i="79"/>
  <c r="AI60" i="79"/>
  <c r="AI61" i="79"/>
  <c r="AI62" i="79"/>
  <c r="AI63" i="79"/>
  <c r="AI64" i="79"/>
  <c r="AI65" i="79"/>
  <c r="AI66" i="79"/>
  <c r="AI13" i="79"/>
  <c r="AI12" i="79"/>
  <c r="K30" i="78"/>
  <c r="K44" i="78"/>
  <c r="Z36" i="79"/>
  <c r="Z10" i="79"/>
  <c r="Z44" i="79"/>
  <c r="Z30" i="79"/>
  <c r="K67" i="79"/>
  <c r="M67" i="79"/>
  <c r="AH44" i="79"/>
  <c r="AH36" i="79"/>
  <c r="AB30" i="79"/>
  <c r="AB10" i="79"/>
  <c r="AF36" i="79"/>
  <c r="AD36" i="79"/>
  <c r="AB36" i="79"/>
  <c r="AF30" i="79"/>
  <c r="AH10" i="79"/>
  <c r="AF44" i="79"/>
  <c r="AB44" i="79"/>
  <c r="AD10" i="79"/>
  <c r="K36" i="78"/>
  <c r="K10" i="78"/>
  <c r="J13" i="76"/>
  <c r="K13" i="76" s="1"/>
  <c r="AE13" i="77"/>
  <c r="AF13" i="77" s="1"/>
  <c r="J12" i="76"/>
  <c r="AE12" i="77"/>
  <c r="AN44" i="75"/>
  <c r="AN9" i="75" s="1"/>
  <c r="AN70" i="75" s="1"/>
  <c r="AF30" i="73"/>
  <c r="AT44" i="75"/>
  <c r="AS9" i="75"/>
  <c r="AS70" i="75" s="1"/>
  <c r="AL36" i="75"/>
  <c r="AJ36" i="75"/>
  <c r="AT30" i="75"/>
  <c r="AT9" i="75" s="1"/>
  <c r="AT70" i="75" s="1"/>
  <c r="AR30" i="75"/>
  <c r="AH30" i="75"/>
  <c r="H30" i="75"/>
  <c r="AP30" i="73"/>
  <c r="AP44" i="73"/>
  <c r="AJ44" i="73"/>
  <c r="AR44" i="73"/>
  <c r="H44" i="73"/>
  <c r="AF44" i="73"/>
  <c r="G9" i="73"/>
  <c r="G70" i="73" s="1"/>
  <c r="AL36" i="73"/>
  <c r="AR36" i="73"/>
  <c r="AT36" i="73"/>
  <c r="AH36" i="73"/>
  <c r="H36" i="73"/>
  <c r="AL30" i="73"/>
  <c r="AH30" i="73"/>
  <c r="AN10" i="73"/>
  <c r="AU9" i="73"/>
  <c r="AU70" i="73" s="1"/>
  <c r="AS9" i="73"/>
  <c r="AS70" i="73" s="1"/>
  <c r="AO9" i="73"/>
  <c r="AO70" i="73" s="1"/>
  <c r="AI9" i="73"/>
  <c r="AI70" i="73" s="1"/>
  <c r="AG9" i="73"/>
  <c r="AG70" i="73" s="1"/>
  <c r="AV9" i="73"/>
  <c r="AV70" i="73" s="1"/>
  <c r="AQ9" i="73"/>
  <c r="AQ70" i="73" s="1"/>
  <c r="AK9" i="73"/>
  <c r="AK70" i="73" s="1"/>
  <c r="AE9" i="73"/>
  <c r="AE70" i="73" s="1"/>
  <c r="AL10" i="75"/>
  <c r="AN30" i="73"/>
  <c r="AH44" i="75"/>
  <c r="M67" i="77"/>
  <c r="J59" i="77"/>
  <c r="L59" i="77" s="1"/>
  <c r="J52" i="77"/>
  <c r="L52" i="77" s="1"/>
  <c r="K52" i="77"/>
  <c r="H9" i="77"/>
  <c r="AL9" i="77"/>
  <c r="AL70" i="77" s="1"/>
  <c r="AJ9" i="77"/>
  <c r="AJ70" i="77" s="1"/>
  <c r="J64" i="77"/>
  <c r="L64" i="77" s="1"/>
  <c r="M64" i="77"/>
  <c r="K59" i="77"/>
  <c r="M50" i="77"/>
  <c r="M66" i="77"/>
  <c r="K50" i="77"/>
  <c r="K20" i="77"/>
  <c r="K66" i="77"/>
  <c r="K21" i="77"/>
  <c r="J34" i="77"/>
  <c r="L34" i="77" s="1"/>
  <c r="AN9" i="77"/>
  <c r="AN70" i="77" s="1"/>
  <c r="AR9" i="77"/>
  <c r="AR70" i="77" s="1"/>
  <c r="AT9" i="77"/>
  <c r="AT70" i="77" s="1"/>
  <c r="AP9" i="77"/>
  <c r="AP70" i="77" s="1"/>
  <c r="J48" i="77"/>
  <c r="L48" i="77" s="1"/>
  <c r="K48" i="77"/>
  <c r="AB10" i="77"/>
  <c r="AB9" i="77" s="1"/>
  <c r="AB70" i="77" s="1"/>
  <c r="AC9" i="77"/>
  <c r="AC70" i="77" s="1"/>
  <c r="AA9" i="77"/>
  <c r="AA70" i="77" s="1"/>
  <c r="AD9" i="77"/>
  <c r="AD70" i="77" s="1"/>
  <c r="K29" i="77"/>
  <c r="M65" i="77"/>
  <c r="K65" i="77"/>
  <c r="J65" i="77"/>
  <c r="L65" i="77" s="1"/>
  <c r="M68" i="77"/>
  <c r="K68" i="77"/>
  <c r="Z36" i="77"/>
  <c r="M53" i="77"/>
  <c r="K53" i="77"/>
  <c r="J53" i="77"/>
  <c r="L53" i="77" s="1"/>
  <c r="K19" i="77"/>
  <c r="J19" i="77"/>
  <c r="L19" i="77" s="1"/>
  <c r="M60" i="77"/>
  <c r="K60" i="77"/>
  <c r="J60" i="77"/>
  <c r="L60" i="77" s="1"/>
  <c r="K51" i="77"/>
  <c r="J51" i="77"/>
  <c r="L51" i="77" s="1"/>
  <c r="M51" i="77"/>
  <c r="Z30" i="77"/>
  <c r="AX33" i="77"/>
  <c r="M49" i="77"/>
  <c r="K49" i="77"/>
  <c r="J49" i="77"/>
  <c r="L49" i="77" s="1"/>
  <c r="K62" i="77"/>
  <c r="J62" i="77"/>
  <c r="L62" i="77" s="1"/>
  <c r="M62" i="77"/>
  <c r="Z10" i="77"/>
  <c r="M33" i="77"/>
  <c r="K33" i="77"/>
  <c r="J33" i="77"/>
  <c r="Y9" i="77"/>
  <c r="Z44" i="77"/>
  <c r="AX47" i="77"/>
  <c r="K58" i="77"/>
  <c r="J58" i="77"/>
  <c r="L58" i="77" s="1"/>
  <c r="M47" i="77"/>
  <c r="K47" i="77"/>
  <c r="J47" i="77"/>
  <c r="AC30" i="75"/>
  <c r="AC36" i="75"/>
  <c r="Z20" i="75"/>
  <c r="AB28" i="75"/>
  <c r="AD40" i="75"/>
  <c r="AD36" i="75" s="1"/>
  <c r="Z53" i="75"/>
  <c r="Z15" i="75"/>
  <c r="Z62" i="75"/>
  <c r="AA10" i="75"/>
  <c r="AC10" i="75"/>
  <c r="Z13" i="75"/>
  <c r="AB57" i="75"/>
  <c r="AD10" i="75"/>
  <c r="K37" i="74"/>
  <c r="K45" i="74"/>
  <c r="J11" i="74"/>
  <c r="AD33" i="75"/>
  <c r="AD30" i="75" s="1"/>
  <c r="Z34" i="75"/>
  <c r="H36" i="75"/>
  <c r="AP36" i="75"/>
  <c r="AA44" i="75"/>
  <c r="AB54" i="75"/>
  <c r="Z56" i="75"/>
  <c r="K67" i="75"/>
  <c r="Y30" i="75"/>
  <c r="Y10" i="75"/>
  <c r="Y36" i="75"/>
  <c r="Z39" i="75"/>
  <c r="AA36" i="75"/>
  <c r="AB40" i="75"/>
  <c r="AB36" i="75" s="1"/>
  <c r="AD44" i="75"/>
  <c r="AJ44" i="75"/>
  <c r="Z58" i="75"/>
  <c r="Y44" i="75"/>
  <c r="AB12" i="75"/>
  <c r="Z16" i="75"/>
  <c r="Z19" i="75"/>
  <c r="AJ30" i="75"/>
  <c r="AJ9" i="75" s="1"/>
  <c r="AJ70" i="75" s="1"/>
  <c r="Z42" i="75"/>
  <c r="H44" i="75"/>
  <c r="AR44" i="75"/>
  <c r="AL44" i="75"/>
  <c r="Z61" i="75"/>
  <c r="Z64" i="75"/>
  <c r="Z27" i="75"/>
  <c r="Z29" i="75"/>
  <c r="AB30" i="75"/>
  <c r="AP44" i="75"/>
  <c r="AA30" i="75"/>
  <c r="AC44" i="75"/>
  <c r="K11" i="74"/>
  <c r="K31" i="74"/>
  <c r="J45" i="74"/>
  <c r="J37" i="74"/>
  <c r="J31" i="74"/>
  <c r="AC69" i="73"/>
  <c r="AW69" i="73" s="1"/>
  <c r="I69" i="73" s="1"/>
  <c r="M69" i="73" s="1"/>
  <c r="AC22" i="73"/>
  <c r="AD22" i="73" s="1"/>
  <c r="AX22" i="73" s="1"/>
  <c r="AC12" i="73"/>
  <c r="AD12" i="73" s="1"/>
  <c r="AW68" i="73"/>
  <c r="I68" i="73" s="1"/>
  <c r="K68" i="73" s="1"/>
  <c r="AW13" i="73"/>
  <c r="I13" i="73" s="1"/>
  <c r="J13" i="73" s="1"/>
  <c r="L13" i="73" s="1"/>
  <c r="Z47" i="73"/>
  <c r="Z25" i="73"/>
  <c r="Z49" i="73"/>
  <c r="AB36" i="73"/>
  <c r="AW63" i="73"/>
  <c r="I63" i="73" s="1"/>
  <c r="J63" i="73" s="1"/>
  <c r="L63" i="73" s="1"/>
  <c r="Y30" i="73"/>
  <c r="Z51" i="73"/>
  <c r="Z13" i="73"/>
  <c r="AX13" i="73" s="1"/>
  <c r="AW64" i="73"/>
  <c r="I64" i="73" s="1"/>
  <c r="J64" i="73" s="1"/>
  <c r="L64" i="73" s="1"/>
  <c r="AA30" i="73"/>
  <c r="Z35" i="73"/>
  <c r="AW65" i="73"/>
  <c r="I65" i="73" s="1"/>
  <c r="J65" i="73" s="1"/>
  <c r="L65" i="73" s="1"/>
  <c r="Z42" i="73"/>
  <c r="Z55" i="73"/>
  <c r="Z58" i="73"/>
  <c r="AD65" i="73"/>
  <c r="AX65" i="73" s="1"/>
  <c r="AX63" i="73"/>
  <c r="AX29" i="73"/>
  <c r="AX28" i="73"/>
  <c r="AW21" i="73"/>
  <c r="I21" i="73" s="1"/>
  <c r="K21" i="73" s="1"/>
  <c r="AX16" i="73"/>
  <c r="AW15" i="73"/>
  <c r="I15" i="73" s="1"/>
  <c r="J15" i="73" s="1"/>
  <c r="L15" i="73" s="1"/>
  <c r="AW20" i="73"/>
  <c r="I20" i="73" s="1"/>
  <c r="Z20" i="73"/>
  <c r="AX20" i="73" s="1"/>
  <c r="AA10" i="73"/>
  <c r="AR30" i="73"/>
  <c r="AB34" i="73"/>
  <c r="AB30" i="73" s="1"/>
  <c r="AF10" i="73"/>
  <c r="AF9" i="73" s="1"/>
  <c r="AF70" i="73" s="1"/>
  <c r="AR10" i="73"/>
  <c r="AR9" i="73" s="1"/>
  <c r="AR70" i="73" s="1"/>
  <c r="Z48" i="73"/>
  <c r="Y44" i="73"/>
  <c r="AT10" i="73"/>
  <c r="AT9" i="73" s="1"/>
  <c r="AT70" i="73" s="1"/>
  <c r="AX19" i="73"/>
  <c r="AW28" i="73"/>
  <c r="I28" i="73" s="1"/>
  <c r="Z54" i="73"/>
  <c r="Y10" i="73"/>
  <c r="Z12" i="73"/>
  <c r="AB10" i="73"/>
  <c r="AP10" i="73"/>
  <c r="AJ10" i="73"/>
  <c r="AW16" i="73"/>
  <c r="I16" i="73" s="1"/>
  <c r="AW19" i="73"/>
  <c r="I19" i="73" s="1"/>
  <c r="AW27" i="73"/>
  <c r="I27" i="73" s="1"/>
  <c r="Z27" i="73"/>
  <c r="AX27" i="73" s="1"/>
  <c r="H30" i="73"/>
  <c r="H9" i="73" s="1"/>
  <c r="AP36" i="73"/>
  <c r="Y36" i="73"/>
  <c r="AJ36" i="73"/>
  <c r="AB48" i="73"/>
  <c r="AB44" i="73" s="1"/>
  <c r="AA44" i="73"/>
  <c r="AM9" i="73"/>
  <c r="AM70" i="73" s="1"/>
  <c r="AL10" i="73"/>
  <c r="AL9" i="73" s="1"/>
  <c r="AL70" i="73" s="1"/>
  <c r="AA36" i="73"/>
  <c r="Z40" i="73"/>
  <c r="Z50" i="73"/>
  <c r="Z56" i="73"/>
  <c r="Z59" i="73"/>
  <c r="Z61" i="73"/>
  <c r="AW29" i="73"/>
  <c r="I29" i="73" s="1"/>
  <c r="AW66" i="73"/>
  <c r="I66" i="73" s="1"/>
  <c r="K67" i="73"/>
  <c r="AH44" i="73"/>
  <c r="AT44" i="73"/>
  <c r="Z52" i="73"/>
  <c r="Z39" i="73"/>
  <c r="Z41" i="73"/>
  <c r="Z15" i="73"/>
  <c r="AX15" i="73" s="1"/>
  <c r="Z21" i="73"/>
  <c r="AX21" i="73" s="1"/>
  <c r="Z34" i="73"/>
  <c r="Z64" i="73"/>
  <c r="AX64" i="73" s="1"/>
  <c r="Z66" i="73"/>
  <c r="AX66" i="73" s="1"/>
  <c r="K61" i="85" l="1"/>
  <c r="J61" i="85"/>
  <c r="L61" i="85" s="1"/>
  <c r="M61" i="85"/>
  <c r="J54" i="85"/>
  <c r="L54" i="85" s="1"/>
  <c r="K54" i="85"/>
  <c r="K44" i="85" s="1"/>
  <c r="M54" i="85"/>
  <c r="AW43" i="85"/>
  <c r="I43" i="85" s="1"/>
  <c r="I36" i="85" s="1"/>
  <c r="M36" i="85" s="1"/>
  <c r="AO36" i="85"/>
  <c r="AW36" i="85" s="1"/>
  <c r="AP43" i="85"/>
  <c r="AX30" i="85"/>
  <c r="K35" i="85"/>
  <c r="M35" i="85"/>
  <c r="J35" i="85"/>
  <c r="L35" i="85" s="1"/>
  <c r="I30" i="85"/>
  <c r="M30" i="85" s="1"/>
  <c r="K16" i="85"/>
  <c r="M16" i="85"/>
  <c r="J16" i="85"/>
  <c r="L16" i="85" s="1"/>
  <c r="J56" i="83"/>
  <c r="L56" i="83" s="1"/>
  <c r="M56" i="83"/>
  <c r="K56" i="83"/>
  <c r="J53" i="83"/>
  <c r="L53" i="83" s="1"/>
  <c r="M53" i="83"/>
  <c r="K53" i="83"/>
  <c r="I44" i="85"/>
  <c r="M44" i="85" s="1"/>
  <c r="K34" i="83"/>
  <c r="M34" i="83"/>
  <c r="J34" i="83"/>
  <c r="L34" i="83" s="1"/>
  <c r="K19" i="83"/>
  <c r="J19" i="83"/>
  <c r="L19" i="83" s="1"/>
  <c r="J21" i="83"/>
  <c r="L21" i="83" s="1"/>
  <c r="K21" i="83"/>
  <c r="K20" i="83"/>
  <c r="J20" i="83"/>
  <c r="L20" i="83" s="1"/>
  <c r="K25" i="85"/>
  <c r="J25" i="85"/>
  <c r="L25" i="85" s="1"/>
  <c r="M25" i="85"/>
  <c r="M42" i="85"/>
  <c r="K42" i="85"/>
  <c r="J42" i="85"/>
  <c r="L42" i="85" s="1"/>
  <c r="M41" i="85"/>
  <c r="K41" i="85"/>
  <c r="J40" i="85"/>
  <c r="L40" i="85" s="1"/>
  <c r="K40" i="85"/>
  <c r="M40" i="85"/>
  <c r="AX39" i="85"/>
  <c r="AO24" i="85"/>
  <c r="J41" i="85"/>
  <c r="L41" i="85" s="1"/>
  <c r="K30" i="85"/>
  <c r="AP44" i="85"/>
  <c r="AX44" i="85" s="1"/>
  <c r="AX57" i="85"/>
  <c r="M22" i="85"/>
  <c r="J22" i="85"/>
  <c r="L22" i="85" s="1"/>
  <c r="K22" i="85"/>
  <c r="M13" i="85"/>
  <c r="K13" i="85"/>
  <c r="J13" i="85"/>
  <c r="L13" i="85" s="1"/>
  <c r="AO12" i="85"/>
  <c r="L47" i="85"/>
  <c r="L44" i="85" s="1"/>
  <c r="J44" i="85"/>
  <c r="L39" i="85"/>
  <c r="L33" i="85"/>
  <c r="L30" i="85" s="1"/>
  <c r="J30" i="85"/>
  <c r="Z9" i="85"/>
  <c r="AW39" i="83"/>
  <c r="I39" i="83" s="1"/>
  <c r="AN39" i="83"/>
  <c r="AX39" i="83" s="1"/>
  <c r="K16" i="83"/>
  <c r="J16" i="83"/>
  <c r="L16" i="83" s="1"/>
  <c r="M16" i="83"/>
  <c r="K61" i="83"/>
  <c r="J61" i="83"/>
  <c r="L61" i="83" s="1"/>
  <c r="M61" i="83"/>
  <c r="J59" i="83"/>
  <c r="L59" i="83" s="1"/>
  <c r="K59" i="83"/>
  <c r="M59" i="83"/>
  <c r="K15" i="83"/>
  <c r="J15" i="83"/>
  <c r="L15" i="83" s="1"/>
  <c r="M15" i="83"/>
  <c r="K63" i="81"/>
  <c r="J63" i="81"/>
  <c r="L63" i="81" s="1"/>
  <c r="AW25" i="83"/>
  <c r="I25" i="83" s="1"/>
  <c r="K25" i="83" s="1"/>
  <c r="AN25" i="83"/>
  <c r="AX25" i="83" s="1"/>
  <c r="I44" i="83"/>
  <c r="M44" i="83" s="1"/>
  <c r="K57" i="83"/>
  <c r="J57" i="83"/>
  <c r="L57" i="83" s="1"/>
  <c r="M65" i="81"/>
  <c r="J65" i="81"/>
  <c r="L65" i="81" s="1"/>
  <c r="AW12" i="83"/>
  <c r="I12" i="83" s="1"/>
  <c r="AN12" i="83"/>
  <c r="AX12" i="83" s="1"/>
  <c r="AM24" i="83"/>
  <c r="AM10" i="83" s="1"/>
  <c r="M41" i="83"/>
  <c r="K41" i="83"/>
  <c r="J41" i="83"/>
  <c r="L41" i="83" s="1"/>
  <c r="K35" i="83"/>
  <c r="K30" i="83" s="1"/>
  <c r="J35" i="83"/>
  <c r="L35" i="83" s="1"/>
  <c r="M35" i="83"/>
  <c r="I30" i="83"/>
  <c r="M30" i="83" s="1"/>
  <c r="J61" i="81"/>
  <c r="L61" i="81" s="1"/>
  <c r="M61" i="81"/>
  <c r="K61" i="81"/>
  <c r="K62" i="81"/>
  <c r="J62" i="81"/>
  <c r="L62" i="81" s="1"/>
  <c r="M62" i="81"/>
  <c r="J40" i="83"/>
  <c r="L40" i="83" s="1"/>
  <c r="K40" i="83"/>
  <c r="M40" i="83"/>
  <c r="AM36" i="83"/>
  <c r="AW36" i="83" s="1"/>
  <c r="AN30" i="83"/>
  <c r="AX30" i="83" s="1"/>
  <c r="AX35" i="83"/>
  <c r="M69" i="83"/>
  <c r="K69" i="83"/>
  <c r="AW43" i="83"/>
  <c r="I43" i="83" s="1"/>
  <c r="AN43" i="83"/>
  <c r="AX43" i="83" s="1"/>
  <c r="K22" i="83"/>
  <c r="J22" i="83"/>
  <c r="L22" i="83" s="1"/>
  <c r="AW42" i="83"/>
  <c r="I42" i="83" s="1"/>
  <c r="AN42" i="83"/>
  <c r="AW13" i="83"/>
  <c r="I13" i="83" s="1"/>
  <c r="AN13" i="83"/>
  <c r="AW44" i="83"/>
  <c r="AX54" i="83"/>
  <c r="AN44" i="83"/>
  <c r="K44" i="83"/>
  <c r="J44" i="83"/>
  <c r="L47" i="83"/>
  <c r="L44" i="83" s="1"/>
  <c r="L33" i="83"/>
  <c r="J30" i="83"/>
  <c r="Z9" i="83"/>
  <c r="AL36" i="81"/>
  <c r="AX36" i="81" s="1"/>
  <c r="M56" i="81"/>
  <c r="K56" i="81"/>
  <c r="J56" i="81"/>
  <c r="L56" i="81" s="1"/>
  <c r="K39" i="81"/>
  <c r="M39" i="81"/>
  <c r="J39" i="81"/>
  <c r="L39" i="81" s="1"/>
  <c r="AK22" i="81"/>
  <c r="J43" i="81"/>
  <c r="L43" i="81" s="1"/>
  <c r="M43" i="81"/>
  <c r="K43" i="81"/>
  <c r="J40" i="81"/>
  <c r="L40" i="81" s="1"/>
  <c r="K40" i="81"/>
  <c r="M40" i="81"/>
  <c r="M25" i="81"/>
  <c r="J25" i="81"/>
  <c r="L25" i="81" s="1"/>
  <c r="K25" i="81"/>
  <c r="J54" i="81"/>
  <c r="M54" i="81"/>
  <c r="J41" i="81"/>
  <c r="L41" i="81" s="1"/>
  <c r="M41" i="81"/>
  <c r="K65" i="81"/>
  <c r="M24" i="81"/>
  <c r="J42" i="81"/>
  <c r="L42" i="81" s="1"/>
  <c r="K54" i="81"/>
  <c r="J24" i="81"/>
  <c r="L24" i="81" s="1"/>
  <c r="I36" i="81"/>
  <c r="M36" i="81" s="1"/>
  <c r="K41" i="81"/>
  <c r="I44" i="81"/>
  <c r="M44" i="81" s="1"/>
  <c r="K9" i="80"/>
  <c r="K42" i="81"/>
  <c r="K30" i="81"/>
  <c r="AL44" i="81"/>
  <c r="AX44" i="81" s="1"/>
  <c r="AX57" i="81"/>
  <c r="AX35" i="81"/>
  <c r="AL30" i="81"/>
  <c r="AX30" i="81" s="1"/>
  <c r="AW13" i="81"/>
  <c r="I13" i="81" s="1"/>
  <c r="AL13" i="81"/>
  <c r="AX12" i="81"/>
  <c r="L47" i="81"/>
  <c r="J30" i="81"/>
  <c r="L33" i="81"/>
  <c r="L30" i="81" s="1"/>
  <c r="Z9" i="81"/>
  <c r="L12" i="81"/>
  <c r="AH9" i="79"/>
  <c r="AH70" i="79" s="1"/>
  <c r="AD9" i="79"/>
  <c r="AD70" i="79" s="1"/>
  <c r="M69" i="79"/>
  <c r="K69" i="79"/>
  <c r="AI42" i="79"/>
  <c r="AI22" i="79"/>
  <c r="AW15" i="79"/>
  <c r="I15" i="79" s="1"/>
  <c r="AJ15" i="79"/>
  <c r="AX15" i="79" s="1"/>
  <c r="AW16" i="79"/>
  <c r="I16" i="79" s="1"/>
  <c r="AJ16" i="79"/>
  <c r="AX16" i="79" s="1"/>
  <c r="AW19" i="79"/>
  <c r="I19" i="79" s="1"/>
  <c r="AJ19" i="79"/>
  <c r="AX19" i="79" s="1"/>
  <c r="AW20" i="79"/>
  <c r="I20" i="79" s="1"/>
  <c r="AJ20" i="79"/>
  <c r="AX20" i="79" s="1"/>
  <c r="AW21" i="79"/>
  <c r="I21" i="79" s="1"/>
  <c r="AJ21" i="79"/>
  <c r="AX21" i="79" s="1"/>
  <c r="AW24" i="79"/>
  <c r="I24" i="79" s="1"/>
  <c r="AJ24" i="79"/>
  <c r="AX24" i="79" s="1"/>
  <c r="AW27" i="79"/>
  <c r="I27" i="79" s="1"/>
  <c r="AJ27" i="79"/>
  <c r="AX27" i="79" s="1"/>
  <c r="AW28" i="79"/>
  <c r="I28" i="79" s="1"/>
  <c r="AJ28" i="79"/>
  <c r="AX28" i="79" s="1"/>
  <c r="AW25" i="79"/>
  <c r="I25" i="79" s="1"/>
  <c r="AJ25" i="79"/>
  <c r="AX25" i="79" s="1"/>
  <c r="AW29" i="79"/>
  <c r="I29" i="79" s="1"/>
  <c r="AJ29" i="79"/>
  <c r="AX29" i="79" s="1"/>
  <c r="AW33" i="79"/>
  <c r="I33" i="79" s="1"/>
  <c r="AI30" i="79"/>
  <c r="AW30" i="79" s="1"/>
  <c r="AJ33" i="79"/>
  <c r="AX33" i="79" s="1"/>
  <c r="AW34" i="79"/>
  <c r="I34" i="79" s="1"/>
  <c r="AJ34" i="79"/>
  <c r="AX34" i="79" s="1"/>
  <c r="AW35" i="79"/>
  <c r="I35" i="79" s="1"/>
  <c r="AJ35" i="79"/>
  <c r="AW39" i="79"/>
  <c r="I39" i="79" s="1"/>
  <c r="AJ39" i="79"/>
  <c r="AW40" i="79"/>
  <c r="I40" i="79" s="1"/>
  <c r="AJ40" i="79"/>
  <c r="AX40" i="79" s="1"/>
  <c r="AW41" i="79"/>
  <c r="I41" i="79" s="1"/>
  <c r="AJ41" i="79"/>
  <c r="AX41" i="79" s="1"/>
  <c r="AW43" i="79"/>
  <c r="I43" i="79" s="1"/>
  <c r="AJ43" i="79"/>
  <c r="AX43" i="79" s="1"/>
  <c r="AW47" i="79"/>
  <c r="I47" i="79" s="1"/>
  <c r="AI44" i="79"/>
  <c r="AW44" i="79" s="1"/>
  <c r="AJ47" i="79"/>
  <c r="AW48" i="79"/>
  <c r="I48" i="79" s="1"/>
  <c r="AJ48" i="79"/>
  <c r="AX48" i="79" s="1"/>
  <c r="AW49" i="79"/>
  <c r="I49" i="79" s="1"/>
  <c r="AJ49" i="79"/>
  <c r="AX49" i="79" s="1"/>
  <c r="AW50" i="79"/>
  <c r="I50" i="79" s="1"/>
  <c r="AJ50" i="79"/>
  <c r="AX50" i="79" s="1"/>
  <c r="AW51" i="79"/>
  <c r="I51" i="79" s="1"/>
  <c r="AJ51" i="79"/>
  <c r="AX51" i="79" s="1"/>
  <c r="AW52" i="79"/>
  <c r="I52" i="79" s="1"/>
  <c r="AJ52" i="79"/>
  <c r="AX52" i="79" s="1"/>
  <c r="AW53" i="79"/>
  <c r="I53" i="79" s="1"/>
  <c r="AJ53" i="79"/>
  <c r="AX53" i="79" s="1"/>
  <c r="AW54" i="79"/>
  <c r="I54" i="79" s="1"/>
  <c r="AJ54" i="79"/>
  <c r="AX54" i="79" s="1"/>
  <c r="AW55" i="79"/>
  <c r="I55" i="79" s="1"/>
  <c r="AJ55" i="79"/>
  <c r="AX55" i="79" s="1"/>
  <c r="AW56" i="79"/>
  <c r="I56" i="79" s="1"/>
  <c r="AJ56" i="79"/>
  <c r="AX56" i="79" s="1"/>
  <c r="AW57" i="79"/>
  <c r="I57" i="79" s="1"/>
  <c r="AJ57" i="79"/>
  <c r="AX57" i="79" s="1"/>
  <c r="AW58" i="79"/>
  <c r="I58" i="79" s="1"/>
  <c r="AJ58" i="79"/>
  <c r="AX58" i="79" s="1"/>
  <c r="AW59" i="79"/>
  <c r="I59" i="79" s="1"/>
  <c r="AJ59" i="79"/>
  <c r="AX59" i="79" s="1"/>
  <c r="AW60" i="79"/>
  <c r="I60" i="79" s="1"/>
  <c r="AJ60" i="79"/>
  <c r="AX60" i="79" s="1"/>
  <c r="AW61" i="79"/>
  <c r="I61" i="79" s="1"/>
  <c r="AJ61" i="79"/>
  <c r="AX61" i="79" s="1"/>
  <c r="AW62" i="79"/>
  <c r="I62" i="79" s="1"/>
  <c r="AJ62" i="79"/>
  <c r="AX62" i="79" s="1"/>
  <c r="AW63" i="79"/>
  <c r="I63" i="79" s="1"/>
  <c r="AJ63" i="79"/>
  <c r="AX63" i="79" s="1"/>
  <c r="AW64" i="79"/>
  <c r="I64" i="79" s="1"/>
  <c r="AJ64" i="79"/>
  <c r="AX64" i="79" s="1"/>
  <c r="AW65" i="79"/>
  <c r="I65" i="79" s="1"/>
  <c r="AJ65" i="79"/>
  <c r="AX65" i="79" s="1"/>
  <c r="AW66" i="79"/>
  <c r="I66" i="79" s="1"/>
  <c r="AJ66" i="79"/>
  <c r="AX66" i="79" s="1"/>
  <c r="AW13" i="79"/>
  <c r="I13" i="79" s="1"/>
  <c r="AJ13" i="79"/>
  <c r="AX13" i="79" s="1"/>
  <c r="AW12" i="79"/>
  <c r="I12" i="79" s="1"/>
  <c r="AJ12" i="79"/>
  <c r="K9" i="78"/>
  <c r="Z9" i="79"/>
  <c r="AB9" i="79"/>
  <c r="AB70" i="79" s="1"/>
  <c r="AF9" i="79"/>
  <c r="AF70" i="79" s="1"/>
  <c r="J10" i="76"/>
  <c r="J9" i="76" s="1"/>
  <c r="J70" i="76" s="1"/>
  <c r="K12" i="76"/>
  <c r="K10" i="76" s="1"/>
  <c r="K9" i="76" s="1"/>
  <c r="AF12" i="77"/>
  <c r="AF10" i="77" s="1"/>
  <c r="AF9" i="77" s="1"/>
  <c r="AF70" i="77" s="1"/>
  <c r="AE10" i="77"/>
  <c r="AE9" i="77" s="1"/>
  <c r="AE70" i="77" s="1"/>
  <c r="AR9" i="75"/>
  <c r="AR70" i="75" s="1"/>
  <c r="AP9" i="75"/>
  <c r="AP70" i="75" s="1"/>
  <c r="AL9" i="75"/>
  <c r="AL70" i="75" s="1"/>
  <c r="AH9" i="73"/>
  <c r="AH70" i="73" s="1"/>
  <c r="AH9" i="75"/>
  <c r="AH70" i="75" s="1"/>
  <c r="AN9" i="73"/>
  <c r="AN70" i="73" s="1"/>
  <c r="Z9" i="77"/>
  <c r="Y70" i="77"/>
  <c r="L33" i="77"/>
  <c r="L47" i="77"/>
  <c r="AB10" i="75"/>
  <c r="AA9" i="75"/>
  <c r="AA70" i="75" s="1"/>
  <c r="AW22" i="73"/>
  <c r="I22" i="73" s="1"/>
  <c r="K22" i="73" s="1"/>
  <c r="AC9" i="75"/>
  <c r="AC70" i="75" s="1"/>
  <c r="AD9" i="75"/>
  <c r="AD70" i="75" s="1"/>
  <c r="J10" i="74"/>
  <c r="J71" i="74" s="1"/>
  <c r="Z10" i="75"/>
  <c r="Y9" i="75"/>
  <c r="Z36" i="75"/>
  <c r="H9" i="75"/>
  <c r="Z30" i="75"/>
  <c r="AB44" i="75"/>
  <c r="Z44" i="75"/>
  <c r="K10" i="74"/>
  <c r="AW12" i="73"/>
  <c r="I12" i="73" s="1"/>
  <c r="M12" i="73" s="1"/>
  <c r="M68" i="73"/>
  <c r="K13" i="73"/>
  <c r="M13" i="73"/>
  <c r="K69" i="73"/>
  <c r="M65" i="73"/>
  <c r="K64" i="73"/>
  <c r="K65" i="73"/>
  <c r="K63" i="73"/>
  <c r="M64" i="73"/>
  <c r="J21" i="73"/>
  <c r="L21" i="73" s="1"/>
  <c r="K15" i="73"/>
  <c r="M15" i="73"/>
  <c r="K29" i="73"/>
  <c r="J29" i="73"/>
  <c r="L29" i="73" s="1"/>
  <c r="Y9" i="73"/>
  <c r="K19" i="73"/>
  <c r="J19" i="73"/>
  <c r="L19" i="73" s="1"/>
  <c r="AP9" i="73"/>
  <c r="AP70" i="73" s="1"/>
  <c r="Z44" i="73"/>
  <c r="K16" i="73"/>
  <c r="J16" i="73"/>
  <c r="L16" i="73" s="1"/>
  <c r="M16" i="73"/>
  <c r="Z30" i="73"/>
  <c r="AA9" i="73"/>
  <c r="AA70" i="73" s="1"/>
  <c r="Z36" i="73"/>
  <c r="AJ9" i="73"/>
  <c r="AJ70" i="73" s="1"/>
  <c r="AB9" i="73"/>
  <c r="AB70" i="73" s="1"/>
  <c r="Z10" i="73"/>
  <c r="AX12" i="73"/>
  <c r="M28" i="73"/>
  <c r="K28" i="73"/>
  <c r="J28" i="73"/>
  <c r="L28" i="73" s="1"/>
  <c r="M66" i="73"/>
  <c r="K66" i="73"/>
  <c r="J66" i="73"/>
  <c r="L66" i="73" s="1"/>
  <c r="J20" i="73"/>
  <c r="L20" i="73" s="1"/>
  <c r="K20" i="73"/>
  <c r="K27" i="73"/>
  <c r="J27" i="73"/>
  <c r="L27" i="73" s="1"/>
  <c r="M27" i="73"/>
  <c r="J69" i="72"/>
  <c r="J68" i="72"/>
  <c r="J66" i="72"/>
  <c r="K66" i="72" s="1"/>
  <c r="J65" i="72"/>
  <c r="K65" i="72" s="1"/>
  <c r="J64" i="72"/>
  <c r="K64" i="72" s="1"/>
  <c r="J63" i="72"/>
  <c r="K63" i="72" s="1"/>
  <c r="J62" i="72"/>
  <c r="K62" i="72" s="1"/>
  <c r="J61" i="72"/>
  <c r="K61" i="72" s="1"/>
  <c r="J60" i="72"/>
  <c r="K60" i="72" s="1"/>
  <c r="J59" i="72"/>
  <c r="K59" i="72" s="1"/>
  <c r="J58" i="72"/>
  <c r="K58" i="72" s="1"/>
  <c r="J57" i="72"/>
  <c r="K57" i="72" s="1"/>
  <c r="J56" i="72"/>
  <c r="K56" i="72" s="1"/>
  <c r="J55" i="72"/>
  <c r="K55" i="72" s="1"/>
  <c r="J54" i="72"/>
  <c r="K54" i="72" s="1"/>
  <c r="J53" i="72"/>
  <c r="K53" i="72" s="1"/>
  <c r="J52" i="72"/>
  <c r="K52" i="72" s="1"/>
  <c r="J51" i="72"/>
  <c r="K51" i="72" s="1"/>
  <c r="J50" i="72"/>
  <c r="K50" i="72" s="1"/>
  <c r="J49" i="72"/>
  <c r="K49" i="72" s="1"/>
  <c r="J48" i="72"/>
  <c r="J47" i="72"/>
  <c r="K47" i="72" s="1"/>
  <c r="J43" i="72"/>
  <c r="K43" i="72" s="1"/>
  <c r="J42" i="72"/>
  <c r="K42" i="72" s="1"/>
  <c r="J41" i="72"/>
  <c r="K41" i="72" s="1"/>
  <c r="J40" i="72"/>
  <c r="J39" i="72"/>
  <c r="K39" i="72" s="1"/>
  <c r="J35" i="72"/>
  <c r="K35" i="72" s="1"/>
  <c r="J34" i="72"/>
  <c r="K34" i="72" s="1"/>
  <c r="J33" i="72"/>
  <c r="K33" i="72" s="1"/>
  <c r="K29" i="72"/>
  <c r="J28" i="72"/>
  <c r="K28" i="72" s="1"/>
  <c r="J27" i="72"/>
  <c r="K27" i="72" s="1"/>
  <c r="J25" i="72"/>
  <c r="J24" i="72"/>
  <c r="K24" i="72" s="1"/>
  <c r="J22" i="72"/>
  <c r="K22" i="72" s="1"/>
  <c r="J21" i="72"/>
  <c r="K21" i="72" s="1"/>
  <c r="J20" i="72"/>
  <c r="K20" i="72" s="1"/>
  <c r="J19" i="72"/>
  <c r="J16" i="72"/>
  <c r="K16" i="72" s="1"/>
  <c r="J15" i="72"/>
  <c r="K15" i="72" s="1"/>
  <c r="J13" i="72"/>
  <c r="K13" i="72" s="1"/>
  <c r="J12" i="72"/>
  <c r="K12" i="72" s="1"/>
  <c r="AA48" i="70"/>
  <c r="AB48" i="70" s="1"/>
  <c r="AA49" i="70"/>
  <c r="AB49" i="70" s="1"/>
  <c r="AA50" i="70"/>
  <c r="AB50" i="70" s="1"/>
  <c r="AA51" i="70"/>
  <c r="AB51" i="70" s="1"/>
  <c r="AA52" i="70"/>
  <c r="AB52" i="70" s="1"/>
  <c r="AA53" i="70"/>
  <c r="AB53" i="70" s="1"/>
  <c r="AA55" i="70"/>
  <c r="AB55" i="70" s="1"/>
  <c r="AA58" i="70"/>
  <c r="AB58" i="70" s="1"/>
  <c r="AA61" i="70"/>
  <c r="AB61" i="70" s="1"/>
  <c r="AA62" i="70"/>
  <c r="AB62" i="70" s="1"/>
  <c r="AA64" i="70"/>
  <c r="AB64" i="70" s="1"/>
  <c r="AA66" i="70"/>
  <c r="AB66" i="70" s="1"/>
  <c r="AA47" i="70"/>
  <c r="AB47" i="70" s="1"/>
  <c r="AA28" i="70"/>
  <c r="AB28" i="70" s="1"/>
  <c r="AA20" i="70"/>
  <c r="AB20" i="70" s="1"/>
  <c r="AA21" i="70"/>
  <c r="AB21" i="70" s="1"/>
  <c r="AA19" i="70"/>
  <c r="AB19" i="70" s="1"/>
  <c r="Y69" i="70"/>
  <c r="Y68" i="70"/>
  <c r="Y67" i="70"/>
  <c r="AW67" i="70" s="1"/>
  <c r="I67" i="70" s="1"/>
  <c r="AT66" i="70"/>
  <c r="AR66" i="70"/>
  <c r="AP66" i="70"/>
  <c r="AN66" i="70"/>
  <c r="AL66" i="70"/>
  <c r="AJ66" i="70"/>
  <c r="AH66" i="70"/>
  <c r="AF66" i="70"/>
  <c r="AD66" i="70"/>
  <c r="Y66" i="70"/>
  <c r="H66" i="70"/>
  <c r="AT65" i="70"/>
  <c r="AR65" i="70"/>
  <c r="AP65" i="70"/>
  <c r="AN65" i="70"/>
  <c r="AL65" i="70"/>
  <c r="AJ65" i="70"/>
  <c r="AH65" i="70"/>
  <c r="AF65" i="70"/>
  <c r="AD65" i="70"/>
  <c r="Y65" i="70"/>
  <c r="H65" i="70"/>
  <c r="AT64" i="70"/>
  <c r="AR64" i="70"/>
  <c r="AP64" i="70"/>
  <c r="AN64" i="70"/>
  <c r="AL64" i="70"/>
  <c r="AJ64" i="70"/>
  <c r="AH64" i="70"/>
  <c r="AF64" i="70"/>
  <c r="AD64" i="70"/>
  <c r="Y64" i="70"/>
  <c r="Z64" i="70" s="1"/>
  <c r="H64" i="70"/>
  <c r="AT63" i="70"/>
  <c r="AR63" i="70"/>
  <c r="AP63" i="70"/>
  <c r="AN63" i="70"/>
  <c r="AL63" i="70"/>
  <c r="AJ63" i="70"/>
  <c r="AH63" i="70"/>
  <c r="AF63" i="70"/>
  <c r="AD63" i="70"/>
  <c r="Y63" i="70"/>
  <c r="Z63" i="70" s="1"/>
  <c r="H63" i="70"/>
  <c r="AT62" i="70"/>
  <c r="AR62" i="70"/>
  <c r="AP62" i="70"/>
  <c r="AN62" i="70"/>
  <c r="AL62" i="70"/>
  <c r="AJ62" i="70"/>
  <c r="AH62" i="70"/>
  <c r="AF62" i="70"/>
  <c r="AD62" i="70"/>
  <c r="Y62" i="70"/>
  <c r="Z62" i="70" s="1"/>
  <c r="H62" i="70"/>
  <c r="AT61" i="70"/>
  <c r="AR61" i="70"/>
  <c r="AP61" i="70"/>
  <c r="AN61" i="70"/>
  <c r="AL61" i="70"/>
  <c r="AJ61" i="70"/>
  <c r="AH61" i="70"/>
  <c r="AF61" i="70"/>
  <c r="AD61" i="70"/>
  <c r="Y61" i="70"/>
  <c r="Z61" i="70" s="1"/>
  <c r="H61" i="70"/>
  <c r="AT60" i="70"/>
  <c r="AR60" i="70"/>
  <c r="AP60" i="70"/>
  <c r="AN60" i="70"/>
  <c r="AL60" i="70"/>
  <c r="AJ60" i="70"/>
  <c r="AH60" i="70"/>
  <c r="AF60" i="70"/>
  <c r="AD60" i="70"/>
  <c r="Y60" i="70"/>
  <c r="H60" i="70"/>
  <c r="H44" i="70" s="1"/>
  <c r="AT59" i="70"/>
  <c r="AR59" i="70"/>
  <c r="AP59" i="70"/>
  <c r="AN59" i="70"/>
  <c r="AL59" i="70"/>
  <c r="AJ59" i="70"/>
  <c r="AH59" i="70"/>
  <c r="AF59" i="70"/>
  <c r="AD59" i="70"/>
  <c r="Y59" i="70"/>
  <c r="Z59" i="70" s="1"/>
  <c r="H59" i="70"/>
  <c r="AT58" i="70"/>
  <c r="AR58" i="70"/>
  <c r="AP58" i="70"/>
  <c r="AN58" i="70"/>
  <c r="AL58" i="70"/>
  <c r="AJ58" i="70"/>
  <c r="AH58" i="70"/>
  <c r="AF58" i="70"/>
  <c r="AD58" i="70"/>
  <c r="Y58" i="70"/>
  <c r="Z58" i="70" s="1"/>
  <c r="H58" i="70"/>
  <c r="AT57" i="70"/>
  <c r="AR57" i="70"/>
  <c r="AP57" i="70"/>
  <c r="AN57" i="70"/>
  <c r="AL57" i="70"/>
  <c r="AJ57" i="70"/>
  <c r="AH57" i="70"/>
  <c r="AF57" i="70"/>
  <c r="AD57" i="70"/>
  <c r="Y57" i="70"/>
  <c r="Z57" i="70" s="1"/>
  <c r="H57" i="70"/>
  <c r="AT56" i="70"/>
  <c r="AR56" i="70"/>
  <c r="AP56" i="70"/>
  <c r="AN56" i="70"/>
  <c r="AL56" i="70"/>
  <c r="AJ56" i="70"/>
  <c r="AH56" i="70"/>
  <c r="AF56" i="70"/>
  <c r="AD56" i="70"/>
  <c r="Y56" i="70"/>
  <c r="Z56" i="70" s="1"/>
  <c r="H56" i="70"/>
  <c r="AT55" i="70"/>
  <c r="AR55" i="70"/>
  <c r="AP55" i="70"/>
  <c r="AN55" i="70"/>
  <c r="AL55" i="70"/>
  <c r="AJ55" i="70"/>
  <c r="AH55" i="70"/>
  <c r="AF55" i="70"/>
  <c r="AD55" i="70"/>
  <c r="Y55" i="70"/>
  <c r="H55" i="70"/>
  <c r="AT54" i="70"/>
  <c r="AR54" i="70"/>
  <c r="AP54" i="70"/>
  <c r="AN54" i="70"/>
  <c r="AL54" i="70"/>
  <c r="AJ54" i="70"/>
  <c r="AH54" i="70"/>
  <c r="AF54" i="70"/>
  <c r="AD54" i="70"/>
  <c r="Y54" i="70"/>
  <c r="Z54" i="70" s="1"/>
  <c r="H54" i="70"/>
  <c r="AT53" i="70"/>
  <c r="AR53" i="70"/>
  <c r="AP53" i="70"/>
  <c r="AN53" i="70"/>
  <c r="AL53" i="70"/>
  <c r="AJ53" i="70"/>
  <c r="AH53" i="70"/>
  <c r="AF53" i="70"/>
  <c r="AD53" i="70"/>
  <c r="Y53" i="70"/>
  <c r="Z53" i="70" s="1"/>
  <c r="H53" i="70"/>
  <c r="AT52" i="70"/>
  <c r="AR52" i="70"/>
  <c r="AP52" i="70"/>
  <c r="AN52" i="70"/>
  <c r="AL52" i="70"/>
  <c r="AJ52" i="70"/>
  <c r="AH52" i="70"/>
  <c r="AF52" i="70"/>
  <c r="AD52" i="70"/>
  <c r="Y52" i="70"/>
  <c r="H52" i="70"/>
  <c r="AT51" i="70"/>
  <c r="AR51" i="70"/>
  <c r="AP51" i="70"/>
  <c r="AN51" i="70"/>
  <c r="AL51" i="70"/>
  <c r="AJ51" i="70"/>
  <c r="AH51" i="70"/>
  <c r="AF51" i="70"/>
  <c r="AD51" i="70"/>
  <c r="Y51" i="70"/>
  <c r="Z51" i="70" s="1"/>
  <c r="H51" i="70"/>
  <c r="AT50" i="70"/>
  <c r="AR50" i="70"/>
  <c r="AP50" i="70"/>
  <c r="AN50" i="70"/>
  <c r="AL50" i="70"/>
  <c r="AJ50" i="70"/>
  <c r="AH50" i="70"/>
  <c r="AF50" i="70"/>
  <c r="AD50" i="70"/>
  <c r="Y50" i="70"/>
  <c r="Z50" i="70" s="1"/>
  <c r="H50" i="70"/>
  <c r="AT49" i="70"/>
  <c r="AR49" i="70"/>
  <c r="AP49" i="70"/>
  <c r="AN49" i="70"/>
  <c r="AL49" i="70"/>
  <c r="AJ49" i="70"/>
  <c r="AH49" i="70"/>
  <c r="AF49" i="70"/>
  <c r="AD49" i="70"/>
  <c r="Y49" i="70"/>
  <c r="H49" i="70"/>
  <c r="AT48" i="70"/>
  <c r="AR48" i="70"/>
  <c r="AP48" i="70"/>
  <c r="AN48" i="70"/>
  <c r="AL48" i="70"/>
  <c r="AJ48" i="70"/>
  <c r="AH48" i="70"/>
  <c r="AF48" i="70"/>
  <c r="AD48" i="70"/>
  <c r="Y48" i="70"/>
  <c r="Z48" i="70" s="1"/>
  <c r="H48" i="70"/>
  <c r="AT47" i="70"/>
  <c r="AR47" i="70"/>
  <c r="AP47" i="70"/>
  <c r="AN47" i="70"/>
  <c r="AL47" i="70"/>
  <c r="AJ47" i="70"/>
  <c r="AH47" i="70"/>
  <c r="AF47" i="70"/>
  <c r="AD47" i="70"/>
  <c r="Y47" i="70"/>
  <c r="Z47" i="70" s="1"/>
  <c r="H47" i="70"/>
  <c r="AV44" i="70"/>
  <c r="AU44" i="70"/>
  <c r="AS44" i="70"/>
  <c r="AQ44" i="70"/>
  <c r="AO44" i="70"/>
  <c r="AM44" i="70"/>
  <c r="AK44" i="70"/>
  <c r="AI44" i="70"/>
  <c r="AG44" i="70"/>
  <c r="AE44" i="70"/>
  <c r="AC44" i="70"/>
  <c r="G44" i="70"/>
  <c r="AT43" i="70"/>
  <c r="AR43" i="70"/>
  <c r="AP43" i="70"/>
  <c r="AN43" i="70"/>
  <c r="AL43" i="70"/>
  <c r="AJ43" i="70"/>
  <c r="AH43" i="70"/>
  <c r="AF43" i="70"/>
  <c r="AD43" i="70"/>
  <c r="Y43" i="70"/>
  <c r="Z43" i="70" s="1"/>
  <c r="H43" i="70"/>
  <c r="AT42" i="70"/>
  <c r="AR42" i="70"/>
  <c r="AP42" i="70"/>
  <c r="AN42" i="70"/>
  <c r="AL42" i="70"/>
  <c r="AJ42" i="70"/>
  <c r="AH42" i="70"/>
  <c r="AF42" i="70"/>
  <c r="AD42" i="70"/>
  <c r="Y42" i="70"/>
  <c r="Z42" i="70" s="1"/>
  <c r="H42" i="70"/>
  <c r="AT41" i="70"/>
  <c r="AR41" i="70"/>
  <c r="AP41" i="70"/>
  <c r="AN41" i="70"/>
  <c r="AL41" i="70"/>
  <c r="AJ41" i="70"/>
  <c r="AH41" i="70"/>
  <c r="AF41" i="70"/>
  <c r="AD41" i="70"/>
  <c r="Y41" i="70"/>
  <c r="Z41" i="70" s="1"/>
  <c r="H41" i="70"/>
  <c r="AT40" i="70"/>
  <c r="AR40" i="70"/>
  <c r="AP40" i="70"/>
  <c r="AN40" i="70"/>
  <c r="AL40" i="70"/>
  <c r="AJ40" i="70"/>
  <c r="AH40" i="70"/>
  <c r="AF40" i="70"/>
  <c r="AD40" i="70"/>
  <c r="Y40" i="70"/>
  <c r="Z40" i="70" s="1"/>
  <c r="H40" i="70"/>
  <c r="AT39" i="70"/>
  <c r="AR39" i="70"/>
  <c r="AP39" i="70"/>
  <c r="AN39" i="70"/>
  <c r="AN36" i="70" s="1"/>
  <c r="AL39" i="70"/>
  <c r="AJ39" i="70"/>
  <c r="AH39" i="70"/>
  <c r="AF39" i="70"/>
  <c r="AD39" i="70"/>
  <c r="Y39" i="70"/>
  <c r="Z39" i="70" s="1"/>
  <c r="H39" i="70"/>
  <c r="AX38" i="70"/>
  <c r="AW38" i="70"/>
  <c r="AV36" i="70"/>
  <c r="AU36" i="70"/>
  <c r="AT36" i="70"/>
  <c r="AS36" i="70"/>
  <c r="AQ36" i="70"/>
  <c r="AP36" i="70"/>
  <c r="AO36" i="70"/>
  <c r="AM36" i="70"/>
  <c r="AL36" i="70"/>
  <c r="AK36" i="70"/>
  <c r="AK9" i="70" s="1"/>
  <c r="AK70" i="70" s="1"/>
  <c r="AI36" i="70"/>
  <c r="AH36" i="70"/>
  <c r="AG36" i="70"/>
  <c r="AE36" i="70"/>
  <c r="AE9" i="70" s="1"/>
  <c r="AE70" i="70" s="1"/>
  <c r="AD36" i="70"/>
  <c r="AC36" i="70"/>
  <c r="G36" i="70"/>
  <c r="AT35" i="70"/>
  <c r="AR35" i="70"/>
  <c r="AP35" i="70"/>
  <c r="AN35" i="70"/>
  <c r="AL35" i="70"/>
  <c r="AJ35" i="70"/>
  <c r="AH35" i="70"/>
  <c r="AF35" i="70"/>
  <c r="AD35" i="70"/>
  <c r="Y35" i="70"/>
  <c r="H35" i="70"/>
  <c r="AT34" i="70"/>
  <c r="AR34" i="70"/>
  <c r="AP34" i="70"/>
  <c r="AN34" i="70"/>
  <c r="AL34" i="70"/>
  <c r="AJ34" i="70"/>
  <c r="AH34" i="70"/>
  <c r="AF34" i="70"/>
  <c r="AD34" i="70"/>
  <c r="Y34" i="70"/>
  <c r="Z34" i="70" s="1"/>
  <c r="H34" i="70"/>
  <c r="AT33" i="70"/>
  <c r="AR33" i="70"/>
  <c r="AP33" i="70"/>
  <c r="AN33" i="70"/>
  <c r="AL33" i="70"/>
  <c r="AL30" i="70" s="1"/>
  <c r="AJ33" i="70"/>
  <c r="AH33" i="70"/>
  <c r="AF33" i="70"/>
  <c r="AD33" i="70"/>
  <c r="Y33" i="70"/>
  <c r="Z33" i="70" s="1"/>
  <c r="H33" i="70"/>
  <c r="AV30" i="70"/>
  <c r="AU30" i="70"/>
  <c r="AT30" i="70"/>
  <c r="AS30" i="70"/>
  <c r="AR30" i="70"/>
  <c r="AQ30" i="70"/>
  <c r="AO30" i="70"/>
  <c r="AN30" i="70"/>
  <c r="AM30" i="70"/>
  <c r="AK30" i="70"/>
  <c r="AI30" i="70"/>
  <c r="AG30" i="70"/>
  <c r="AE30" i="70"/>
  <c r="AC30" i="70"/>
  <c r="O30" i="70"/>
  <c r="G30" i="70"/>
  <c r="AT29" i="70"/>
  <c r="AR29" i="70"/>
  <c r="AP29" i="70"/>
  <c r="AN29" i="70"/>
  <c r="AL29" i="70"/>
  <c r="AJ29" i="70"/>
  <c r="AH29" i="70"/>
  <c r="AF29" i="70"/>
  <c r="AD29" i="70"/>
  <c r="AB29" i="70"/>
  <c r="Y29" i="70"/>
  <c r="AW29" i="70" s="1"/>
  <c r="I29" i="70" s="1"/>
  <c r="H29" i="70"/>
  <c r="AT28" i="70"/>
  <c r="AR28" i="70"/>
  <c r="AP28" i="70"/>
  <c r="AN28" i="70"/>
  <c r="AL28" i="70"/>
  <c r="AJ28" i="70"/>
  <c r="AH28" i="70"/>
  <c r="AF28" i="70"/>
  <c r="AD28" i="70"/>
  <c r="Y28" i="70"/>
  <c r="Z28" i="70" s="1"/>
  <c r="H28" i="70"/>
  <c r="AT27" i="70"/>
  <c r="AR27" i="70"/>
  <c r="AP27" i="70"/>
  <c r="AN27" i="70"/>
  <c r="AL27" i="70"/>
  <c r="AJ27" i="70"/>
  <c r="AH27" i="70"/>
  <c r="AF27" i="70"/>
  <c r="AD27" i="70"/>
  <c r="Y27" i="70"/>
  <c r="Z27" i="70" s="1"/>
  <c r="H27" i="70"/>
  <c r="AX26" i="70"/>
  <c r="AW26" i="70"/>
  <c r="AT25" i="70"/>
  <c r="AR25" i="70"/>
  <c r="AP25" i="70"/>
  <c r="AN25" i="70"/>
  <c r="AL25" i="70"/>
  <c r="AJ25" i="70"/>
  <c r="AH25" i="70"/>
  <c r="AF25" i="70"/>
  <c r="AD25" i="70"/>
  <c r="Y25" i="70"/>
  <c r="Z25" i="70" s="1"/>
  <c r="H25" i="70"/>
  <c r="AT24" i="70"/>
  <c r="AR24" i="70"/>
  <c r="AP24" i="70"/>
  <c r="AN24" i="70"/>
  <c r="AL24" i="70"/>
  <c r="AJ24" i="70"/>
  <c r="AH24" i="70"/>
  <c r="AF24" i="70"/>
  <c r="AD24" i="70"/>
  <c r="Y24" i="70"/>
  <c r="Z24" i="70" s="1"/>
  <c r="H24" i="70"/>
  <c r="AX23" i="70"/>
  <c r="AW23" i="70"/>
  <c r="AT22" i="70"/>
  <c r="AR22" i="70"/>
  <c r="AP22" i="70"/>
  <c r="AN22" i="70"/>
  <c r="AL22" i="70"/>
  <c r="AJ22" i="70"/>
  <c r="AH22" i="70"/>
  <c r="AF22" i="70"/>
  <c r="AD22" i="70"/>
  <c r="Y22" i="70"/>
  <c r="Z22" i="70" s="1"/>
  <c r="H22" i="70"/>
  <c r="AT21" i="70"/>
  <c r="AR21" i="70"/>
  <c r="AP21" i="70"/>
  <c r="AN21" i="70"/>
  <c r="AL21" i="70"/>
  <c r="AJ21" i="70"/>
  <c r="AH21" i="70"/>
  <c r="AF21" i="70"/>
  <c r="AD21" i="70"/>
  <c r="Y21" i="70"/>
  <c r="Z21" i="70" s="1"/>
  <c r="H21" i="70"/>
  <c r="AT20" i="70"/>
  <c r="AR20" i="70"/>
  <c r="AP20" i="70"/>
  <c r="AN20" i="70"/>
  <c r="AL20" i="70"/>
  <c r="AJ20" i="70"/>
  <c r="AH20" i="70"/>
  <c r="AF20" i="70"/>
  <c r="AD20" i="70"/>
  <c r="Y20" i="70"/>
  <c r="Z20" i="70" s="1"/>
  <c r="H20" i="70"/>
  <c r="AT19" i="70"/>
  <c r="AR19" i="70"/>
  <c r="AP19" i="70"/>
  <c r="AN19" i="70"/>
  <c r="AL19" i="70"/>
  <c r="AJ19" i="70"/>
  <c r="AH19" i="70"/>
  <c r="AF19" i="70"/>
  <c r="AD19" i="70"/>
  <c r="Y19" i="70"/>
  <c r="Z19" i="70" s="1"/>
  <c r="H19" i="70"/>
  <c r="AX18" i="70"/>
  <c r="AW18" i="70"/>
  <c r="L18" i="70"/>
  <c r="AT16" i="70"/>
  <c r="AR16" i="70"/>
  <c r="AP16" i="70"/>
  <c r="AN16" i="70"/>
  <c r="AL16" i="70"/>
  <c r="AJ16" i="70"/>
  <c r="AH16" i="70"/>
  <c r="AF16" i="70"/>
  <c r="AD16" i="70"/>
  <c r="Y16" i="70"/>
  <c r="Z16" i="70" s="1"/>
  <c r="H16" i="70"/>
  <c r="AT15" i="70"/>
  <c r="AR15" i="70"/>
  <c r="AP15" i="70"/>
  <c r="AN15" i="70"/>
  <c r="AL15" i="70"/>
  <c r="AJ15" i="70"/>
  <c r="AH15" i="70"/>
  <c r="AF15" i="70"/>
  <c r="AD15" i="70"/>
  <c r="Y15" i="70"/>
  <c r="Z15" i="70" s="1"/>
  <c r="H15" i="70"/>
  <c r="AX14" i="70"/>
  <c r="AW14" i="70"/>
  <c r="AT13" i="70"/>
  <c r="AR13" i="70"/>
  <c r="AP13" i="70"/>
  <c r="AN13" i="70"/>
  <c r="AL13" i="70"/>
  <c r="AJ13" i="70"/>
  <c r="AH13" i="70"/>
  <c r="AF13" i="70"/>
  <c r="AD13" i="70"/>
  <c r="Y13" i="70"/>
  <c r="Z13" i="70" s="1"/>
  <c r="H13" i="70"/>
  <c r="AT12" i="70"/>
  <c r="AR12" i="70"/>
  <c r="AP12" i="70"/>
  <c r="AN12" i="70"/>
  <c r="AL12" i="70"/>
  <c r="AJ12" i="70"/>
  <c r="AH12" i="70"/>
  <c r="AF12" i="70"/>
  <c r="AD12" i="70"/>
  <c r="Y12" i="70"/>
  <c r="H12" i="70"/>
  <c r="AX11" i="70"/>
  <c r="AW11" i="70"/>
  <c r="AV10" i="70"/>
  <c r="AU10" i="70"/>
  <c r="AS10" i="70"/>
  <c r="AQ10" i="70"/>
  <c r="AO10" i="70"/>
  <c r="AM10" i="70"/>
  <c r="AK10" i="70"/>
  <c r="AI10" i="70"/>
  <c r="AG10" i="70"/>
  <c r="AE10" i="70"/>
  <c r="AC10" i="70"/>
  <c r="G10" i="70"/>
  <c r="J70" i="69"/>
  <c r="J69" i="69"/>
  <c r="J68" i="69"/>
  <c r="J67" i="69"/>
  <c r="K67" i="69" s="1"/>
  <c r="J66" i="69"/>
  <c r="J65" i="69"/>
  <c r="K65" i="69" s="1"/>
  <c r="J64" i="69"/>
  <c r="K64" i="69" s="1"/>
  <c r="J63" i="69"/>
  <c r="K63" i="69" s="1"/>
  <c r="J62" i="69"/>
  <c r="J61" i="69"/>
  <c r="J60" i="69"/>
  <c r="K60" i="69" s="1"/>
  <c r="J59" i="69"/>
  <c r="J58" i="69"/>
  <c r="K58" i="69" s="1"/>
  <c r="J57" i="69"/>
  <c r="K57" i="69" s="1"/>
  <c r="J54" i="69"/>
  <c r="K54" i="69" s="1"/>
  <c r="J53" i="69"/>
  <c r="J52" i="69"/>
  <c r="K52" i="69" s="1"/>
  <c r="J51" i="69"/>
  <c r="K51" i="69" s="1"/>
  <c r="J50" i="69"/>
  <c r="K50" i="69" s="1"/>
  <c r="J49" i="69"/>
  <c r="K49" i="69" s="1"/>
  <c r="J48" i="69"/>
  <c r="K48" i="69" s="1"/>
  <c r="J44" i="69"/>
  <c r="K44" i="69" s="1"/>
  <c r="J43" i="69"/>
  <c r="K43" i="69" s="1"/>
  <c r="J42" i="69"/>
  <c r="J41" i="69"/>
  <c r="K41" i="69" s="1"/>
  <c r="J40" i="69"/>
  <c r="J36" i="69"/>
  <c r="K36" i="69" s="1"/>
  <c r="J35" i="69"/>
  <c r="K35" i="69" s="1"/>
  <c r="J34" i="69"/>
  <c r="K34" i="69" s="1"/>
  <c r="J30" i="69"/>
  <c r="J29" i="69"/>
  <c r="K29" i="69" s="1"/>
  <c r="J28" i="69"/>
  <c r="J26" i="69"/>
  <c r="K26" i="69" s="1"/>
  <c r="J25" i="69"/>
  <c r="J23" i="69"/>
  <c r="K23" i="69" s="1"/>
  <c r="J22" i="69"/>
  <c r="J21" i="69"/>
  <c r="K21" i="69" s="1"/>
  <c r="J20" i="69"/>
  <c r="K20" i="69" s="1"/>
  <c r="J17" i="69"/>
  <c r="J16" i="69"/>
  <c r="K16" i="69" s="1"/>
  <c r="J14" i="69"/>
  <c r="J13" i="69"/>
  <c r="Y68" i="67"/>
  <c r="O30" i="67"/>
  <c r="J43" i="85" l="1"/>
  <c r="L43" i="85" s="1"/>
  <c r="L36" i="85" s="1"/>
  <c r="K43" i="85"/>
  <c r="M43" i="85"/>
  <c r="J36" i="85"/>
  <c r="AX43" i="85"/>
  <c r="AP36" i="85"/>
  <c r="AX36" i="85" s="1"/>
  <c r="K44" i="81"/>
  <c r="L54" i="81"/>
  <c r="L44" i="81" s="1"/>
  <c r="J44" i="81"/>
  <c r="K36" i="85"/>
  <c r="AP24" i="85"/>
  <c r="AX24" i="85" s="1"/>
  <c r="AW24" i="85"/>
  <c r="I24" i="85" s="1"/>
  <c r="AP12" i="85"/>
  <c r="AW12" i="85"/>
  <c r="I12" i="85" s="1"/>
  <c r="AO10" i="85"/>
  <c r="Z70" i="85"/>
  <c r="J39" i="83"/>
  <c r="L39" i="83" s="1"/>
  <c r="K39" i="83"/>
  <c r="M39" i="83"/>
  <c r="J25" i="83"/>
  <c r="L25" i="83" s="1"/>
  <c r="M25" i="83"/>
  <c r="M12" i="83"/>
  <c r="J12" i="83"/>
  <c r="L12" i="83" s="1"/>
  <c r="K12" i="83"/>
  <c r="AW24" i="83"/>
  <c r="I24" i="83" s="1"/>
  <c r="I10" i="83" s="1"/>
  <c r="AN24" i="83"/>
  <c r="L30" i="83"/>
  <c r="M43" i="83"/>
  <c r="K43" i="83"/>
  <c r="J43" i="83"/>
  <c r="L43" i="83" s="1"/>
  <c r="M42" i="83"/>
  <c r="I36" i="83"/>
  <c r="M36" i="83" s="1"/>
  <c r="K42" i="83"/>
  <c r="J42" i="83"/>
  <c r="AN36" i="83"/>
  <c r="AX42" i="83"/>
  <c r="AW10" i="83"/>
  <c r="AM9" i="83"/>
  <c r="K13" i="83"/>
  <c r="M13" i="83"/>
  <c r="J13" i="83"/>
  <c r="AX13" i="83"/>
  <c r="AX44" i="83"/>
  <c r="Z70" i="83"/>
  <c r="AK10" i="81"/>
  <c r="AW22" i="81"/>
  <c r="I22" i="81" s="1"/>
  <c r="I10" i="81" s="1"/>
  <c r="AL22" i="81"/>
  <c r="K36" i="81"/>
  <c r="L36" i="81"/>
  <c r="J36" i="81"/>
  <c r="AX13" i="81"/>
  <c r="J13" i="81"/>
  <c r="M13" i="81"/>
  <c r="K13" i="81"/>
  <c r="Z70" i="81"/>
  <c r="AW42" i="79"/>
  <c r="I42" i="79" s="1"/>
  <c r="AW22" i="79"/>
  <c r="I22" i="79" s="1"/>
  <c r="AJ42" i="79"/>
  <c r="AX42" i="79" s="1"/>
  <c r="AI36" i="79"/>
  <c r="AW36" i="79" s="1"/>
  <c r="AJ22" i="79"/>
  <c r="AX22" i="79" s="1"/>
  <c r="AI10" i="79"/>
  <c r="J15" i="79"/>
  <c r="L15" i="79" s="1"/>
  <c r="M15" i="79"/>
  <c r="K15" i="79"/>
  <c r="J16" i="79"/>
  <c r="L16" i="79" s="1"/>
  <c r="K16" i="79"/>
  <c r="M16" i="79"/>
  <c r="J19" i="79"/>
  <c r="L19" i="79" s="1"/>
  <c r="K19" i="79"/>
  <c r="J20" i="79"/>
  <c r="L20" i="79" s="1"/>
  <c r="K20" i="79"/>
  <c r="K21" i="79"/>
  <c r="J21" i="79"/>
  <c r="L21" i="79" s="1"/>
  <c r="M24" i="79"/>
  <c r="K24" i="79"/>
  <c r="J24" i="79"/>
  <c r="L24" i="79" s="1"/>
  <c r="M27" i="79"/>
  <c r="K27" i="79"/>
  <c r="J27" i="79"/>
  <c r="L27" i="79" s="1"/>
  <c r="K28" i="79"/>
  <c r="M28" i="79"/>
  <c r="J28" i="79"/>
  <c r="L28" i="79" s="1"/>
  <c r="M25" i="79"/>
  <c r="K25" i="79"/>
  <c r="J25" i="79"/>
  <c r="L25" i="79" s="1"/>
  <c r="K29" i="79"/>
  <c r="J29" i="79"/>
  <c r="L29" i="79" s="1"/>
  <c r="K33" i="79"/>
  <c r="I30" i="79"/>
  <c r="M30" i="79" s="1"/>
  <c r="M33" i="79"/>
  <c r="J33" i="79"/>
  <c r="J34" i="79"/>
  <c r="L34" i="79" s="1"/>
  <c r="M34" i="79"/>
  <c r="K34" i="79"/>
  <c r="K35" i="79"/>
  <c r="J35" i="79"/>
  <c r="L35" i="79" s="1"/>
  <c r="M35" i="79"/>
  <c r="AX35" i="79"/>
  <c r="AJ30" i="79"/>
  <c r="AX30" i="79" s="1"/>
  <c r="J39" i="79"/>
  <c r="M39" i="79"/>
  <c r="K39" i="79"/>
  <c r="AX39" i="79"/>
  <c r="M40" i="79"/>
  <c r="J40" i="79"/>
  <c r="L40" i="79" s="1"/>
  <c r="K40" i="79"/>
  <c r="K41" i="79"/>
  <c r="M41" i="79"/>
  <c r="J41" i="79"/>
  <c r="L41" i="79" s="1"/>
  <c r="M43" i="79"/>
  <c r="J43" i="79"/>
  <c r="L43" i="79" s="1"/>
  <c r="K43" i="79"/>
  <c r="J47" i="79"/>
  <c r="I44" i="79"/>
  <c r="M44" i="79" s="1"/>
  <c r="K47" i="79"/>
  <c r="M47" i="79"/>
  <c r="AX47" i="79"/>
  <c r="AJ44" i="79"/>
  <c r="AX44" i="79" s="1"/>
  <c r="M48" i="79"/>
  <c r="J48" i="79"/>
  <c r="L48" i="79" s="1"/>
  <c r="K48" i="79"/>
  <c r="K49" i="79"/>
  <c r="J49" i="79"/>
  <c r="L49" i="79" s="1"/>
  <c r="M49" i="79"/>
  <c r="K50" i="79"/>
  <c r="M50" i="79"/>
  <c r="J50" i="79"/>
  <c r="L50" i="79" s="1"/>
  <c r="M51" i="79"/>
  <c r="K51" i="79"/>
  <c r="J51" i="79"/>
  <c r="L51" i="79" s="1"/>
  <c r="M52" i="79"/>
  <c r="J52" i="79"/>
  <c r="L52" i="79" s="1"/>
  <c r="K52" i="79"/>
  <c r="M53" i="79"/>
  <c r="K53" i="79"/>
  <c r="J53" i="79"/>
  <c r="L53" i="79" s="1"/>
  <c r="M54" i="79"/>
  <c r="J54" i="79"/>
  <c r="L54" i="79" s="1"/>
  <c r="K54" i="79"/>
  <c r="M55" i="79"/>
  <c r="J55" i="79"/>
  <c r="L55" i="79" s="1"/>
  <c r="K55" i="79"/>
  <c r="K56" i="79"/>
  <c r="M56" i="79"/>
  <c r="J56" i="79"/>
  <c r="L56" i="79" s="1"/>
  <c r="K57" i="79"/>
  <c r="J57" i="79"/>
  <c r="L57" i="79" s="1"/>
  <c r="M57" i="79"/>
  <c r="J58" i="79"/>
  <c r="L58" i="79" s="1"/>
  <c r="K58" i="79"/>
  <c r="J59" i="79"/>
  <c r="L59" i="79" s="1"/>
  <c r="M59" i="79"/>
  <c r="K59" i="79"/>
  <c r="K60" i="79"/>
  <c r="M60" i="79"/>
  <c r="J60" i="79"/>
  <c r="L60" i="79" s="1"/>
  <c r="M61" i="79"/>
  <c r="J61" i="79"/>
  <c r="L61" i="79" s="1"/>
  <c r="K61" i="79"/>
  <c r="M62" i="79"/>
  <c r="K62" i="79"/>
  <c r="J62" i="79"/>
  <c r="L62" i="79" s="1"/>
  <c r="K63" i="79"/>
  <c r="J63" i="79"/>
  <c r="L63" i="79" s="1"/>
  <c r="J64" i="79"/>
  <c r="L64" i="79" s="1"/>
  <c r="M64" i="79"/>
  <c r="K64" i="79"/>
  <c r="K65" i="79"/>
  <c r="J65" i="79"/>
  <c r="L65" i="79" s="1"/>
  <c r="M65" i="79"/>
  <c r="K66" i="79"/>
  <c r="J66" i="79"/>
  <c r="L66" i="79" s="1"/>
  <c r="M66" i="79"/>
  <c r="M13" i="79"/>
  <c r="K13" i="79"/>
  <c r="J13" i="79"/>
  <c r="L13" i="79" s="1"/>
  <c r="K12" i="79"/>
  <c r="M12" i="79"/>
  <c r="J12" i="79"/>
  <c r="AX12" i="79"/>
  <c r="Z70" i="79"/>
  <c r="AT44" i="70"/>
  <c r="AP44" i="70"/>
  <c r="AD44" i="70"/>
  <c r="AH44" i="70"/>
  <c r="AF36" i="70"/>
  <c r="H36" i="70"/>
  <c r="AQ9" i="70"/>
  <c r="AQ70" i="70" s="1"/>
  <c r="AP30" i="70"/>
  <c r="AR36" i="70"/>
  <c r="AJ36" i="70"/>
  <c r="AD30" i="70"/>
  <c r="AJ30" i="70"/>
  <c r="AH30" i="70"/>
  <c r="AF30" i="70"/>
  <c r="H30" i="70"/>
  <c r="AL10" i="70"/>
  <c r="AT10" i="70"/>
  <c r="AH10" i="70"/>
  <c r="AU9" i="70"/>
  <c r="AU70" i="70" s="1"/>
  <c r="AP10" i="70"/>
  <c r="AO9" i="70"/>
  <c r="AO70" i="70" s="1"/>
  <c r="AI9" i="70"/>
  <c r="AI70" i="70" s="1"/>
  <c r="AD10" i="70"/>
  <c r="AC9" i="70"/>
  <c r="AC70" i="70" s="1"/>
  <c r="AV9" i="70"/>
  <c r="AV70" i="70" s="1"/>
  <c r="AS9" i="70"/>
  <c r="AS70" i="70" s="1"/>
  <c r="AM9" i="70"/>
  <c r="AM70" i="70" s="1"/>
  <c r="AG9" i="70"/>
  <c r="AG70" i="70" s="1"/>
  <c r="G9" i="70"/>
  <c r="G70" i="70" s="1"/>
  <c r="AN44" i="70"/>
  <c r="AJ44" i="70"/>
  <c r="Z70" i="77"/>
  <c r="M22" i="73"/>
  <c r="J22" i="73"/>
  <c r="L22" i="73" s="1"/>
  <c r="AB9" i="75"/>
  <c r="AB70" i="75" s="1"/>
  <c r="K12" i="73"/>
  <c r="Y70" i="75"/>
  <c r="Z9" i="75"/>
  <c r="J12" i="73"/>
  <c r="L12" i="73" s="1"/>
  <c r="Y70" i="73"/>
  <c r="Z9" i="73"/>
  <c r="K30" i="72"/>
  <c r="J30" i="72"/>
  <c r="K19" i="72"/>
  <c r="J10" i="72"/>
  <c r="K40" i="72"/>
  <c r="K36" i="72" s="1"/>
  <c r="J36" i="72"/>
  <c r="K48" i="72"/>
  <c r="K44" i="72" s="1"/>
  <c r="J44" i="72"/>
  <c r="K25" i="72"/>
  <c r="Y30" i="70"/>
  <c r="Z29" i="70"/>
  <c r="AX29" i="70" s="1"/>
  <c r="AW66" i="70"/>
  <c r="I66" i="70" s="1"/>
  <c r="J66" i="70" s="1"/>
  <c r="L66" i="70" s="1"/>
  <c r="Z66" i="70"/>
  <c r="AX66" i="70" s="1"/>
  <c r="AW55" i="70"/>
  <c r="I55" i="70" s="1"/>
  <c r="K55" i="70" s="1"/>
  <c r="AW50" i="70"/>
  <c r="I50" i="70" s="1"/>
  <c r="J50" i="70" s="1"/>
  <c r="L50" i="70" s="1"/>
  <c r="AX64" i="70"/>
  <c r="AW49" i="70"/>
  <c r="I49" i="70" s="1"/>
  <c r="K49" i="70" s="1"/>
  <c r="AW52" i="70"/>
  <c r="I52" i="70" s="1"/>
  <c r="K52" i="70" s="1"/>
  <c r="AX47" i="70"/>
  <c r="AX53" i="70"/>
  <c r="AW53" i="70"/>
  <c r="I53" i="70" s="1"/>
  <c r="J53" i="70" s="1"/>
  <c r="L53" i="70" s="1"/>
  <c r="AX58" i="70"/>
  <c r="AX50" i="70"/>
  <c r="AW47" i="70"/>
  <c r="I47" i="70" s="1"/>
  <c r="K47" i="70" s="1"/>
  <c r="AX28" i="70"/>
  <c r="AX19" i="70"/>
  <c r="AT9" i="70"/>
  <c r="AT70" i="70" s="1"/>
  <c r="AJ10" i="70"/>
  <c r="AJ9" i="70" s="1"/>
  <c r="AJ70" i="70" s="1"/>
  <c r="AR10" i="70"/>
  <c r="Y36" i="70"/>
  <c r="AX51" i="70"/>
  <c r="Y44" i="70"/>
  <c r="Z60" i="70"/>
  <c r="AX21" i="70"/>
  <c r="AP9" i="70"/>
  <c r="AP70" i="70" s="1"/>
  <c r="AF44" i="70"/>
  <c r="AR44" i="70"/>
  <c r="AX61" i="70"/>
  <c r="AH9" i="70"/>
  <c r="AH70" i="70" s="1"/>
  <c r="AX20" i="70"/>
  <c r="Y10" i="70"/>
  <c r="Z12" i="70"/>
  <c r="AX48" i="70"/>
  <c r="AW19" i="70"/>
  <c r="I19" i="70" s="1"/>
  <c r="AN10" i="70"/>
  <c r="AN9" i="70" s="1"/>
  <c r="AN70" i="70" s="1"/>
  <c r="AX62" i="70"/>
  <c r="M67" i="70"/>
  <c r="K67" i="70"/>
  <c r="K29" i="70"/>
  <c r="J29" i="70"/>
  <c r="L29" i="70" s="1"/>
  <c r="Z36" i="70"/>
  <c r="AL44" i="70"/>
  <c r="AL9" i="70" s="1"/>
  <c r="AL70" i="70" s="1"/>
  <c r="H10" i="70"/>
  <c r="H9" i="70" s="1"/>
  <c r="AF10" i="70"/>
  <c r="AD9" i="70"/>
  <c r="AD70" i="70" s="1"/>
  <c r="AW28" i="70"/>
  <c r="I28" i="70" s="1"/>
  <c r="Z35" i="70"/>
  <c r="Z49" i="70"/>
  <c r="AX49" i="70" s="1"/>
  <c r="Z52" i="70"/>
  <c r="AX52" i="70" s="1"/>
  <c r="Z55" i="70"/>
  <c r="AX55" i="70" s="1"/>
  <c r="AW62" i="70"/>
  <c r="I62" i="70" s="1"/>
  <c r="Z65" i="70"/>
  <c r="AW20" i="70"/>
  <c r="I20" i="70" s="1"/>
  <c r="AW48" i="70"/>
  <c r="I48" i="70" s="1"/>
  <c r="AW51" i="70"/>
  <c r="I51" i="70" s="1"/>
  <c r="AW64" i="70"/>
  <c r="I64" i="70" s="1"/>
  <c r="AW21" i="70"/>
  <c r="I21" i="70" s="1"/>
  <c r="AW58" i="70"/>
  <c r="I58" i="70" s="1"/>
  <c r="AW61" i="70"/>
  <c r="I61" i="70" s="1"/>
  <c r="J55" i="69"/>
  <c r="K55" i="69" s="1"/>
  <c r="J56" i="69"/>
  <c r="K56" i="69" s="1"/>
  <c r="K61" i="69"/>
  <c r="K62" i="69"/>
  <c r="J37" i="69"/>
  <c r="J11" i="69"/>
  <c r="K14" i="69"/>
  <c r="K22" i="69"/>
  <c r="K42" i="69"/>
  <c r="K28" i="69"/>
  <c r="K30" i="69"/>
  <c r="K17" i="69"/>
  <c r="K59" i="69"/>
  <c r="K25" i="69"/>
  <c r="K31" i="69"/>
  <c r="J31" i="69"/>
  <c r="K53" i="69"/>
  <c r="K66" i="69"/>
  <c r="K40" i="69"/>
  <c r="K13" i="69"/>
  <c r="Y61" i="67"/>
  <c r="Y48" i="67"/>
  <c r="Y49" i="67"/>
  <c r="Y50" i="67"/>
  <c r="Y51" i="67"/>
  <c r="Y52" i="67"/>
  <c r="Y58" i="67"/>
  <c r="Y59" i="67"/>
  <c r="Y60" i="67"/>
  <c r="Y63" i="67"/>
  <c r="Y64" i="67"/>
  <c r="Y65" i="67"/>
  <c r="Y66" i="67"/>
  <c r="Y47" i="67"/>
  <c r="Y34" i="67"/>
  <c r="Y33" i="67"/>
  <c r="Y29" i="67"/>
  <c r="Y28" i="67"/>
  <c r="Y27" i="67"/>
  <c r="Y19" i="67"/>
  <c r="AM36" i="67"/>
  <c r="J24" i="85" l="1"/>
  <c r="L24" i="85" s="1"/>
  <c r="M24" i="85"/>
  <c r="K24" i="85"/>
  <c r="AX12" i="85"/>
  <c r="AP10" i="85"/>
  <c r="J12" i="85"/>
  <c r="M12" i="85"/>
  <c r="K12" i="85"/>
  <c r="I10" i="85"/>
  <c r="AW10" i="85"/>
  <c r="AO9" i="85"/>
  <c r="K36" i="83"/>
  <c r="AX24" i="83"/>
  <c r="AN10" i="83"/>
  <c r="K24" i="83"/>
  <c r="K10" i="83" s="1"/>
  <c r="M24" i="83"/>
  <c r="J24" i="83"/>
  <c r="AX36" i="83"/>
  <c r="J36" i="83"/>
  <c r="L42" i="83"/>
  <c r="L36" i="83" s="1"/>
  <c r="AM70" i="83"/>
  <c r="AW70" i="83" s="1"/>
  <c r="AW9" i="83"/>
  <c r="M10" i="83"/>
  <c r="I9" i="83"/>
  <c r="L13" i="83"/>
  <c r="AX22" i="81"/>
  <c r="AL10" i="81"/>
  <c r="AW10" i="81"/>
  <c r="AK9" i="81"/>
  <c r="J22" i="81"/>
  <c r="M22" i="81"/>
  <c r="K22" i="81"/>
  <c r="K10" i="81" s="1"/>
  <c r="K9" i="81" s="1"/>
  <c r="K70" i="81" s="1"/>
  <c r="I9" i="81"/>
  <c r="M10" i="81"/>
  <c r="L13" i="81"/>
  <c r="K22" i="79"/>
  <c r="K10" i="79" s="1"/>
  <c r="J42" i="79"/>
  <c r="K42" i="79"/>
  <c r="K36" i="79" s="1"/>
  <c r="M42" i="79"/>
  <c r="J22" i="79"/>
  <c r="L22" i="79" s="1"/>
  <c r="M22" i="79"/>
  <c r="AJ36" i="79"/>
  <c r="AX36" i="79" s="1"/>
  <c r="I36" i="79"/>
  <c r="M36" i="79" s="1"/>
  <c r="I10" i="79"/>
  <c r="AJ10" i="79"/>
  <c r="AI9" i="79"/>
  <c r="AW10" i="79"/>
  <c r="J30" i="79"/>
  <c r="L33" i="79"/>
  <c r="L30" i="79" s="1"/>
  <c r="L39" i="79"/>
  <c r="J44" i="79"/>
  <c r="L47" i="79"/>
  <c r="L44" i="79" s="1"/>
  <c r="K30" i="79"/>
  <c r="K44" i="79"/>
  <c r="L12" i="79"/>
  <c r="Z70" i="75"/>
  <c r="Z70" i="73"/>
  <c r="K10" i="72"/>
  <c r="K9" i="72" s="1"/>
  <c r="J9" i="72"/>
  <c r="J70" i="72" s="1"/>
  <c r="K50" i="70"/>
  <c r="J52" i="70"/>
  <c r="L52" i="70" s="1"/>
  <c r="M55" i="70"/>
  <c r="M49" i="70"/>
  <c r="M50" i="70"/>
  <c r="K66" i="70"/>
  <c r="M66" i="70"/>
  <c r="J49" i="70"/>
  <c r="L49" i="70" s="1"/>
  <c r="J55" i="70"/>
  <c r="L55" i="70" s="1"/>
  <c r="M52" i="70"/>
  <c r="J45" i="69"/>
  <c r="J10" i="69" s="1"/>
  <c r="K53" i="70"/>
  <c r="M53" i="70"/>
  <c r="M47" i="70"/>
  <c r="J47" i="70"/>
  <c r="L47" i="70" s="1"/>
  <c r="M62" i="70"/>
  <c r="K62" i="70"/>
  <c r="J62" i="70"/>
  <c r="L62" i="70" s="1"/>
  <c r="Z44" i="70"/>
  <c r="AR9" i="70"/>
  <c r="AR70" i="70" s="1"/>
  <c r="J21" i="70"/>
  <c r="L21" i="70" s="1"/>
  <c r="K21" i="70"/>
  <c r="M28" i="70"/>
  <c r="K28" i="70"/>
  <c r="J28" i="70"/>
  <c r="L28" i="70" s="1"/>
  <c r="J58" i="70"/>
  <c r="L58" i="70" s="1"/>
  <c r="K58" i="70"/>
  <c r="AF9" i="70"/>
  <c r="AF70" i="70" s="1"/>
  <c r="J19" i="70"/>
  <c r="L19" i="70" s="1"/>
  <c r="K19" i="70"/>
  <c r="Z10" i="70"/>
  <c r="J51" i="70"/>
  <c r="L51" i="70" s="1"/>
  <c r="K51" i="70"/>
  <c r="M51" i="70"/>
  <c r="M61" i="70"/>
  <c r="K61" i="70"/>
  <c r="J61" i="70"/>
  <c r="L61" i="70" s="1"/>
  <c r="J48" i="70"/>
  <c r="L48" i="70" s="1"/>
  <c r="K48" i="70"/>
  <c r="M48" i="70"/>
  <c r="J64" i="70"/>
  <c r="L64" i="70" s="1"/>
  <c r="K64" i="70"/>
  <c r="M64" i="70"/>
  <c r="K20" i="70"/>
  <c r="J20" i="70"/>
  <c r="L20" i="70" s="1"/>
  <c r="Y9" i="70"/>
  <c r="Z30" i="70"/>
  <c r="K11" i="69"/>
  <c r="K37" i="69"/>
  <c r="K45" i="69"/>
  <c r="Y21" i="67"/>
  <c r="Y62" i="67"/>
  <c r="Y20" i="67"/>
  <c r="Y25" i="67"/>
  <c r="Y35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AV44" i="67"/>
  <c r="G44" i="67"/>
  <c r="H43" i="67"/>
  <c r="H42" i="67"/>
  <c r="H41" i="67"/>
  <c r="H40" i="67"/>
  <c r="H39" i="67"/>
  <c r="AX38" i="67"/>
  <c r="AW38" i="67"/>
  <c r="AV36" i="67"/>
  <c r="G36" i="67"/>
  <c r="H35" i="67"/>
  <c r="H34" i="67"/>
  <c r="H33" i="67"/>
  <c r="AV30" i="67"/>
  <c r="G30" i="67"/>
  <c r="AR29" i="67"/>
  <c r="AP29" i="67"/>
  <c r="AD29" i="67"/>
  <c r="H29" i="67"/>
  <c r="H28" i="67"/>
  <c r="H27" i="67"/>
  <c r="AX26" i="67"/>
  <c r="AW26" i="67"/>
  <c r="H25" i="67"/>
  <c r="H24" i="67"/>
  <c r="AX23" i="67"/>
  <c r="AW23" i="67"/>
  <c r="H22" i="67"/>
  <c r="H21" i="67"/>
  <c r="H20" i="67"/>
  <c r="H19" i="67"/>
  <c r="AX18" i="67"/>
  <c r="AW18" i="67"/>
  <c r="L18" i="67"/>
  <c r="H16" i="67"/>
  <c r="H15" i="67"/>
  <c r="AX14" i="67"/>
  <c r="AW14" i="67"/>
  <c r="H13" i="67"/>
  <c r="H12" i="67"/>
  <c r="AX11" i="67"/>
  <c r="AW11" i="67"/>
  <c r="AV10" i="67"/>
  <c r="G10" i="67"/>
  <c r="K10" i="85" l="1"/>
  <c r="K9" i="85" s="1"/>
  <c r="K70" i="85" s="1"/>
  <c r="AX10" i="85"/>
  <c r="AP9" i="85"/>
  <c r="L12" i="85"/>
  <c r="L10" i="85" s="1"/>
  <c r="L9" i="85" s="1"/>
  <c r="J10" i="85"/>
  <c r="J9" i="85" s="1"/>
  <c r="I9" i="85"/>
  <c r="M10" i="85"/>
  <c r="AO70" i="85"/>
  <c r="AW70" i="85" s="1"/>
  <c r="AW9" i="85"/>
  <c r="K9" i="83"/>
  <c r="K70" i="83" s="1"/>
  <c r="AX10" i="83"/>
  <c r="AN9" i="83"/>
  <c r="L24" i="83"/>
  <c r="L10" i="83" s="1"/>
  <c r="L9" i="83" s="1"/>
  <c r="J10" i="83"/>
  <c r="J9" i="83" s="1"/>
  <c r="AX10" i="81"/>
  <c r="AL9" i="81"/>
  <c r="L22" i="81"/>
  <c r="L10" i="81" s="1"/>
  <c r="L9" i="81" s="1"/>
  <c r="J10" i="81"/>
  <c r="J9" i="81" s="1"/>
  <c r="M9" i="83"/>
  <c r="I70" i="83"/>
  <c r="M70" i="83" s="1"/>
  <c r="AK70" i="81"/>
  <c r="AW70" i="81" s="1"/>
  <c r="AW9" i="81"/>
  <c r="L42" i="79"/>
  <c r="L36" i="79" s="1"/>
  <c r="J36" i="79"/>
  <c r="I70" i="81"/>
  <c r="M70" i="81" s="1"/>
  <c r="M9" i="81"/>
  <c r="I9" i="79"/>
  <c r="L10" i="79"/>
  <c r="J10" i="79"/>
  <c r="AX10" i="79"/>
  <c r="M10" i="79"/>
  <c r="AJ9" i="79"/>
  <c r="AI70" i="79"/>
  <c r="AW70" i="79" s="1"/>
  <c r="AW9" i="79"/>
  <c r="K9" i="79"/>
  <c r="K70" i="79" s="1"/>
  <c r="Z9" i="70"/>
  <c r="Y70" i="70"/>
  <c r="J71" i="69"/>
  <c r="K10" i="69"/>
  <c r="H36" i="67"/>
  <c r="G9" i="67"/>
  <c r="G70" i="67" s="1"/>
  <c r="H10" i="67"/>
  <c r="H30" i="67"/>
  <c r="AV9" i="67"/>
  <c r="AV70" i="67" s="1"/>
  <c r="H44" i="67"/>
  <c r="AX9" i="85" l="1"/>
  <c r="AP70" i="85"/>
  <c r="AX70" i="85" s="1"/>
  <c r="I70" i="85"/>
  <c r="M70" i="85" s="1"/>
  <c r="M9" i="85"/>
  <c r="AX9" i="83"/>
  <c r="AN70" i="83"/>
  <c r="AX70" i="83" s="1"/>
  <c r="AL70" i="81"/>
  <c r="AX70" i="81" s="1"/>
  <c r="AX9" i="81"/>
  <c r="J9" i="79"/>
  <c r="M9" i="79"/>
  <c r="I70" i="79"/>
  <c r="M70" i="79" s="1"/>
  <c r="L9" i="79"/>
  <c r="AX9" i="79"/>
  <c r="AJ70" i="79"/>
  <c r="AX70" i="79" s="1"/>
  <c r="Z70" i="70"/>
  <c r="H9" i="67"/>
  <c r="M21" i="14" l="1"/>
  <c r="M23" i="14" s="1"/>
  <c r="AP34" i="67" l="1"/>
  <c r="AR55" i="67"/>
  <c r="AH64" i="67"/>
  <c r="AB19" i="67"/>
  <c r="AR20" i="67"/>
  <c r="AR50" i="67"/>
  <c r="AH21" i="67"/>
  <c r="AF25" i="67"/>
  <c r="AD65" i="67"/>
  <c r="AP66" i="67"/>
  <c r="AL54" i="67"/>
  <c r="AF19" i="67"/>
  <c r="AN61" i="67"/>
  <c r="AT62" i="67"/>
  <c r="AR63" i="67"/>
  <c r="AF28" i="67"/>
  <c r="AH48" i="67"/>
  <c r="AJ24" i="67"/>
  <c r="AB24" i="67"/>
  <c r="AP48" i="67"/>
  <c r="AD62" i="67"/>
  <c r="AL48" i="67"/>
  <c r="AP57" i="67"/>
  <c r="AD49" i="67"/>
  <c r="AH16" i="67"/>
  <c r="AL49" i="67"/>
  <c r="AB62" i="67"/>
  <c r="AD55" i="67"/>
  <c r="AJ16" i="67"/>
  <c r="AP49" i="67"/>
  <c r="AB34" i="67"/>
  <c r="AB40" i="67"/>
  <c r="AJ54" i="67"/>
  <c r="AF27" i="67"/>
  <c r="AN49" i="67"/>
  <c r="AN60" i="67"/>
  <c r="AN52" i="67"/>
  <c r="AT16" i="67"/>
  <c r="AR60" i="67"/>
  <c r="AT60" i="67"/>
  <c r="AR52" i="67"/>
  <c r="AN34" i="67"/>
  <c r="AN62" i="67"/>
  <c r="AJ62" i="67"/>
  <c r="AP62" i="67"/>
  <c r="AJ53" i="67"/>
  <c r="AH27" i="67"/>
  <c r="AL61" i="67"/>
  <c r="AD20" i="67"/>
  <c r="AL62" i="67"/>
  <c r="AB65" i="67"/>
  <c r="AL50" i="67"/>
  <c r="AB25" i="67"/>
  <c r="AH53" i="67"/>
  <c r="AD60" i="67"/>
  <c r="AB29" i="67"/>
  <c r="AJ48" i="67"/>
  <c r="AH59" i="67"/>
  <c r="AD24" i="67"/>
  <c r="AB21" i="67"/>
  <c r="AD52" i="67"/>
  <c r="AB51" i="67"/>
  <c r="AT20" i="67"/>
  <c r="AP20" i="67"/>
  <c r="AP50" i="67"/>
  <c r="AR59" i="67"/>
  <c r="AN35" i="67"/>
  <c r="AN21" i="67"/>
  <c r="AL19" i="67"/>
  <c r="AH58" i="67"/>
  <c r="AF61" i="67"/>
  <c r="AD61" i="67"/>
  <c r="AB64" i="67"/>
  <c r="AB55" i="67"/>
  <c r="AF35" i="67"/>
  <c r="AL63" i="67"/>
  <c r="AT56" i="67"/>
  <c r="AP28" i="67"/>
  <c r="AJ20" i="67"/>
  <c r="AD48" i="67"/>
  <c r="AH24" i="67"/>
  <c r="AN54" i="67"/>
  <c r="AJ49" i="67"/>
  <c r="AN27" i="67"/>
  <c r="AL53" i="67"/>
  <c r="AN63" i="67"/>
  <c r="AB35" i="67"/>
  <c r="AN15" i="67"/>
  <c r="AH54" i="67"/>
  <c r="AF52" i="67"/>
  <c r="AH61" i="67"/>
  <c r="AP56" i="67"/>
  <c r="AR51" i="67"/>
  <c r="AR65" i="67"/>
  <c r="AP21" i="67"/>
  <c r="AF48" i="67"/>
  <c r="AH63" i="67"/>
  <c r="AB58" i="67"/>
  <c r="AH66" i="67"/>
  <c r="AB63" i="67"/>
  <c r="AJ52" i="67"/>
  <c r="AD56" i="67"/>
  <c r="AP55" i="67"/>
  <c r="AF20" i="67"/>
  <c r="AF21" i="67"/>
  <c r="AN66" i="67"/>
  <c r="AR15" i="67"/>
  <c r="AJ55" i="67"/>
  <c r="AP53" i="67"/>
  <c r="AL21" i="67"/>
  <c r="AN29" i="67"/>
  <c r="AR24" i="67"/>
  <c r="AH29" i="67"/>
  <c r="AL65" i="67"/>
  <c r="AT21" i="67"/>
  <c r="AF34" i="67"/>
  <c r="AF58" i="67"/>
  <c r="AP25" i="67"/>
  <c r="AF29" i="67"/>
  <c r="AF53" i="67"/>
  <c r="AT51" i="67"/>
  <c r="AT35" i="67"/>
  <c r="AR58" i="67"/>
  <c r="AN64" i="67"/>
  <c r="AT59" i="67"/>
  <c r="AR19" i="67"/>
  <c r="AN16" i="67"/>
  <c r="AN56" i="67"/>
  <c r="AJ61" i="67"/>
  <c r="AF63" i="67"/>
  <c r="AP60" i="67"/>
  <c r="AL59" i="67"/>
  <c r="AB27" i="67"/>
  <c r="AR21" i="67"/>
  <c r="AL58" i="67"/>
  <c r="AB56" i="67"/>
  <c r="AJ63" i="67"/>
  <c r="AD19" i="67"/>
  <c r="AJ15" i="67"/>
  <c r="AD16" i="67"/>
  <c r="AB20" i="67"/>
  <c r="AJ57" i="67"/>
  <c r="AR34" i="67"/>
  <c r="AP35" i="67"/>
  <c r="AR27" i="67"/>
  <c r="AH55" i="67"/>
  <c r="AF59" i="67"/>
  <c r="AB59" i="67"/>
  <c r="AB16" i="67"/>
  <c r="AF66" i="67"/>
  <c r="AD59" i="67"/>
  <c r="AJ66" i="67"/>
  <c r="AJ28" i="67"/>
  <c r="AN55" i="67"/>
  <c r="AL25" i="67"/>
  <c r="AT50" i="67"/>
  <c r="AP19" i="67"/>
  <c r="AL52" i="67"/>
  <c r="AD35" i="67"/>
  <c r="AN48" i="67"/>
  <c r="AN20" i="67"/>
  <c r="AL34" i="67"/>
  <c r="AL29" i="67"/>
  <c r="AJ25" i="67"/>
  <c r="AD21" i="67"/>
  <c r="AD63" i="67"/>
  <c r="AD25" i="67"/>
  <c r="AJ19" i="67"/>
  <c r="AR49" i="67"/>
  <c r="AB61" i="67"/>
  <c r="AJ34" i="67"/>
  <c r="AT28" i="67"/>
  <c r="AH50" i="67"/>
  <c r="AD40" i="67"/>
  <c r="AH25" i="67"/>
  <c r="AP54" i="67"/>
  <c r="AJ58" i="67"/>
  <c r="AF22" i="67"/>
  <c r="AL57" i="67"/>
  <c r="AB60" i="67"/>
  <c r="AT65" i="67"/>
  <c r="AL16" i="67"/>
  <c r="AT66" i="67"/>
  <c r="AN22" i="67"/>
  <c r="AD64" i="67"/>
  <c r="AH34" i="67"/>
  <c r="AF15" i="67"/>
  <c r="AT61" i="67"/>
  <c r="AN57" i="67"/>
  <c r="AN25" i="67"/>
  <c r="AP27" i="67"/>
  <c r="AB53" i="67"/>
  <c r="AT29" i="67"/>
  <c r="AT27" i="67"/>
  <c r="AR53" i="67"/>
  <c r="AT15" i="67"/>
  <c r="AP16" i="67"/>
  <c r="AN58" i="67"/>
  <c r="AT53" i="67"/>
  <c r="AT57" i="67"/>
  <c r="AL56" i="67"/>
  <c r="AJ35" i="67"/>
  <c r="AF57" i="67"/>
  <c r="AT34" i="67"/>
  <c r="AB22" i="67"/>
  <c r="AR16" i="67"/>
  <c r="AL27" i="67"/>
  <c r="AB49" i="67"/>
  <c r="AJ50" i="67"/>
  <c r="AN53" i="67"/>
  <c r="AH28" i="67"/>
  <c r="AD54" i="67"/>
  <c r="AB15" i="67"/>
  <c r="AD34" i="67"/>
  <c r="AR28" i="67"/>
  <c r="AR66" i="67"/>
  <c r="AN24" i="67"/>
  <c r="AL66" i="67"/>
  <c r="AJ51" i="67"/>
  <c r="AH49" i="67"/>
  <c r="AJ27" i="67"/>
  <c r="AD50" i="67"/>
  <c r="AB50" i="67"/>
  <c r="AH22" i="67"/>
  <c r="AF60" i="67"/>
  <c r="AD15" i="67"/>
  <c r="AJ60" i="67"/>
  <c r="AN51" i="67"/>
  <c r="AL15" i="67"/>
  <c r="AJ65" i="67"/>
  <c r="AH65" i="67"/>
  <c r="AB57" i="67"/>
  <c r="AL35" i="67"/>
  <c r="AN19" i="67"/>
  <c r="AT64" i="67"/>
  <c r="AJ29" i="67"/>
  <c r="AL20" i="67"/>
  <c r="AL64" i="67"/>
  <c r="AR22" i="67"/>
  <c r="AT55" i="67"/>
  <c r="AH60" i="67"/>
  <c r="AT19" i="67"/>
  <c r="AP22" i="67"/>
  <c r="AR62" i="67"/>
  <c r="AF62" i="67"/>
  <c r="AL22" i="67"/>
  <c r="AP61" i="67"/>
  <c r="AP15" i="67"/>
  <c r="AD57" i="67"/>
  <c r="AH51" i="67"/>
  <c r="AB28" i="67"/>
  <c r="AP51" i="67"/>
  <c r="AN65" i="67"/>
  <c r="AT52" i="67"/>
  <c r="AN59" i="67"/>
  <c r="AT63" i="67"/>
  <c r="AR64" i="67"/>
  <c r="AR48" i="67"/>
  <c r="AR61" i="67"/>
  <c r="AF24" i="67"/>
  <c r="AD27" i="67"/>
  <c r="AB52" i="67"/>
  <c r="AH56" i="67"/>
  <c r="AD28" i="67"/>
  <c r="AD58" i="67"/>
  <c r="AD22" i="67"/>
  <c r="AP63" i="67"/>
  <c r="AD53" i="67"/>
  <c r="AF16" i="67"/>
  <c r="AP64" i="67"/>
  <c r="AF49" i="67"/>
  <c r="AF50" i="67"/>
  <c r="AF51" i="67"/>
  <c r="AF55" i="67"/>
  <c r="AP58" i="67"/>
  <c r="AN28" i="67"/>
  <c r="AJ64" i="67"/>
  <c r="AT48" i="67"/>
  <c r="AP52" i="67"/>
  <c r="AR56" i="67"/>
  <c r="AJ56" i="67"/>
  <c r="AL51" i="67"/>
  <c r="AJ21" i="67"/>
  <c r="AR35" i="67"/>
  <c r="AT47" i="67"/>
  <c r="AP24" i="67"/>
  <c r="AR54" i="67"/>
  <c r="AP59" i="67"/>
  <c r="AL28" i="67"/>
  <c r="AH33" i="67"/>
  <c r="AF54" i="67"/>
  <c r="AL55" i="67"/>
  <c r="AF65" i="67"/>
  <c r="AL24" i="67"/>
  <c r="AF56" i="67"/>
  <c r="AD66" i="67"/>
  <c r="AJ22" i="67"/>
  <c r="AH57" i="67"/>
  <c r="AD51" i="67"/>
  <c r="AB54" i="67"/>
  <c r="AF64" i="67"/>
  <c r="AB66" i="67"/>
  <c r="AR57" i="67"/>
  <c r="AL60" i="67"/>
  <c r="AN50" i="67"/>
  <c r="AH20" i="67"/>
  <c r="AJ59" i="67"/>
  <c r="AH19" i="67"/>
  <c r="AH62" i="67"/>
  <c r="AB48" i="67"/>
  <c r="AP65" i="67"/>
  <c r="AT54" i="67"/>
  <c r="AH52" i="67"/>
  <c r="AT58" i="67"/>
  <c r="AR25" i="67"/>
  <c r="AH41" i="67" l="1"/>
  <c r="AT25" i="67"/>
  <c r="AP43" i="67"/>
  <c r="AN42" i="67"/>
  <c r="AL40" i="67"/>
  <c r="AT13" i="67"/>
  <c r="AF40" i="67"/>
  <c r="AN40" i="67"/>
  <c r="AS44" i="67"/>
  <c r="AT49" i="67"/>
  <c r="AT44" i="67" s="1"/>
  <c r="AF33" i="67"/>
  <c r="AF30" i="67" s="1"/>
  <c r="AE30" i="67"/>
  <c r="Z25" i="67"/>
  <c r="Z50" i="67"/>
  <c r="AX50" i="67" s="1"/>
  <c r="AW50" i="67"/>
  <c r="I50" i="67" s="1"/>
  <c r="K50" i="67" s="1"/>
  <c r="AW29" i="67"/>
  <c r="I29" i="67" s="1"/>
  <c r="Z29" i="67"/>
  <c r="AX29" i="67" s="1"/>
  <c r="Z20" i="67"/>
  <c r="AX20" i="67" s="1"/>
  <c r="AW20" i="67"/>
  <c r="I20" i="67" s="1"/>
  <c r="AM30" i="67"/>
  <c r="AN33" i="67"/>
  <c r="AN30" i="67" s="1"/>
  <c r="AL13" i="67"/>
  <c r="AH42" i="67"/>
  <c r="Z48" i="67"/>
  <c r="AX48" i="67" s="1"/>
  <c r="AB41" i="67"/>
  <c r="Z65" i="67"/>
  <c r="AX65" i="67" s="1"/>
  <c r="AW65" i="67"/>
  <c r="I65" i="67" s="1"/>
  <c r="K65" i="67" s="1"/>
  <c r="AH13" i="67"/>
  <c r="AN13" i="67"/>
  <c r="AP40" i="67"/>
  <c r="AL42" i="67"/>
  <c r="AN43" i="67"/>
  <c r="AF39" i="67"/>
  <c r="AB33" i="67"/>
  <c r="AB30" i="67" s="1"/>
  <c r="AA30" i="67"/>
  <c r="Z64" i="67"/>
  <c r="AX64" i="67" s="1"/>
  <c r="AW64" i="67"/>
  <c r="I64" i="67" s="1"/>
  <c r="K64" i="67" s="1"/>
  <c r="Z21" i="67"/>
  <c r="AX21" i="67" s="1"/>
  <c r="AW21" i="67"/>
  <c r="I21" i="67" s="1"/>
  <c r="AB39" i="67"/>
  <c r="AN47" i="67"/>
  <c r="AN44" i="67" s="1"/>
  <c r="AM44" i="67"/>
  <c r="Z35" i="67"/>
  <c r="AW52" i="67"/>
  <c r="I52" i="67" s="1"/>
  <c r="K52" i="67" s="1"/>
  <c r="Z52" i="67"/>
  <c r="AX52" i="67" s="1"/>
  <c r="AR47" i="67"/>
  <c r="AR44" i="67" s="1"/>
  <c r="AQ44" i="67"/>
  <c r="AL47" i="67"/>
  <c r="AL44" i="67" s="1"/>
  <c r="AK44" i="67"/>
  <c r="AJ41" i="67"/>
  <c r="AL43" i="67"/>
  <c r="AF43" i="67"/>
  <c r="AJ13" i="67"/>
  <c r="AT42" i="67"/>
  <c r="AJ42" i="67"/>
  <c r="AP13" i="67"/>
  <c r="AF13" i="67"/>
  <c r="AF41" i="67"/>
  <c r="AP42" i="67"/>
  <c r="AP41" i="67"/>
  <c r="AB42" i="67"/>
  <c r="AR41" i="67"/>
  <c r="AR12" i="67"/>
  <c r="AJ43" i="67"/>
  <c r="AD43" i="67"/>
  <c r="AD13" i="67"/>
  <c r="AB43" i="67"/>
  <c r="Z47" i="67"/>
  <c r="AW47" i="67"/>
  <c r="I47" i="67" s="1"/>
  <c r="K47" i="67" s="1"/>
  <c r="AG30" i="67"/>
  <c r="AH35" i="67"/>
  <c r="AH30" i="67" s="1"/>
  <c r="AJ33" i="67"/>
  <c r="AJ30" i="67" s="1"/>
  <c r="AI30" i="67"/>
  <c r="Z34" i="67"/>
  <c r="AX34" i="67" s="1"/>
  <c r="AH15" i="67"/>
  <c r="Z63" i="67"/>
  <c r="AX63" i="67" s="1"/>
  <c r="Z66" i="67"/>
  <c r="AX66" i="67" s="1"/>
  <c r="AW66" i="67"/>
  <c r="I66" i="67" s="1"/>
  <c r="K66" i="67" s="1"/>
  <c r="AW49" i="67"/>
  <c r="I49" i="67" s="1"/>
  <c r="K49" i="67" s="1"/>
  <c r="Z49" i="67"/>
  <c r="AT40" i="67"/>
  <c r="AT41" i="67"/>
  <c r="AD41" i="67"/>
  <c r="AR42" i="67"/>
  <c r="AJ40" i="67"/>
  <c r="Z62" i="67"/>
  <c r="AX62" i="67" s="1"/>
  <c r="AF47" i="67"/>
  <c r="AF44" i="67" s="1"/>
  <c r="AE44" i="67"/>
  <c r="AC44" i="67"/>
  <c r="AD47" i="67"/>
  <c r="AD44" i="67" s="1"/>
  <c r="Z27" i="67"/>
  <c r="AX27" i="67" s="1"/>
  <c r="AT33" i="67"/>
  <c r="AT30" i="67" s="1"/>
  <c r="AS30" i="67"/>
  <c r="Z19" i="67"/>
  <c r="AX19" i="67" s="1"/>
  <c r="AW19" i="67"/>
  <c r="I19" i="67" s="1"/>
  <c r="AK30" i="67"/>
  <c r="AL33" i="67"/>
  <c r="AL30" i="67" s="1"/>
  <c r="Z60" i="67"/>
  <c r="AX60" i="67" s="1"/>
  <c r="AP47" i="67"/>
  <c r="AP44" i="67" s="1"/>
  <c r="AO44" i="67"/>
  <c r="Z51" i="67"/>
  <c r="AX51" i="67" s="1"/>
  <c r="AW51" i="67"/>
  <c r="I51" i="67" s="1"/>
  <c r="K51" i="67" s="1"/>
  <c r="Z59" i="67"/>
  <c r="AX59" i="67" s="1"/>
  <c r="AT22" i="67"/>
  <c r="AN41" i="67"/>
  <c r="AH12" i="67"/>
  <c r="AH40" i="67"/>
  <c r="AT24" i="67"/>
  <c r="AT43" i="67"/>
  <c r="AL41" i="67"/>
  <c r="AB13" i="67"/>
  <c r="AD42" i="67"/>
  <c r="AH43" i="67"/>
  <c r="AR43" i="67"/>
  <c r="AR40" i="67"/>
  <c r="AA44" i="67"/>
  <c r="AB47" i="67"/>
  <c r="AB44" i="67" s="1"/>
  <c r="Z33" i="67"/>
  <c r="Y30" i="67"/>
  <c r="AJ47" i="67"/>
  <c r="AJ44" i="67" s="1"/>
  <c r="AI44" i="67"/>
  <c r="Z61" i="67"/>
  <c r="AX61" i="67" s="1"/>
  <c r="AD39" i="67"/>
  <c r="Z28" i="67"/>
  <c r="AX28" i="67" s="1"/>
  <c r="Z58" i="67"/>
  <c r="AX58" i="67" s="1"/>
  <c r="AW58" i="67"/>
  <c r="I58" i="67" s="1"/>
  <c r="K58" i="67" s="1"/>
  <c r="AP33" i="67"/>
  <c r="AP30" i="67" s="1"/>
  <c r="AO30" i="67"/>
  <c r="AR33" i="67"/>
  <c r="AR30" i="67" s="1"/>
  <c r="AQ30" i="67"/>
  <c r="AC30" i="67"/>
  <c r="AD33" i="67"/>
  <c r="AD30" i="67" s="1"/>
  <c r="AH47" i="67"/>
  <c r="AH44" i="67" s="1"/>
  <c r="AG44" i="67"/>
  <c r="AH10" i="67" l="1"/>
  <c r="AX49" i="67"/>
  <c r="AX25" i="67"/>
  <c r="AX35" i="67"/>
  <c r="Z30" i="67"/>
  <c r="AX30" i="67" s="1"/>
  <c r="AX33" i="67"/>
  <c r="J51" i="67"/>
  <c r="L51" i="67" s="1"/>
  <c r="M51" i="67"/>
  <c r="J19" i="67"/>
  <c r="L19" i="67" s="1"/>
  <c r="K19" i="67"/>
  <c r="AX47" i="67"/>
  <c r="AT39" i="67"/>
  <c r="AT36" i="67" s="1"/>
  <c r="AS36" i="67"/>
  <c r="J52" i="67"/>
  <c r="L52" i="67" s="1"/>
  <c r="M52" i="67"/>
  <c r="AA36" i="67"/>
  <c r="J64" i="67"/>
  <c r="L64" i="67" s="1"/>
  <c r="M64" i="67"/>
  <c r="M50" i="67"/>
  <c r="J50" i="67"/>
  <c r="L50" i="67" s="1"/>
  <c r="J20" i="67"/>
  <c r="L20" i="67" s="1"/>
  <c r="K20" i="67"/>
  <c r="J58" i="67"/>
  <c r="L58" i="67" s="1"/>
  <c r="AP12" i="67"/>
  <c r="AP10" i="67" s="1"/>
  <c r="AO10" i="67"/>
  <c r="J47" i="67"/>
  <c r="M47" i="67"/>
  <c r="AB12" i="67"/>
  <c r="AB10" i="67" s="1"/>
  <c r="AA10" i="67"/>
  <c r="AP39" i="67"/>
  <c r="AP36" i="67" s="1"/>
  <c r="AO36" i="67"/>
  <c r="AD12" i="67"/>
  <c r="AD10" i="67" s="1"/>
  <c r="AC10" i="67"/>
  <c r="AQ10" i="67"/>
  <c r="AR13" i="67"/>
  <c r="AR10" i="67" s="1"/>
  <c r="AN12" i="67"/>
  <c r="AN10" i="67" s="1"/>
  <c r="AM10" i="67"/>
  <c r="AT12" i="67"/>
  <c r="AT10" i="67" s="1"/>
  <c r="AS10" i="67"/>
  <c r="AB36" i="67"/>
  <c r="AL39" i="67"/>
  <c r="AL36" i="67" s="1"/>
  <c r="AK36" i="67"/>
  <c r="J65" i="67"/>
  <c r="L65" i="67" s="1"/>
  <c r="M65" i="67"/>
  <c r="AG36" i="67"/>
  <c r="AH39" i="67"/>
  <c r="AH36" i="67" s="1"/>
  <c r="AD36" i="67"/>
  <c r="AJ12" i="67"/>
  <c r="AJ10" i="67" s="1"/>
  <c r="AI10" i="67"/>
  <c r="AQ36" i="67"/>
  <c r="AR39" i="67"/>
  <c r="AR36" i="67" s="1"/>
  <c r="AI36" i="67"/>
  <c r="AJ39" i="67"/>
  <c r="AJ36" i="67" s="1"/>
  <c r="AN39" i="67"/>
  <c r="AN36" i="67" s="1"/>
  <c r="K21" i="67"/>
  <c r="J21" i="67"/>
  <c r="L21" i="67" s="1"/>
  <c r="AC36" i="67"/>
  <c r="AL12" i="67"/>
  <c r="AL10" i="67" s="1"/>
  <c r="AK10" i="67"/>
  <c r="M49" i="67"/>
  <c r="J49" i="67"/>
  <c r="L49" i="67" s="1"/>
  <c r="J66" i="67"/>
  <c r="L66" i="67" s="1"/>
  <c r="M66" i="67"/>
  <c r="AG10" i="67"/>
  <c r="AF12" i="67"/>
  <c r="AF10" i="67" s="1"/>
  <c r="AE10" i="67"/>
  <c r="AE36" i="67"/>
  <c r="AF42" i="67"/>
  <c r="AF36" i="67" s="1"/>
  <c r="K29" i="67"/>
  <c r="J29" i="67"/>
  <c r="L29" i="67" s="1"/>
  <c r="AK9" i="67" l="1"/>
  <c r="AK70" i="67" s="1"/>
  <c r="AH9" i="67"/>
  <c r="AH70" i="67" s="1"/>
  <c r="AS9" i="67"/>
  <c r="AS70" i="67" s="1"/>
  <c r="AC9" i="67"/>
  <c r="AC70" i="67" s="1"/>
  <c r="AR9" i="67"/>
  <c r="AR70" i="67" s="1"/>
  <c r="AI9" i="67"/>
  <c r="AI70" i="67" s="1"/>
  <c r="AA9" i="67"/>
  <c r="AA70" i="67" s="1"/>
  <c r="AG9" i="67"/>
  <c r="AG70" i="67" s="1"/>
  <c r="AP9" i="67"/>
  <c r="AP70" i="67" s="1"/>
  <c r="AQ9" i="67"/>
  <c r="AQ70" i="67" s="1"/>
  <c r="AE9" i="67"/>
  <c r="AE70" i="67" s="1"/>
  <c r="AO9" i="67"/>
  <c r="AO70" i="67" s="1"/>
  <c r="AF9" i="67"/>
  <c r="AF70" i="67" s="1"/>
  <c r="AM9" i="67"/>
  <c r="AM70" i="67" s="1"/>
  <c r="L47" i="67"/>
  <c r="AJ9" i="67"/>
  <c r="AJ70" i="67" s="1"/>
  <c r="AB9" i="67"/>
  <c r="AB70" i="67" s="1"/>
  <c r="AN9" i="67"/>
  <c r="AN70" i="67" s="1"/>
  <c r="AD9" i="67"/>
  <c r="AD70" i="67" s="1"/>
  <c r="AL9" i="67"/>
  <c r="AL70" i="67" s="1"/>
  <c r="AT9" i="67"/>
  <c r="AT70" i="67" s="1"/>
  <c r="AW61" i="67" l="1"/>
  <c r="I61" i="67" s="1"/>
  <c r="K61" i="67" s="1"/>
  <c r="M61" i="67" l="1"/>
  <c r="J61" i="67"/>
  <c r="L61" i="67" s="1"/>
  <c r="AW28" i="67" l="1"/>
  <c r="I28" i="67" s="1"/>
  <c r="J28" i="67" l="1"/>
  <c r="L28" i="67" s="1"/>
  <c r="M28" i="67"/>
  <c r="K28" i="67"/>
  <c r="AW63" i="67"/>
  <c r="I63" i="67" s="1"/>
  <c r="K63" i="67" s="1"/>
  <c r="AW48" i="67"/>
  <c r="I48" i="67" s="1"/>
  <c r="K48" i="67" s="1"/>
  <c r="J63" i="67" l="1"/>
  <c r="L63" i="67" s="1"/>
  <c r="M48" i="67"/>
  <c r="J48" i="67"/>
  <c r="L48" i="67" l="1"/>
  <c r="AW34" i="67" l="1"/>
  <c r="I34" i="67" s="1"/>
  <c r="AW62" i="67"/>
  <c r="I62" i="67" s="1"/>
  <c r="K62" i="67" s="1"/>
  <c r="J62" i="67" l="1"/>
  <c r="L62" i="67" s="1"/>
  <c r="M62" i="67"/>
  <c r="AW27" i="67"/>
  <c r="I27" i="67" s="1"/>
  <c r="J34" i="67"/>
  <c r="L34" i="67" s="1"/>
  <c r="K34" i="67"/>
  <c r="M34" i="67"/>
  <c r="AW33" i="67"/>
  <c r="I33" i="67" s="1"/>
  <c r="M27" i="67" l="1"/>
  <c r="K27" i="67"/>
  <c r="J27" i="67"/>
  <c r="L27" i="67" s="1"/>
  <c r="M33" i="67"/>
  <c r="K33" i="67"/>
  <c r="J33" i="67"/>
  <c r="L33" i="67" s="1"/>
  <c r="AW60" i="67" l="1"/>
  <c r="I60" i="67" s="1"/>
  <c r="K60" i="67" s="1"/>
  <c r="AW59" i="67"/>
  <c r="I59" i="67" s="1"/>
  <c r="K59" i="67" s="1"/>
  <c r="AW68" i="67"/>
  <c r="I68" i="67" s="1"/>
  <c r="M59" i="67" l="1"/>
  <c r="J59" i="67"/>
  <c r="L59" i="67" s="1"/>
  <c r="M60" i="67"/>
  <c r="J60" i="67"/>
  <c r="L60" i="67" s="1"/>
  <c r="K68" i="67"/>
  <c r="M68" i="67"/>
  <c r="AW25" i="67"/>
  <c r="I25" i="67" s="1"/>
  <c r="J25" i="67" s="1"/>
  <c r="L25" i="67" s="1"/>
  <c r="K25" i="67" l="1"/>
  <c r="M25" i="67"/>
  <c r="AU36" i="67"/>
  <c r="AU10" i="67"/>
  <c r="AW35" i="67" l="1"/>
  <c r="I35" i="67" s="1"/>
  <c r="AU30" i="67"/>
  <c r="AW30" i="67" l="1"/>
  <c r="K35" i="67"/>
  <c r="K30" i="67" s="1"/>
  <c r="M35" i="67"/>
  <c r="I30" i="67"/>
  <c r="J35" i="67"/>
  <c r="M30" i="67" l="1"/>
  <c r="L35" i="67"/>
  <c r="L30" i="67" s="1"/>
  <c r="J30" i="67"/>
  <c r="AU44" i="67" l="1"/>
  <c r="AU9" i="67" l="1"/>
  <c r="AU70" i="67" l="1"/>
  <c r="Y67" i="67" l="1"/>
  <c r="AW67" i="67" l="1"/>
  <c r="I67" i="67" s="1"/>
  <c r="K67" i="67" l="1"/>
  <c r="M67" i="67"/>
  <c r="Y57" i="67" l="1"/>
  <c r="Z57" i="67" l="1"/>
  <c r="AW57" i="67"/>
  <c r="I57" i="67" s="1"/>
  <c r="K57" i="67" l="1"/>
  <c r="J57" i="67"/>
  <c r="M57" i="67"/>
  <c r="AX57" i="67"/>
  <c r="L57" i="67" l="1"/>
  <c r="Y40" i="67" l="1"/>
  <c r="Y69" i="67"/>
  <c r="AW69" i="67" s="1"/>
  <c r="I69" i="67" s="1"/>
  <c r="Y16" i="67"/>
  <c r="Y15" i="67"/>
  <c r="M69" i="67" l="1"/>
  <c r="K69" i="67"/>
  <c r="Z15" i="67"/>
  <c r="AX15" i="67" s="1"/>
  <c r="AW15" i="67"/>
  <c r="I15" i="67" s="1"/>
  <c r="Y43" i="67"/>
  <c r="Y42" i="67"/>
  <c r="Y41" i="67"/>
  <c r="Z40" i="67"/>
  <c r="AX40" i="67" s="1"/>
  <c r="AW40" i="67"/>
  <c r="I40" i="67" s="1"/>
  <c r="Y39" i="67"/>
  <c r="Z16" i="67"/>
  <c r="AX16" i="67" s="1"/>
  <c r="AW16" i="67"/>
  <c r="I16" i="67" s="1"/>
  <c r="Y13" i="67"/>
  <c r="Y12" i="67"/>
  <c r="M15" i="67" l="1"/>
  <c r="J15" i="67"/>
  <c r="L15" i="67" s="1"/>
  <c r="K15" i="67"/>
  <c r="Z43" i="67"/>
  <c r="AX43" i="67" s="1"/>
  <c r="AW43" i="67"/>
  <c r="I43" i="67" s="1"/>
  <c r="Z42" i="67"/>
  <c r="AX42" i="67" s="1"/>
  <c r="AW42" i="67"/>
  <c r="I42" i="67" s="1"/>
  <c r="Z41" i="67"/>
  <c r="AX41" i="67" s="1"/>
  <c r="AW41" i="67"/>
  <c r="I41" i="67" s="1"/>
  <c r="J40" i="67"/>
  <c r="L40" i="67" s="1"/>
  <c r="M40" i="67"/>
  <c r="K40" i="67"/>
  <c r="Z39" i="67"/>
  <c r="Y36" i="67"/>
  <c r="AW36" i="67" s="1"/>
  <c r="AW39" i="67"/>
  <c r="I39" i="67" s="1"/>
  <c r="J16" i="67"/>
  <c r="L16" i="67" s="1"/>
  <c r="M16" i="67"/>
  <c r="K16" i="67"/>
  <c r="Z13" i="67"/>
  <c r="AX13" i="67" s="1"/>
  <c r="AW13" i="67"/>
  <c r="I13" i="67" s="1"/>
  <c r="Z12" i="67"/>
  <c r="AW12" i="67"/>
  <c r="I12" i="67" s="1"/>
  <c r="K43" i="67" l="1"/>
  <c r="J43" i="67"/>
  <c r="L43" i="67" s="1"/>
  <c r="M43" i="67"/>
  <c r="M42" i="67"/>
  <c r="K42" i="67"/>
  <c r="J42" i="67"/>
  <c r="L42" i="67" s="1"/>
  <c r="M41" i="67"/>
  <c r="K41" i="67"/>
  <c r="J41" i="67"/>
  <c r="L41" i="67" s="1"/>
  <c r="K39" i="67"/>
  <c r="I36" i="67"/>
  <c r="M39" i="67"/>
  <c r="J39" i="67"/>
  <c r="Z36" i="67"/>
  <c r="AX36" i="67" s="1"/>
  <c r="AX39" i="67"/>
  <c r="K13" i="67"/>
  <c r="M13" i="67"/>
  <c r="J13" i="67"/>
  <c r="L13" i="67" s="1"/>
  <c r="K12" i="67"/>
  <c r="J12" i="67"/>
  <c r="M12" i="67"/>
  <c r="AX12" i="67"/>
  <c r="M36" i="67" l="1"/>
  <c r="K36" i="67"/>
  <c r="L39" i="67"/>
  <c r="L36" i="67" s="1"/>
  <c r="J36" i="67"/>
  <c r="L12" i="67"/>
  <c r="Y53" i="67" l="1"/>
  <c r="Y56" i="67" l="1"/>
  <c r="Y54" i="67"/>
  <c r="Z53" i="67"/>
  <c r="AX53" i="67" s="1"/>
  <c r="AW53" i="67"/>
  <c r="I53" i="67" s="1"/>
  <c r="Y24" i="67"/>
  <c r="Y22" i="67"/>
  <c r="Z56" i="67" l="1"/>
  <c r="AX56" i="67" s="1"/>
  <c r="AW56" i="67"/>
  <c r="I56" i="67" s="1"/>
  <c r="Z54" i="67"/>
  <c r="AX54" i="67" s="1"/>
  <c r="AW54" i="67"/>
  <c r="I54" i="67" s="1"/>
  <c r="K53" i="67"/>
  <c r="J53" i="67"/>
  <c r="L53" i="67" s="1"/>
  <c r="M53" i="67"/>
  <c r="Y55" i="67"/>
  <c r="Z24" i="67"/>
  <c r="AX24" i="67" s="1"/>
  <c r="AW24" i="67"/>
  <c r="I24" i="67" s="1"/>
  <c r="AW22" i="67"/>
  <c r="I22" i="67" s="1"/>
  <c r="Z22" i="67"/>
  <c r="Y10" i="67"/>
  <c r="K56" i="67" l="1"/>
  <c r="M56" i="67"/>
  <c r="J56" i="67"/>
  <c r="L56" i="67" s="1"/>
  <c r="K54" i="67"/>
  <c r="M54" i="67"/>
  <c r="J54" i="67"/>
  <c r="L54" i="67" s="1"/>
  <c r="Z55" i="67"/>
  <c r="AW55" i="67"/>
  <c r="I55" i="67" s="1"/>
  <c r="Y44" i="67"/>
  <c r="AW44" i="67" s="1"/>
  <c r="K24" i="67"/>
  <c r="M24" i="67"/>
  <c r="J24" i="67"/>
  <c r="L24" i="67" s="1"/>
  <c r="AX22" i="67"/>
  <c r="Z10" i="67"/>
  <c r="M22" i="67"/>
  <c r="I10" i="67"/>
  <c r="K22" i="67"/>
  <c r="J22" i="67"/>
  <c r="AW10" i="67"/>
  <c r="K10" i="67" l="1"/>
  <c r="Y9" i="67"/>
  <c r="AW9" i="67" s="1"/>
  <c r="K55" i="67"/>
  <c r="K44" i="67" s="1"/>
  <c r="J55" i="67"/>
  <c r="M55" i="67"/>
  <c r="I44" i="67"/>
  <c r="AX55" i="67"/>
  <c r="Z44" i="67"/>
  <c r="AX44" i="67" s="1"/>
  <c r="L22" i="67"/>
  <c r="L10" i="67" s="1"/>
  <c r="J10" i="67"/>
  <c r="M10" i="67"/>
  <c r="AX10" i="67"/>
  <c r="M44" i="67" l="1"/>
  <c r="K9" i="67"/>
  <c r="K70" i="67" s="1"/>
  <c r="Y70" i="67"/>
  <c r="AW70" i="67" s="1"/>
  <c r="Z9" i="67"/>
  <c r="AX9" i="67" s="1"/>
  <c r="L55" i="67"/>
  <c r="L44" i="67" s="1"/>
  <c r="L9" i="67" s="1"/>
  <c r="J44" i="67"/>
  <c r="J9" i="67" s="1"/>
  <c r="I9" i="67"/>
  <c r="I70" i="67" s="1"/>
  <c r="M70" i="67" s="1"/>
  <c r="Z70" i="67" l="1"/>
  <c r="AX70" i="67" s="1"/>
  <c r="M9" i="67"/>
  <c r="AA27" i="70" l="1"/>
  <c r="AA60" i="70"/>
  <c r="AA59" i="70"/>
  <c r="AA65" i="70"/>
  <c r="AA54" i="70"/>
  <c r="AA57" i="70"/>
  <c r="AA63" i="70"/>
  <c r="AB27" i="70" l="1"/>
  <c r="AX27" i="70" s="1"/>
  <c r="AW27" i="70"/>
  <c r="I27" i="70" s="1"/>
  <c r="AB60" i="70"/>
  <c r="AX60" i="70" s="1"/>
  <c r="AW60" i="70"/>
  <c r="I60" i="70" s="1"/>
  <c r="AB59" i="70"/>
  <c r="AX59" i="70" s="1"/>
  <c r="AW59" i="70"/>
  <c r="I59" i="70" s="1"/>
  <c r="AB65" i="70"/>
  <c r="AX65" i="70" s="1"/>
  <c r="AW65" i="70"/>
  <c r="I65" i="70" s="1"/>
  <c r="AB54" i="70"/>
  <c r="AX54" i="70" s="1"/>
  <c r="AW54" i="70"/>
  <c r="I54" i="70" s="1"/>
  <c r="AB57" i="70"/>
  <c r="AX57" i="70" s="1"/>
  <c r="AW57" i="70"/>
  <c r="I57" i="70" s="1"/>
  <c r="AB63" i="70"/>
  <c r="AW63" i="70"/>
  <c r="I63" i="70" s="1"/>
  <c r="M27" i="70" l="1"/>
  <c r="K27" i="70"/>
  <c r="J27" i="70"/>
  <c r="L27" i="70" s="1"/>
  <c r="K60" i="70"/>
  <c r="J60" i="70"/>
  <c r="L60" i="70" s="1"/>
  <c r="M60" i="70"/>
  <c r="J59" i="70"/>
  <c r="L59" i="70" s="1"/>
  <c r="M59" i="70"/>
  <c r="K59" i="70"/>
  <c r="M65" i="70"/>
  <c r="J65" i="70"/>
  <c r="L65" i="70" s="1"/>
  <c r="K65" i="70"/>
  <c r="J54" i="70"/>
  <c r="L54" i="70" s="1"/>
  <c r="K54" i="70"/>
  <c r="M54" i="70"/>
  <c r="K57" i="70"/>
  <c r="M57" i="70"/>
  <c r="J57" i="70"/>
  <c r="L57" i="70" s="1"/>
  <c r="J63" i="70"/>
  <c r="K63" i="70"/>
  <c r="AX63" i="70"/>
  <c r="L63" i="70" l="1"/>
  <c r="AA69" i="70" l="1"/>
  <c r="AW69" i="70" s="1"/>
  <c r="I69" i="70" s="1"/>
  <c r="M69" i="70" s="1"/>
  <c r="AA25" i="70"/>
  <c r="AA43" i="70"/>
  <c r="AA42" i="70"/>
  <c r="AA41" i="70"/>
  <c r="AA40" i="70"/>
  <c r="AA39" i="70"/>
  <c r="AA24" i="70"/>
  <c r="AW24" i="70" s="1"/>
  <c r="I24" i="70" s="1"/>
  <c r="AA22" i="70"/>
  <c r="AA16" i="70"/>
  <c r="AA15" i="70"/>
  <c r="AA13" i="70"/>
  <c r="AA12" i="70"/>
  <c r="AB24" i="70" l="1"/>
  <c r="AX24" i="70" s="1"/>
  <c r="K69" i="70"/>
  <c r="AB25" i="70"/>
  <c r="AX25" i="70" s="1"/>
  <c r="AW25" i="70"/>
  <c r="I25" i="70" s="1"/>
  <c r="AB43" i="70"/>
  <c r="AX43" i="70" s="1"/>
  <c r="AW43" i="70"/>
  <c r="I43" i="70" s="1"/>
  <c r="AW42" i="70"/>
  <c r="I42" i="70" s="1"/>
  <c r="AB42" i="70"/>
  <c r="AX42" i="70" s="1"/>
  <c r="AB41" i="70"/>
  <c r="AX41" i="70" s="1"/>
  <c r="AW41" i="70"/>
  <c r="I41" i="70" s="1"/>
  <c r="AW40" i="70"/>
  <c r="I40" i="70" s="1"/>
  <c r="AB40" i="70"/>
  <c r="AX40" i="70" s="1"/>
  <c r="AB39" i="70"/>
  <c r="AW39" i="70"/>
  <c r="I39" i="70" s="1"/>
  <c r="AA36" i="70"/>
  <c r="AW36" i="70" s="1"/>
  <c r="J24" i="70"/>
  <c r="L24" i="70" s="1"/>
  <c r="M24" i="70"/>
  <c r="K24" i="70"/>
  <c r="AB22" i="70"/>
  <c r="AX22" i="70" s="1"/>
  <c r="AW22" i="70"/>
  <c r="I22" i="70" s="1"/>
  <c r="AB16" i="70"/>
  <c r="AX16" i="70" s="1"/>
  <c r="AW16" i="70"/>
  <c r="I16" i="70" s="1"/>
  <c r="AB15" i="70"/>
  <c r="AX15" i="70" s="1"/>
  <c r="AW15" i="70"/>
  <c r="I15" i="70" s="1"/>
  <c r="AW13" i="70"/>
  <c r="I13" i="70" s="1"/>
  <c r="AB13" i="70"/>
  <c r="AX13" i="70" s="1"/>
  <c r="AB12" i="70"/>
  <c r="AW12" i="70"/>
  <c r="I12" i="70" s="1"/>
  <c r="AA10" i="70"/>
  <c r="M25" i="70" l="1"/>
  <c r="K25" i="70"/>
  <c r="J25" i="70"/>
  <c r="L25" i="70" s="1"/>
  <c r="K43" i="70"/>
  <c r="M43" i="70"/>
  <c r="J43" i="70"/>
  <c r="L43" i="70" s="1"/>
  <c r="M42" i="70"/>
  <c r="K42" i="70"/>
  <c r="J42" i="70"/>
  <c r="L42" i="70" s="1"/>
  <c r="J41" i="70"/>
  <c r="L41" i="70" s="1"/>
  <c r="M41" i="70"/>
  <c r="K41" i="70"/>
  <c r="J40" i="70"/>
  <c r="L40" i="70" s="1"/>
  <c r="K40" i="70"/>
  <c r="M40" i="70"/>
  <c r="K39" i="70"/>
  <c r="M39" i="70"/>
  <c r="J39" i="70"/>
  <c r="I36" i="70"/>
  <c r="M36" i="70" s="1"/>
  <c r="AX39" i="70"/>
  <c r="AB36" i="70"/>
  <c r="AX36" i="70" s="1"/>
  <c r="M22" i="70"/>
  <c r="J22" i="70"/>
  <c r="L22" i="70" s="1"/>
  <c r="K22" i="70"/>
  <c r="M16" i="70"/>
  <c r="J16" i="70"/>
  <c r="L16" i="70" s="1"/>
  <c r="K16" i="70"/>
  <c r="K15" i="70"/>
  <c r="J15" i="70"/>
  <c r="L15" i="70" s="1"/>
  <c r="M15" i="70"/>
  <c r="M13" i="70"/>
  <c r="J13" i="70"/>
  <c r="L13" i="70" s="1"/>
  <c r="K13" i="70"/>
  <c r="AW10" i="70"/>
  <c r="K12" i="70"/>
  <c r="M12" i="70"/>
  <c r="J12" i="70"/>
  <c r="I10" i="70"/>
  <c r="AX12" i="70"/>
  <c r="AB10" i="70"/>
  <c r="K10" i="70" l="1"/>
  <c r="K36" i="70"/>
  <c r="L39" i="70"/>
  <c r="L36" i="70" s="1"/>
  <c r="J36" i="70"/>
  <c r="M10" i="70"/>
  <c r="L12" i="70"/>
  <c r="L10" i="70" s="1"/>
  <c r="J10" i="70"/>
  <c r="AX10" i="70"/>
  <c r="AA68" i="70" l="1"/>
  <c r="AW68" i="70" s="1"/>
  <c r="I68" i="70" s="1"/>
  <c r="AA33" i="70"/>
  <c r="AA34" i="70"/>
  <c r="AA56" i="70"/>
  <c r="AA35" i="70"/>
  <c r="M68" i="70" l="1"/>
  <c r="K68" i="70"/>
  <c r="AB56" i="70"/>
  <c r="AW56" i="70"/>
  <c r="I56" i="70" s="1"/>
  <c r="AA44" i="70"/>
  <c r="AW44" i="70" s="1"/>
  <c r="AB35" i="70"/>
  <c r="AX35" i="70" s="1"/>
  <c r="AW35" i="70"/>
  <c r="I35" i="70" s="1"/>
  <c r="AB34" i="70"/>
  <c r="AX34" i="70" s="1"/>
  <c r="AW34" i="70"/>
  <c r="I34" i="70" s="1"/>
  <c r="AB33" i="70"/>
  <c r="AW33" i="70"/>
  <c r="I33" i="70" s="1"/>
  <c r="AA30" i="70"/>
  <c r="K56" i="70" l="1"/>
  <c r="K44" i="70" s="1"/>
  <c r="J56" i="70"/>
  <c r="M56" i="70"/>
  <c r="I44" i="70"/>
  <c r="M44" i="70" s="1"/>
  <c r="AX56" i="70"/>
  <c r="AB44" i="70"/>
  <c r="AX44" i="70" s="1"/>
  <c r="M35" i="70"/>
  <c r="K35" i="70"/>
  <c r="J35" i="70"/>
  <c r="L35" i="70" s="1"/>
  <c r="M34" i="70"/>
  <c r="J34" i="70"/>
  <c r="L34" i="70" s="1"/>
  <c r="K34" i="70"/>
  <c r="J33" i="70"/>
  <c r="K33" i="70"/>
  <c r="M33" i="70"/>
  <c r="I30" i="70"/>
  <c r="AX33" i="70"/>
  <c r="AB30" i="70"/>
  <c r="AW30" i="70"/>
  <c r="AA9" i="70"/>
  <c r="L56" i="70" l="1"/>
  <c r="L44" i="70" s="1"/>
  <c r="J44" i="70"/>
  <c r="K30" i="70"/>
  <c r="K9" i="70" s="1"/>
  <c r="K70" i="70" s="1"/>
  <c r="AA70" i="70"/>
  <c r="AW70" i="70" s="1"/>
  <c r="AW9" i="70"/>
  <c r="M30" i="70"/>
  <c r="I9" i="70"/>
  <c r="AX30" i="70"/>
  <c r="AB9" i="70"/>
  <c r="L33" i="70"/>
  <c r="L30" i="70" s="1"/>
  <c r="J30" i="70"/>
  <c r="J9" i="70" l="1"/>
  <c r="L9" i="70"/>
  <c r="M9" i="70"/>
  <c r="I70" i="70"/>
  <c r="M70" i="70" s="1"/>
  <c r="AB70" i="70"/>
  <c r="AX70" i="70" s="1"/>
  <c r="AX9" i="70"/>
  <c r="AC25" i="73" l="1"/>
  <c r="AC24" i="73"/>
  <c r="AD25" i="73" l="1"/>
  <c r="AX25" i="73" s="1"/>
  <c r="AW25" i="73"/>
  <c r="I25" i="73" s="1"/>
  <c r="AD24" i="73"/>
  <c r="AW24" i="73"/>
  <c r="I24" i="73" s="1"/>
  <c r="AC10" i="73"/>
  <c r="K25" i="73" l="1"/>
  <c r="J25" i="73"/>
  <c r="L25" i="73" s="1"/>
  <c r="M25" i="73"/>
  <c r="AW10" i="73"/>
  <c r="M24" i="73"/>
  <c r="K24" i="73"/>
  <c r="J24" i="73"/>
  <c r="I10" i="73"/>
  <c r="AD10" i="73"/>
  <c r="AX24" i="73"/>
  <c r="K10" i="73" l="1"/>
  <c r="AX10" i="73"/>
  <c r="L24" i="73"/>
  <c r="L10" i="73" s="1"/>
  <c r="J10" i="73"/>
  <c r="M10" i="73"/>
  <c r="AC50" i="73" l="1"/>
  <c r="AC49" i="73"/>
  <c r="AC62" i="73"/>
  <c r="AC48" i="73"/>
  <c r="AC47" i="73"/>
  <c r="AC53" i="73"/>
  <c r="AC60" i="73"/>
  <c r="AC52" i="73"/>
  <c r="AC59" i="73"/>
  <c r="AC51" i="73"/>
  <c r="AC58" i="73"/>
  <c r="AD58" i="73" l="1"/>
  <c r="AX58" i="73" s="1"/>
  <c r="AW58" i="73"/>
  <c r="I58" i="73" s="1"/>
  <c r="AD52" i="73"/>
  <c r="AX52" i="73" s="1"/>
  <c r="AW52" i="73"/>
  <c r="I52" i="73" s="1"/>
  <c r="AD47" i="73"/>
  <c r="AW47" i="73"/>
  <c r="I47" i="73" s="1"/>
  <c r="AD62" i="73"/>
  <c r="AX62" i="73" s="1"/>
  <c r="AW62" i="73"/>
  <c r="I62" i="73" s="1"/>
  <c r="AD51" i="73"/>
  <c r="AX51" i="73" s="1"/>
  <c r="AW51" i="73"/>
  <c r="I51" i="73" s="1"/>
  <c r="AD60" i="73"/>
  <c r="AX60" i="73" s="1"/>
  <c r="AW60" i="73"/>
  <c r="I60" i="73" s="1"/>
  <c r="AD49" i="73"/>
  <c r="AX49" i="73" s="1"/>
  <c r="AW49" i="73"/>
  <c r="I49" i="73" s="1"/>
  <c r="AD59" i="73"/>
  <c r="AX59" i="73" s="1"/>
  <c r="AW59" i="73"/>
  <c r="I59" i="73" s="1"/>
  <c r="AW53" i="73"/>
  <c r="I53" i="73" s="1"/>
  <c r="AD53" i="73"/>
  <c r="AX53" i="73" s="1"/>
  <c r="AD48" i="73"/>
  <c r="AX48" i="73" s="1"/>
  <c r="AW48" i="73"/>
  <c r="I48" i="73" s="1"/>
  <c r="AD50" i="73"/>
  <c r="AX50" i="73" s="1"/>
  <c r="AW50" i="73"/>
  <c r="I50" i="73" s="1"/>
  <c r="K58" i="73" l="1"/>
  <c r="J58" i="73"/>
  <c r="L58" i="73" s="1"/>
  <c r="M51" i="73"/>
  <c r="J51" i="73"/>
  <c r="L51" i="73" s="1"/>
  <c r="K51" i="73"/>
  <c r="J47" i="73"/>
  <c r="M47" i="73"/>
  <c r="K47" i="73"/>
  <c r="J50" i="73"/>
  <c r="L50" i="73" s="1"/>
  <c r="M50" i="73"/>
  <c r="K50" i="73"/>
  <c r="AX47" i="73"/>
  <c r="J59" i="73"/>
  <c r="L59" i="73" s="1"/>
  <c r="M59" i="73"/>
  <c r="K59" i="73"/>
  <c r="M52" i="73"/>
  <c r="K52" i="73"/>
  <c r="J52" i="73"/>
  <c r="L52" i="73" s="1"/>
  <c r="M53" i="73"/>
  <c r="J53" i="73"/>
  <c r="L53" i="73" s="1"/>
  <c r="K53" i="73"/>
  <c r="M49" i="73"/>
  <c r="K49" i="73"/>
  <c r="J49" i="73"/>
  <c r="L49" i="73" s="1"/>
  <c r="J48" i="73"/>
  <c r="L48" i="73" s="1"/>
  <c r="K48" i="73"/>
  <c r="M48" i="73"/>
  <c r="M60" i="73"/>
  <c r="J60" i="73"/>
  <c r="L60" i="73" s="1"/>
  <c r="K60" i="73"/>
  <c r="K62" i="73"/>
  <c r="J62" i="73"/>
  <c r="L62" i="73" s="1"/>
  <c r="M62" i="73"/>
  <c r="L47" i="73" l="1"/>
  <c r="AC43" i="73" l="1"/>
  <c r="AC42" i="73"/>
  <c r="AC41" i="73"/>
  <c r="AC40" i="73"/>
  <c r="AC39" i="73"/>
  <c r="AC56" i="73"/>
  <c r="AC35" i="73"/>
  <c r="AD40" i="73" l="1"/>
  <c r="AX40" i="73" s="1"/>
  <c r="AW40" i="73"/>
  <c r="I40" i="73" s="1"/>
  <c r="AD41" i="73"/>
  <c r="AX41" i="73" s="1"/>
  <c r="AW41" i="73"/>
  <c r="I41" i="73" s="1"/>
  <c r="AD42" i="73"/>
  <c r="AX42" i="73" s="1"/>
  <c r="AW42" i="73"/>
  <c r="I42" i="73" s="1"/>
  <c r="AW43" i="73"/>
  <c r="I43" i="73" s="1"/>
  <c r="AD43" i="73"/>
  <c r="AX43" i="73" s="1"/>
  <c r="AD39" i="73"/>
  <c r="AW39" i="73"/>
  <c r="I39" i="73" s="1"/>
  <c r="AC36" i="73"/>
  <c r="AW36" i="73" s="1"/>
  <c r="AC61" i="73"/>
  <c r="AC57" i="73"/>
  <c r="AD56" i="73"/>
  <c r="AX56" i="73" s="1"/>
  <c r="AW56" i="73"/>
  <c r="I56" i="73" s="1"/>
  <c r="AW35" i="73"/>
  <c r="I35" i="73" s="1"/>
  <c r="AD35" i="73"/>
  <c r="M42" i="73" l="1"/>
  <c r="J42" i="73"/>
  <c r="L42" i="73" s="1"/>
  <c r="K42" i="73"/>
  <c r="J39" i="73"/>
  <c r="M39" i="73"/>
  <c r="K39" i="73"/>
  <c r="I36" i="73"/>
  <c r="M36" i="73" s="1"/>
  <c r="J41" i="73"/>
  <c r="L41" i="73" s="1"/>
  <c r="M41" i="73"/>
  <c r="K41" i="73"/>
  <c r="J40" i="73"/>
  <c r="L40" i="73" s="1"/>
  <c r="K40" i="73"/>
  <c r="M40" i="73"/>
  <c r="AX39" i="73"/>
  <c r="AD36" i="73"/>
  <c r="AX36" i="73" s="1"/>
  <c r="M43" i="73"/>
  <c r="K43" i="73"/>
  <c r="J43" i="73"/>
  <c r="L43" i="73" s="1"/>
  <c r="AW61" i="73"/>
  <c r="I61" i="73" s="1"/>
  <c r="AD61" i="73"/>
  <c r="AX61" i="73" s="1"/>
  <c r="AD57" i="73"/>
  <c r="AX57" i="73" s="1"/>
  <c r="AW57" i="73"/>
  <c r="I57" i="73" s="1"/>
  <c r="K56" i="73"/>
  <c r="M56" i="73"/>
  <c r="J56" i="73"/>
  <c r="L56" i="73" s="1"/>
  <c r="AX35" i="73"/>
  <c r="K35" i="73"/>
  <c r="J35" i="73"/>
  <c r="M35" i="73"/>
  <c r="K36" i="73" l="1"/>
  <c r="L39" i="73"/>
  <c r="L36" i="73" s="1"/>
  <c r="J36" i="73"/>
  <c r="K61" i="73"/>
  <c r="J61" i="73"/>
  <c r="L61" i="73" s="1"/>
  <c r="M61" i="73"/>
  <c r="J57" i="73"/>
  <c r="L57" i="73" s="1"/>
  <c r="M57" i="73"/>
  <c r="K57" i="73"/>
  <c r="L35" i="73"/>
  <c r="AC33" i="73" l="1"/>
  <c r="AC34" i="73"/>
  <c r="AW34" i="73" l="1"/>
  <c r="I34" i="73" s="1"/>
  <c r="AD34" i="73"/>
  <c r="AX34" i="73" s="1"/>
  <c r="AD33" i="73"/>
  <c r="AW33" i="73"/>
  <c r="I33" i="73" s="1"/>
  <c r="AC30" i="73"/>
  <c r="K34" i="73" l="1"/>
  <c r="J34" i="73"/>
  <c r="L34" i="73" s="1"/>
  <c r="M34" i="73"/>
  <c r="J33" i="73"/>
  <c r="M33" i="73"/>
  <c r="K33" i="73"/>
  <c r="I30" i="73"/>
  <c r="AW30" i="73"/>
  <c r="AX33" i="73"/>
  <c r="AD30" i="73"/>
  <c r="K30" i="73" l="1"/>
  <c r="M30" i="73"/>
  <c r="L33" i="73"/>
  <c r="L30" i="73" s="1"/>
  <c r="J30" i="73"/>
  <c r="AX30" i="73"/>
  <c r="AC54" i="73" l="1"/>
  <c r="AC55" i="73"/>
  <c r="AW54" i="73" l="1"/>
  <c r="I54" i="73" s="1"/>
  <c r="AD54" i="73"/>
  <c r="AX54" i="73" s="1"/>
  <c r="AD55" i="73"/>
  <c r="AW55" i="73"/>
  <c r="I55" i="73" s="1"/>
  <c r="AC44" i="73"/>
  <c r="M54" i="73" l="1"/>
  <c r="K54" i="73"/>
  <c r="J54" i="73"/>
  <c r="L54" i="73" s="1"/>
  <c r="J55" i="73"/>
  <c r="M55" i="73"/>
  <c r="K55" i="73"/>
  <c r="I44" i="73"/>
  <c r="AX55" i="73"/>
  <c r="AD44" i="73"/>
  <c r="AW44" i="73"/>
  <c r="AC9" i="73"/>
  <c r="K44" i="73" l="1"/>
  <c r="K9" i="73" s="1"/>
  <c r="K70" i="73" s="1"/>
  <c r="AX44" i="73"/>
  <c r="AD9" i="73"/>
  <c r="M44" i="73"/>
  <c r="I9" i="73"/>
  <c r="AC70" i="73"/>
  <c r="AW70" i="73" s="1"/>
  <c r="AW9" i="73"/>
  <c r="L55" i="73"/>
  <c r="L44" i="73" s="1"/>
  <c r="L9" i="73" s="1"/>
  <c r="J44" i="73"/>
  <c r="J9" i="73" s="1"/>
  <c r="AD70" i="73" l="1"/>
  <c r="AX70" i="73" s="1"/>
  <c r="AX9" i="73"/>
  <c r="M9" i="73"/>
  <c r="I70" i="73"/>
  <c r="M70" i="73" s="1"/>
  <c r="AE12" i="75" l="1"/>
  <c r="AE13" i="75"/>
  <c r="AE15" i="75"/>
  <c r="AE16" i="75"/>
  <c r="AE19" i="75"/>
  <c r="AE20" i="75"/>
  <c r="AE21" i="75"/>
  <c r="AE22" i="75"/>
  <c r="AE25" i="75"/>
  <c r="AE29" i="75"/>
  <c r="AE35" i="75"/>
  <c r="AE39" i="75"/>
  <c r="AE40" i="75"/>
  <c r="AE41" i="75"/>
  <c r="AE42" i="75"/>
  <c r="AE43" i="75"/>
  <c r="AE47" i="75"/>
  <c r="AE48" i="75"/>
  <c r="AE49" i="75"/>
  <c r="AE50" i="75"/>
  <c r="AE51" i="75"/>
  <c r="AE52" i="75"/>
  <c r="AE53" i="75"/>
  <c r="AE54" i="75"/>
  <c r="AE55" i="75"/>
  <c r="AE56" i="75"/>
  <c r="AE58" i="75"/>
  <c r="AE59" i="75"/>
  <c r="AE60" i="75"/>
  <c r="AE61" i="75"/>
  <c r="AE62" i="75"/>
  <c r="AE63" i="75"/>
  <c r="AE64" i="75"/>
  <c r="AE65" i="75"/>
  <c r="AE66" i="75"/>
  <c r="AE68" i="75"/>
  <c r="AW68" i="75" s="1"/>
  <c r="I68" i="75" s="1"/>
  <c r="AE57" i="75"/>
  <c r="AE69" i="75"/>
  <c r="AW69" i="75" s="1"/>
  <c r="I69" i="75" s="1"/>
  <c r="AE24" i="75" l="1"/>
  <c r="AE27" i="75"/>
  <c r="K69" i="75"/>
  <c r="M69" i="75"/>
  <c r="K68" i="75"/>
  <c r="M68" i="75"/>
  <c r="AF24" i="75"/>
  <c r="AX24" i="75" s="1"/>
  <c r="AW24" i="75"/>
  <c r="I24" i="75" s="1"/>
  <c r="AF12" i="75"/>
  <c r="AW12" i="75"/>
  <c r="I12" i="75" s="1"/>
  <c r="AF55" i="75"/>
  <c r="AX55" i="75" s="1"/>
  <c r="AW55" i="75"/>
  <c r="I55" i="75" s="1"/>
  <c r="AF54" i="75"/>
  <c r="AX54" i="75" s="1"/>
  <c r="AW54" i="75"/>
  <c r="I54" i="75" s="1"/>
  <c r="AF43" i="75"/>
  <c r="AX43" i="75" s="1"/>
  <c r="AW43" i="75"/>
  <c r="I43" i="75" s="1"/>
  <c r="AF42" i="75"/>
  <c r="AX42" i="75" s="1"/>
  <c r="AW42" i="75"/>
  <c r="I42" i="75" s="1"/>
  <c r="AF41" i="75"/>
  <c r="AX41" i="75" s="1"/>
  <c r="AW41" i="75"/>
  <c r="I41" i="75" s="1"/>
  <c r="AF40" i="75"/>
  <c r="AX40" i="75" s="1"/>
  <c r="AW40" i="75"/>
  <c r="I40" i="75" s="1"/>
  <c r="AF39" i="75"/>
  <c r="AE36" i="75"/>
  <c r="AW36" i="75" s="1"/>
  <c r="AW39" i="75"/>
  <c r="I39" i="75" s="1"/>
  <c r="AF35" i="75"/>
  <c r="AX35" i="75" s="1"/>
  <c r="AW35" i="75"/>
  <c r="I35" i="75" s="1"/>
  <c r="AF21" i="75"/>
  <c r="AX21" i="75" s="1"/>
  <c r="AW21" i="75"/>
  <c r="I21" i="75" s="1"/>
  <c r="AF20" i="75"/>
  <c r="AX20" i="75" s="1"/>
  <c r="AW20" i="75"/>
  <c r="I20" i="75" s="1"/>
  <c r="AF19" i="75"/>
  <c r="AX19" i="75" s="1"/>
  <c r="AW19" i="75"/>
  <c r="I19" i="75" s="1"/>
  <c r="AF25" i="75"/>
  <c r="AX25" i="75" s="1"/>
  <c r="AW25" i="75"/>
  <c r="I25" i="75" s="1"/>
  <c r="AF57" i="75"/>
  <c r="AX57" i="75" s="1"/>
  <c r="AW57" i="75"/>
  <c r="I57" i="75" s="1"/>
  <c r="AF65" i="75"/>
  <c r="AX65" i="75" s="1"/>
  <c r="AW65" i="75"/>
  <c r="I65" i="75" s="1"/>
  <c r="AF63" i="75"/>
  <c r="AX63" i="75" s="1"/>
  <c r="AW63" i="75"/>
  <c r="I63" i="75" s="1"/>
  <c r="AF61" i="75"/>
  <c r="AX61" i="75" s="1"/>
  <c r="AW61" i="75"/>
  <c r="I61" i="75" s="1"/>
  <c r="AF60" i="75"/>
  <c r="AX60" i="75" s="1"/>
  <c r="AW60" i="75"/>
  <c r="I60" i="75" s="1"/>
  <c r="AF59" i="75"/>
  <c r="AX59" i="75" s="1"/>
  <c r="AW59" i="75"/>
  <c r="I59" i="75" s="1"/>
  <c r="AF58" i="75"/>
  <c r="AX58" i="75" s="1"/>
  <c r="AW58" i="75"/>
  <c r="I58" i="75" s="1"/>
  <c r="AF56" i="75"/>
  <c r="AX56" i="75" s="1"/>
  <c r="AW56" i="75"/>
  <c r="I56" i="75" s="1"/>
  <c r="AF53" i="75"/>
  <c r="AX53" i="75" s="1"/>
  <c r="AW53" i="75"/>
  <c r="I53" i="75" s="1"/>
  <c r="AF52" i="75"/>
  <c r="AX52" i="75" s="1"/>
  <c r="AW52" i="75"/>
  <c r="I52" i="75" s="1"/>
  <c r="AF51" i="75"/>
  <c r="AX51" i="75" s="1"/>
  <c r="AW51" i="75"/>
  <c r="I51" i="75" s="1"/>
  <c r="AF50" i="75"/>
  <c r="AX50" i="75" s="1"/>
  <c r="AW50" i="75"/>
  <c r="I50" i="75" s="1"/>
  <c r="AF49" i="75"/>
  <c r="AX49" i="75" s="1"/>
  <c r="AW49" i="75"/>
  <c r="I49" i="75" s="1"/>
  <c r="AF48" i="75"/>
  <c r="AX48" i="75" s="1"/>
  <c r="AW48" i="75"/>
  <c r="I48" i="75" s="1"/>
  <c r="AF47" i="75"/>
  <c r="AW47" i="75"/>
  <c r="I47" i="75" s="1"/>
  <c r="AE44" i="75"/>
  <c r="AW44" i="75" s="1"/>
  <c r="AE28" i="75"/>
  <c r="AF62" i="75"/>
  <c r="AX62" i="75" s="1"/>
  <c r="AW62" i="75"/>
  <c r="I62" i="75" s="1"/>
  <c r="AF66" i="75"/>
  <c r="AX66" i="75" s="1"/>
  <c r="AW66" i="75"/>
  <c r="I66" i="75" s="1"/>
  <c r="AF64" i="75"/>
  <c r="AX64" i="75" s="1"/>
  <c r="AW64" i="75"/>
  <c r="I64" i="75" s="1"/>
  <c r="AF29" i="75"/>
  <c r="AX29" i="75" s="1"/>
  <c r="AW29" i="75"/>
  <c r="I29" i="75" s="1"/>
  <c r="AF22" i="75"/>
  <c r="AX22" i="75" s="1"/>
  <c r="AW22" i="75"/>
  <c r="I22" i="75" s="1"/>
  <c r="AF16" i="75"/>
  <c r="AX16" i="75" s="1"/>
  <c r="AW16" i="75"/>
  <c r="I16" i="75" s="1"/>
  <c r="AF15" i="75"/>
  <c r="AX15" i="75" s="1"/>
  <c r="AW15" i="75"/>
  <c r="I15" i="75" s="1"/>
  <c r="AF13" i="75"/>
  <c r="AX13" i="75" s="1"/>
  <c r="AW13" i="75"/>
  <c r="I13" i="75" s="1"/>
  <c r="AE34" i="75"/>
  <c r="AE33" i="75"/>
  <c r="AF27" i="75" l="1"/>
  <c r="AX27" i="75" s="1"/>
  <c r="AW27" i="75"/>
  <c r="I27" i="75" s="1"/>
  <c r="J15" i="75"/>
  <c r="L15" i="75" s="1"/>
  <c r="M15" i="75"/>
  <c r="K15" i="75"/>
  <c r="K29" i="75"/>
  <c r="J29" i="75"/>
  <c r="L29" i="75" s="1"/>
  <c r="J40" i="75"/>
  <c r="L40" i="75" s="1"/>
  <c r="K40" i="75"/>
  <c r="M40" i="75"/>
  <c r="K43" i="75"/>
  <c r="J43" i="75"/>
  <c r="L43" i="75" s="1"/>
  <c r="M43" i="75"/>
  <c r="M12" i="75"/>
  <c r="K12" i="75"/>
  <c r="J12" i="75"/>
  <c r="AF28" i="75"/>
  <c r="AW28" i="75"/>
  <c r="I28" i="75" s="1"/>
  <c r="K49" i="75"/>
  <c r="J49" i="75"/>
  <c r="L49" i="75" s="1"/>
  <c r="M49" i="75"/>
  <c r="K52" i="75"/>
  <c r="J52" i="75"/>
  <c r="L52" i="75" s="1"/>
  <c r="M52" i="75"/>
  <c r="K58" i="75"/>
  <c r="J58" i="75"/>
  <c r="L58" i="75" s="1"/>
  <c r="M61" i="75"/>
  <c r="K61" i="75"/>
  <c r="J61" i="75"/>
  <c r="L61" i="75" s="1"/>
  <c r="K57" i="75"/>
  <c r="J57" i="75"/>
  <c r="L57" i="75" s="1"/>
  <c r="M57" i="75"/>
  <c r="J19" i="75"/>
  <c r="L19" i="75" s="1"/>
  <c r="K19" i="75"/>
  <c r="M35" i="75"/>
  <c r="J35" i="75"/>
  <c r="L35" i="75" s="1"/>
  <c r="K35" i="75"/>
  <c r="AE10" i="75"/>
  <c r="AW10" i="75" s="1"/>
  <c r="K62" i="75"/>
  <c r="J62" i="75"/>
  <c r="L62" i="75" s="1"/>
  <c r="M62" i="75"/>
  <c r="K41" i="75"/>
  <c r="J41" i="75"/>
  <c r="L41" i="75" s="1"/>
  <c r="M41" i="75"/>
  <c r="K54" i="75"/>
  <c r="M54" i="75"/>
  <c r="J54" i="75"/>
  <c r="L54" i="75" s="1"/>
  <c r="AX12" i="75"/>
  <c r="K24" i="75"/>
  <c r="J24" i="75"/>
  <c r="L24" i="75" s="1"/>
  <c r="M24" i="75"/>
  <c r="M16" i="75"/>
  <c r="K16" i="75"/>
  <c r="J16" i="75"/>
  <c r="L16" i="75" s="1"/>
  <c r="I44" i="75"/>
  <c r="M44" i="75" s="1"/>
  <c r="K47" i="75"/>
  <c r="J47" i="75"/>
  <c r="M47" i="75"/>
  <c r="M50" i="75"/>
  <c r="J50" i="75"/>
  <c r="L50" i="75" s="1"/>
  <c r="K50" i="75"/>
  <c r="J53" i="75"/>
  <c r="L53" i="75" s="1"/>
  <c r="M53" i="75"/>
  <c r="K53" i="75"/>
  <c r="M59" i="75"/>
  <c r="K59" i="75"/>
  <c r="J59" i="75"/>
  <c r="L59" i="75" s="1"/>
  <c r="J63" i="75"/>
  <c r="L63" i="75" s="1"/>
  <c r="K63" i="75"/>
  <c r="M25" i="75"/>
  <c r="K25" i="75"/>
  <c r="J25" i="75"/>
  <c r="L25" i="75" s="1"/>
  <c r="K20" i="75"/>
  <c r="J20" i="75"/>
  <c r="L20" i="75" s="1"/>
  <c r="J39" i="75"/>
  <c r="M39" i="75"/>
  <c r="K39" i="75"/>
  <c r="I36" i="75"/>
  <c r="M36" i="75" s="1"/>
  <c r="M64" i="75"/>
  <c r="J64" i="75"/>
  <c r="L64" i="75" s="1"/>
  <c r="K64" i="75"/>
  <c r="K22" i="75"/>
  <c r="M22" i="75"/>
  <c r="J22" i="75"/>
  <c r="L22" i="75" s="1"/>
  <c r="J66" i="75"/>
  <c r="L66" i="75" s="1"/>
  <c r="M66" i="75"/>
  <c r="K66" i="75"/>
  <c r="AF44" i="75"/>
  <c r="AX44" i="75" s="1"/>
  <c r="AX47" i="75"/>
  <c r="K42" i="75"/>
  <c r="J42" i="75"/>
  <c r="L42" i="75" s="1"/>
  <c r="M42" i="75"/>
  <c r="K55" i="75"/>
  <c r="J55" i="75"/>
  <c r="L55" i="75" s="1"/>
  <c r="M55" i="75"/>
  <c r="K13" i="75"/>
  <c r="J13" i="75"/>
  <c r="L13" i="75" s="1"/>
  <c r="M13" i="75"/>
  <c r="M48" i="75"/>
  <c r="K48" i="75"/>
  <c r="J48" i="75"/>
  <c r="L48" i="75" s="1"/>
  <c r="J51" i="75"/>
  <c r="L51" i="75" s="1"/>
  <c r="K51" i="75"/>
  <c r="M51" i="75"/>
  <c r="M56" i="75"/>
  <c r="J56" i="75"/>
  <c r="L56" i="75" s="1"/>
  <c r="K56" i="75"/>
  <c r="M60" i="75"/>
  <c r="J60" i="75"/>
  <c r="L60" i="75" s="1"/>
  <c r="K60" i="75"/>
  <c r="M65" i="75"/>
  <c r="J65" i="75"/>
  <c r="L65" i="75" s="1"/>
  <c r="K65" i="75"/>
  <c r="J21" i="75"/>
  <c r="L21" i="75" s="1"/>
  <c r="K21" i="75"/>
  <c r="AF36" i="75"/>
  <c r="AX36" i="75" s="1"/>
  <c r="AX39" i="75"/>
  <c r="AF34" i="75"/>
  <c r="AX34" i="75" s="1"/>
  <c r="AW34" i="75"/>
  <c r="I34" i="75" s="1"/>
  <c r="AF33" i="75"/>
  <c r="AE30" i="75"/>
  <c r="AW33" i="75"/>
  <c r="I33" i="75" s="1"/>
  <c r="AX28" i="75" l="1"/>
  <c r="AF10" i="75"/>
  <c r="AX10" i="75" s="1"/>
  <c r="M27" i="75"/>
  <c r="J27" i="75"/>
  <c r="L27" i="75" s="1"/>
  <c r="K27" i="75"/>
  <c r="K36" i="75"/>
  <c r="M28" i="75"/>
  <c r="K28" i="75"/>
  <c r="J28" i="75"/>
  <c r="L28" i="75" s="1"/>
  <c r="J36" i="75"/>
  <c r="L39" i="75"/>
  <c r="L36" i="75" s="1"/>
  <c r="L47" i="75"/>
  <c r="L44" i="75" s="1"/>
  <c r="J44" i="75"/>
  <c r="L12" i="75"/>
  <c r="K44" i="75"/>
  <c r="I10" i="75"/>
  <c r="M10" i="75" s="1"/>
  <c r="J34" i="75"/>
  <c r="L34" i="75" s="1"/>
  <c r="K34" i="75"/>
  <c r="M34" i="75"/>
  <c r="AE9" i="75"/>
  <c r="AW30" i="75"/>
  <c r="K33" i="75"/>
  <c r="J33" i="75"/>
  <c r="I30" i="75"/>
  <c r="M33" i="75"/>
  <c r="AF30" i="75"/>
  <c r="AX33" i="75"/>
  <c r="K10" i="75" l="1"/>
  <c r="J10" i="75"/>
  <c r="L10" i="75"/>
  <c r="K30" i="75"/>
  <c r="AE70" i="75"/>
  <c r="AW70" i="75" s="1"/>
  <c r="AW9" i="75"/>
  <c r="M30" i="75"/>
  <c r="I9" i="75"/>
  <c r="L33" i="75"/>
  <c r="L30" i="75" s="1"/>
  <c r="J30" i="75"/>
  <c r="AF9" i="75"/>
  <c r="AX30" i="75"/>
  <c r="K9" i="75" l="1"/>
  <c r="K70" i="75" s="1"/>
  <c r="J9" i="75"/>
  <c r="L9" i="75"/>
  <c r="AF70" i="75"/>
  <c r="AX70" i="75" s="1"/>
  <c r="AX9" i="75"/>
  <c r="I70" i="75"/>
  <c r="M70" i="75" s="1"/>
  <c r="M9" i="75"/>
  <c r="AG16" i="77"/>
  <c r="AG39" i="77"/>
  <c r="AG54" i="77"/>
  <c r="AG55" i="77"/>
  <c r="AG57" i="77" l="1"/>
  <c r="AH57" i="77" s="1"/>
  <c r="AX57" i="77" s="1"/>
  <c r="AH55" i="77"/>
  <c r="AX55" i="77" s="1"/>
  <c r="AW55" i="77"/>
  <c r="I55" i="77" s="1"/>
  <c r="AG61" i="77"/>
  <c r="AG56" i="77"/>
  <c r="AH54" i="77"/>
  <c r="AX54" i="77" s="1"/>
  <c r="AW54" i="77"/>
  <c r="I54" i="77" s="1"/>
  <c r="AG35" i="77"/>
  <c r="AG63" i="77"/>
  <c r="AG28" i="77"/>
  <c r="AG27" i="77"/>
  <c r="AG40" i="77"/>
  <c r="AW40" i="77" s="1"/>
  <c r="I40" i="77" s="1"/>
  <c r="AH16" i="77"/>
  <c r="AX16" i="77" s="1"/>
  <c r="AW16" i="77"/>
  <c r="I16" i="77" s="1"/>
  <c r="AG15" i="77"/>
  <c r="AG25" i="77"/>
  <c r="AH25" i="77" s="1"/>
  <c r="AX25" i="77" s="1"/>
  <c r="AH39" i="77"/>
  <c r="AW39" i="77"/>
  <c r="I39" i="77" s="1"/>
  <c r="AG69" i="77"/>
  <c r="AW57" i="77" l="1"/>
  <c r="I57" i="77" s="1"/>
  <c r="M55" i="77"/>
  <c r="J55" i="77"/>
  <c r="L55" i="77" s="1"/>
  <c r="K55" i="77"/>
  <c r="AH61" i="77"/>
  <c r="AX61" i="77" s="1"/>
  <c r="AW61" i="77"/>
  <c r="I61" i="77" s="1"/>
  <c r="AH56" i="77"/>
  <c r="AX56" i="77" s="1"/>
  <c r="AW56" i="77"/>
  <c r="I56" i="77" s="1"/>
  <c r="K54" i="77"/>
  <c r="M54" i="77"/>
  <c r="J54" i="77"/>
  <c r="L54" i="77" s="1"/>
  <c r="AH35" i="77"/>
  <c r="AG30" i="77"/>
  <c r="AW30" i="77" s="1"/>
  <c r="AW35" i="77"/>
  <c r="I35" i="77" s="1"/>
  <c r="AH63" i="77"/>
  <c r="AW63" i="77"/>
  <c r="I63" i="77" s="1"/>
  <c r="AG44" i="77"/>
  <c r="AW44" i="77" s="1"/>
  <c r="AH28" i="77"/>
  <c r="AX28" i="77" s="1"/>
  <c r="AW28" i="77"/>
  <c r="I28" i="77" s="1"/>
  <c r="AH27" i="77"/>
  <c r="AX27" i="77" s="1"/>
  <c r="AW27" i="77"/>
  <c r="I27" i="77" s="1"/>
  <c r="AW25" i="77"/>
  <c r="I25" i="77" s="1"/>
  <c r="K25" i="77" s="1"/>
  <c r="AH40" i="77"/>
  <c r="AX40" i="77" s="1"/>
  <c r="K16" i="77"/>
  <c r="J16" i="77"/>
  <c r="L16" i="77" s="1"/>
  <c r="M16" i="77"/>
  <c r="AH15" i="77"/>
  <c r="AX15" i="77" s="1"/>
  <c r="AW15" i="77"/>
  <c r="I15" i="77" s="1"/>
  <c r="M40" i="77"/>
  <c r="K40" i="77"/>
  <c r="J40" i="77"/>
  <c r="L40" i="77" s="1"/>
  <c r="K39" i="77"/>
  <c r="J39" i="77"/>
  <c r="M39" i="77"/>
  <c r="AX39" i="77"/>
  <c r="AW69" i="77"/>
  <c r="I69" i="77" s="1"/>
  <c r="K57" i="77" l="1"/>
  <c r="M57" i="77"/>
  <c r="J57" i="77"/>
  <c r="L57" i="77" s="1"/>
  <c r="M61" i="77"/>
  <c r="K61" i="77"/>
  <c r="J61" i="77"/>
  <c r="L61" i="77" s="1"/>
  <c r="M56" i="77"/>
  <c r="J56" i="77"/>
  <c r="L56" i="77" s="1"/>
  <c r="K56" i="77"/>
  <c r="I30" i="77"/>
  <c r="M30" i="77" s="1"/>
  <c r="J35" i="77"/>
  <c r="K35" i="77"/>
  <c r="K30" i="77" s="1"/>
  <c r="M35" i="77"/>
  <c r="AX35" i="77"/>
  <c r="AH30" i="77"/>
  <c r="AX30" i="77" s="1"/>
  <c r="K63" i="77"/>
  <c r="J63" i="77"/>
  <c r="I44" i="77"/>
  <c r="M44" i="77" s="1"/>
  <c r="AH44" i="77"/>
  <c r="AX44" i="77" s="1"/>
  <c r="AX63" i="77"/>
  <c r="M28" i="77"/>
  <c r="K28" i="77"/>
  <c r="J28" i="77"/>
  <c r="L28" i="77" s="1"/>
  <c r="J25" i="77"/>
  <c r="L25" i="77" s="1"/>
  <c r="M25" i="77"/>
  <c r="K27" i="77"/>
  <c r="J27" i="77"/>
  <c r="L27" i="77" s="1"/>
  <c r="M27" i="77"/>
  <c r="J15" i="77"/>
  <c r="L15" i="77" s="1"/>
  <c r="M15" i="77"/>
  <c r="K15" i="77"/>
  <c r="L39" i="77"/>
  <c r="K69" i="77"/>
  <c r="M69" i="77"/>
  <c r="K44" i="77" l="1"/>
  <c r="L35" i="77"/>
  <c r="L30" i="77" s="1"/>
  <c r="J30" i="77"/>
  <c r="L63" i="77"/>
  <c r="L44" i="77" s="1"/>
  <c r="J44" i="77"/>
  <c r="AG43" i="77" l="1"/>
  <c r="AG42" i="77"/>
  <c r="AG24" i="77" l="1"/>
  <c r="AH43" i="77"/>
  <c r="AX43" i="77" s="1"/>
  <c r="AW43" i="77"/>
  <c r="I43" i="77" s="1"/>
  <c r="AH42" i="77"/>
  <c r="AX42" i="77" s="1"/>
  <c r="AW42" i="77"/>
  <c r="I42" i="77" s="1"/>
  <c r="AG41" i="77"/>
  <c r="AG22" i="77"/>
  <c r="AG13" i="77"/>
  <c r="AG12" i="77"/>
  <c r="AW24" i="77" l="1"/>
  <c r="I24" i="77" s="1"/>
  <c r="K24" i="77" s="1"/>
  <c r="AH24" i="77"/>
  <c r="AX24" i="77" s="1"/>
  <c r="M43" i="77"/>
  <c r="K43" i="77"/>
  <c r="J43" i="77"/>
  <c r="L43" i="77" s="1"/>
  <c r="K42" i="77"/>
  <c r="J42" i="77"/>
  <c r="L42" i="77" s="1"/>
  <c r="M42" i="77"/>
  <c r="AG36" i="77"/>
  <c r="AW36" i="77" s="1"/>
  <c r="AH41" i="77"/>
  <c r="AW41" i="77"/>
  <c r="I41" i="77" s="1"/>
  <c r="AH22" i="77"/>
  <c r="AX22" i="77" s="1"/>
  <c r="AW22" i="77"/>
  <c r="I22" i="77" s="1"/>
  <c r="AH13" i="77"/>
  <c r="AX13" i="77" s="1"/>
  <c r="AW13" i="77"/>
  <c r="I13" i="77" s="1"/>
  <c r="AH12" i="77"/>
  <c r="AW12" i="77"/>
  <c r="I12" i="77" s="1"/>
  <c r="AG10" i="77"/>
  <c r="M24" i="77" l="1"/>
  <c r="J24" i="77"/>
  <c r="L24" i="77" s="1"/>
  <c r="J41" i="77"/>
  <c r="M41" i="77"/>
  <c r="K41" i="77"/>
  <c r="K36" i="77" s="1"/>
  <c r="I36" i="77"/>
  <c r="M36" i="77" s="1"/>
  <c r="AX41" i="77"/>
  <c r="AH36" i="77"/>
  <c r="AX36" i="77" s="1"/>
  <c r="J22" i="77"/>
  <c r="L22" i="77" s="1"/>
  <c r="K22" i="77"/>
  <c r="M22" i="77"/>
  <c r="K13" i="77"/>
  <c r="M13" i="77"/>
  <c r="J13" i="77"/>
  <c r="L13" i="77" s="1"/>
  <c r="AW10" i="77"/>
  <c r="AG9" i="77"/>
  <c r="M12" i="77"/>
  <c r="K12" i="77"/>
  <c r="J12" i="77"/>
  <c r="I10" i="77"/>
  <c r="AX12" i="77"/>
  <c r="AH10" i="77"/>
  <c r="K10" i="77" l="1"/>
  <c r="K9" i="77" s="1"/>
  <c r="K70" i="77" s="1"/>
  <c r="L41" i="77"/>
  <c r="L36" i="77" s="1"/>
  <c r="J36" i="77"/>
  <c r="M10" i="77"/>
  <c r="I9" i="77"/>
  <c r="L12" i="77"/>
  <c r="L10" i="77" s="1"/>
  <c r="J10" i="77"/>
  <c r="AH9" i="77"/>
  <c r="AX10" i="77"/>
  <c r="AW9" i="77"/>
  <c r="AG70" i="77"/>
  <c r="AW70" i="77" s="1"/>
  <c r="L9" i="77" l="1"/>
  <c r="J9" i="77"/>
  <c r="I70" i="77"/>
  <c r="M70" i="77" s="1"/>
  <c r="M9" i="77"/>
  <c r="AX9" i="77"/>
  <c r="AH70" i="77"/>
  <c r="AX70" i="77" s="1"/>
</calcChain>
</file>

<file path=xl/sharedStrings.xml><?xml version="1.0" encoding="utf-8"?>
<sst xmlns="http://schemas.openxmlformats.org/spreadsheetml/2006/main" count="4290" uniqueCount="257">
  <si>
    <t>RENCANA</t>
  </si>
  <si>
    <t>REALISASI</t>
  </si>
  <si>
    <t>SELISIH  KURANG  /  LEBIH</t>
  </si>
  <si>
    <t>JUMLAH</t>
  </si>
  <si>
    <t>U  R  A  I  A  N</t>
  </si>
  <si>
    <t>( Rp. )</t>
  </si>
  <si>
    <t>%</t>
  </si>
  <si>
    <t>A</t>
  </si>
  <si>
    <t>Volume</t>
  </si>
  <si>
    <t xml:space="preserve"> Pendapatan dari Badan Layanan Usaha Daerah Pengelolaan Kawasan dan Rekreasi</t>
  </si>
  <si>
    <t>KODE REKENING</t>
  </si>
  <si>
    <t>Dewasa</t>
  </si>
  <si>
    <t>Anak</t>
  </si>
  <si>
    <t>B</t>
  </si>
  <si>
    <t>Pemakaian Fasilitas Taman Margasatwa Ragunan :</t>
  </si>
  <si>
    <t>Pelayanan masuk tempat rekreasi Taman Margasatwa Ragunan :</t>
  </si>
  <si>
    <t>Canopy Bridge/Jembatan Kanopi</t>
  </si>
  <si>
    <t>C</t>
  </si>
  <si>
    <t>D</t>
  </si>
  <si>
    <t>UNIT PENGELOLA TAMAN MARGASATWA RAGUNAN PROVINSI DKI  JAKARTA</t>
  </si>
  <si>
    <t>Unit Pengelola  Taman Margasatwa  Ragunan</t>
  </si>
  <si>
    <t>1.</t>
  </si>
  <si>
    <t xml:space="preserve">Mencocokan </t>
  </si>
  <si>
    <t>2.</t>
  </si>
  <si>
    <t>3.</t>
  </si>
  <si>
    <t>4.</t>
  </si>
  <si>
    <t>Pencatatan  STSU kedalam buku</t>
  </si>
  <si>
    <t>5.</t>
  </si>
  <si>
    <t>Membuat data pendapatan dan pengunjung</t>
  </si>
  <si>
    <t>6.</t>
  </si>
  <si>
    <t>Membuat realisasi Pendapatan</t>
  </si>
  <si>
    <t>7.</t>
  </si>
  <si>
    <t>Membuat PKS Event Promo</t>
  </si>
  <si>
    <t>9.</t>
  </si>
  <si>
    <t>Membuat data rekon E-Ticketing</t>
  </si>
  <si>
    <t>10.</t>
  </si>
  <si>
    <t>Membuat Opname karcis</t>
  </si>
  <si>
    <t>11.</t>
  </si>
  <si>
    <t>12.</t>
  </si>
  <si>
    <t>Membuat daftar pembayaran pemakain sewa tempat melalui transfer</t>
  </si>
  <si>
    <t>Pencatatan STSU kedalam Tabelaris dan merekapitulasi</t>
  </si>
  <si>
    <t>13.</t>
  </si>
  <si>
    <t>14.</t>
  </si>
  <si>
    <t xml:space="preserve">Menerima surat dari TU </t>
  </si>
  <si>
    <t>Menerima tamu untuk survey dll</t>
  </si>
  <si>
    <t>16.</t>
  </si>
  <si>
    <t>Membuat daftar Pemandu dan Promo</t>
  </si>
  <si>
    <t>17.</t>
  </si>
  <si>
    <t>Membuat STSU pendapatan E-ticketing, Non E-Ticketing dan pendapatan lain2</t>
  </si>
  <si>
    <t>Membuat Setor uang Kartu</t>
  </si>
  <si>
    <t>TARIF</t>
  </si>
  <si>
    <t>Tentang</t>
  </si>
  <si>
    <t>Menerima telpon</t>
  </si>
  <si>
    <t>Dinas Pertamanan dan Hutan Kota</t>
  </si>
  <si>
    <t>Provinsi DKI Jakarta,</t>
  </si>
  <si>
    <t>DINAS PERTAMANAN DAN HUTAN KOTA PROVINSI DKI JAKARTA</t>
  </si>
  <si>
    <t>Kuda  Tunggang</t>
  </si>
  <si>
    <t>Unta  Tunggang</t>
  </si>
  <si>
    <t>Gajah  Tunggang</t>
  </si>
  <si>
    <t xml:space="preserve">Taman  Satwa  Anak  </t>
  </si>
  <si>
    <t>Video Clip</t>
  </si>
  <si>
    <t>4.1.04.16.04.0001</t>
  </si>
  <si>
    <t>4.1.04.16.06.0006</t>
  </si>
  <si>
    <t>4.1.04.16.06.0001</t>
  </si>
  <si>
    <t>Pendapatan BLUD dari Pengembangan Usaha</t>
  </si>
  <si>
    <t>Pendapatan  BLUD dari Jasa Giro</t>
  </si>
  <si>
    <t>Pendapatan BLUD Taman Margasatwa Ragunan dari Hasil Kerjasama dengan Pihak Lain</t>
  </si>
  <si>
    <t>Pendapatan BLUD dari Jasa Layanan</t>
  </si>
  <si>
    <t>Pendapatan BLUD dari Hasil Kerjasama dengan Pihak Lain</t>
  </si>
  <si>
    <t xml:space="preserve"> </t>
  </si>
  <si>
    <t xml:space="preserve">                              JUMLAH  PENDAPATAN BLUD</t>
  </si>
  <si>
    <t>4.1.02.02.09.0001</t>
  </si>
  <si>
    <t>KODE OBJEK</t>
  </si>
  <si>
    <t>2.7.9.1</t>
  </si>
  <si>
    <t>2.7.9.2</t>
  </si>
  <si>
    <t>Rombongan pelajar/mahasiswa/panti sosial paling sedikit 40 (empat puluh) orang dikenakan tarif 75% (tujuh puluh lima persen) dari tarif yang berlaku, dengan rincian sebagai berikut:</t>
  </si>
  <si>
    <t>2.7.9.3.1</t>
  </si>
  <si>
    <t>2.7.9.3.2</t>
  </si>
  <si>
    <t>2.7.10.1</t>
  </si>
  <si>
    <t>Pemakaian Fasilitas Wahana/Fauna:</t>
  </si>
  <si>
    <t>2.7.10.1.1</t>
  </si>
  <si>
    <t>2.7.10.1.2</t>
  </si>
  <si>
    <t>2.7.10.1.3</t>
  </si>
  <si>
    <t>2.7.10.1.4</t>
  </si>
  <si>
    <t xml:space="preserve">2.7.9.3 </t>
  </si>
  <si>
    <t>2.7.10.2</t>
  </si>
  <si>
    <t>Masuk Pusat Primata Schmutzer:</t>
  </si>
  <si>
    <t>2.7.10.2.1</t>
  </si>
  <si>
    <t>Hari Senin s.d Jumat Dewasa/Anak (3&gt; Tahun)</t>
  </si>
  <si>
    <t>2.7.10.2.2</t>
  </si>
  <si>
    <t>Hari Sabtu s.d. Minggu/Libur Nasional Dewasa/Anak (&gt;3 tahun)</t>
  </si>
  <si>
    <t xml:space="preserve">Rombongan pelajar/mahasiswa/panti sosial paling sedikit 40 (empat puluh) orang dikenakan tarif 75% (tujuh puluh lima persen) dari tarif yang berlaku, dengan rincian sebagai berikut: </t>
  </si>
  <si>
    <t>2.7.10.2.3</t>
  </si>
  <si>
    <t>2.7.10.2.3.1</t>
  </si>
  <si>
    <t>2.7.10.2.3.2</t>
  </si>
  <si>
    <t>2.7.10.3</t>
  </si>
  <si>
    <t>4.1.02.02.12 0001</t>
  </si>
  <si>
    <t>Pemakaian Lokasi/Tempat Untuk Berdagang:</t>
  </si>
  <si>
    <t>Hari Senin s.d. Sabtu</t>
  </si>
  <si>
    <t>Hari Minggu/Libur Nasional</t>
  </si>
  <si>
    <t>Pemakaian Lokasi/Tempat Untuk Promo/Penjualan Produk</t>
  </si>
  <si>
    <t>2.1.12.1</t>
  </si>
  <si>
    <t>2.1.12.1.1</t>
  </si>
  <si>
    <t>2.1.12.1.2</t>
  </si>
  <si>
    <t>2.1.12.2</t>
  </si>
  <si>
    <t>4.1.02.02.14.0001</t>
  </si>
  <si>
    <t>Pemakaian Tempat Penitipan Kendaraan:</t>
  </si>
  <si>
    <t>Golongan I (Bus Besar, Truk Besar, dan Mobil Box Besar)</t>
  </si>
  <si>
    <t>Golongan II (Bus Kecil, Truk Kecil,Truk Kecil, dan Mobil Box Kecil, dan Pick Up Besar)</t>
  </si>
  <si>
    <t>Golongan III Mobil Sedan, Minibus/Sejenis termasuk dalam Bentuk Pick Up Kecil)</t>
  </si>
  <si>
    <t>Sepeda Motor dan Kendaraan Roda Tiga</t>
  </si>
  <si>
    <t xml:space="preserve">Sepeda </t>
  </si>
  <si>
    <t xml:space="preserve">2.3.8.1 </t>
  </si>
  <si>
    <t xml:space="preserve">2.3.8.1.1 </t>
  </si>
  <si>
    <t>2.3.8.1.2</t>
  </si>
  <si>
    <t xml:space="preserve">2.3.8.1.3 </t>
  </si>
  <si>
    <t xml:space="preserve">2.3.8.1.4 </t>
  </si>
  <si>
    <t xml:space="preserve">2.3.8.1.5 </t>
  </si>
  <si>
    <t>4.1.02.02.20.0001</t>
  </si>
  <si>
    <t>Pemakaian Lokasi/Tempat untuk Shooting:</t>
  </si>
  <si>
    <t>Film Cerita</t>
  </si>
  <si>
    <t>Film Iklan</t>
  </si>
  <si>
    <t>Film Dokumentasi/Dokumenter</t>
  </si>
  <si>
    <t>Film Keluarga</t>
  </si>
  <si>
    <t>Program Televisi</t>
  </si>
  <si>
    <t>Pre-Wedding/sejenisnya</t>
  </si>
  <si>
    <t>Pemakaian Lokasi/Tempat Lahan Terbuka</t>
  </si>
  <si>
    <t xml:space="preserve">Penempatan Spanduk Promosi </t>
  </si>
  <si>
    <t>Pemakaian Lokasi/Tempat untuk Banner/ Umbul Promosi</t>
  </si>
  <si>
    <t>2.10.45.1</t>
  </si>
  <si>
    <t>2.10.45.1.1</t>
  </si>
  <si>
    <t>2.10.45.1.2</t>
  </si>
  <si>
    <t>2.10.45.1.3</t>
  </si>
  <si>
    <t>2.10.45.1.4</t>
  </si>
  <si>
    <t>2.10.45.1.5</t>
  </si>
  <si>
    <t>2.10.45.1.6</t>
  </si>
  <si>
    <t>2.10.45.1.7</t>
  </si>
  <si>
    <t>2.10.45.2</t>
  </si>
  <si>
    <t>2.10.45.3</t>
  </si>
  <si>
    <t xml:space="preserve">2.10.45.4 </t>
  </si>
  <si>
    <t>Pemakaian Lokasi/Tempat untuk Fasilitas Gedung Auditorium</t>
  </si>
  <si>
    <t xml:space="preserve">Pemakaian Sound System </t>
  </si>
  <si>
    <t xml:space="preserve">Pemakaian Wireless </t>
  </si>
  <si>
    <t xml:space="preserve">Pelayanan pengambilan foto </t>
  </si>
  <si>
    <t>Penyediaan Satwa Jinak untuk Berfoto</t>
  </si>
  <si>
    <t>Pemutaran Film Satwa (di luar jadwal pemutaran)</t>
  </si>
  <si>
    <t>Layanan Pemanduan Wisata Berbahasa Indonesia</t>
  </si>
  <si>
    <t>Pelayanan Pemanduan Wisata Berbahasa Inggris</t>
  </si>
  <si>
    <t>2.10.45.5</t>
  </si>
  <si>
    <t>2.10.45.6</t>
  </si>
  <si>
    <t xml:space="preserve">2.10.45.7 </t>
  </si>
  <si>
    <t>2.10.45.8</t>
  </si>
  <si>
    <t>2.10.45.9</t>
  </si>
  <si>
    <t>2.10.45.10</t>
  </si>
  <si>
    <t>2.10.45.11</t>
  </si>
  <si>
    <t>2.10.45.12</t>
  </si>
  <si>
    <t>2.10.45.13</t>
  </si>
  <si>
    <t>2.10.45.14</t>
  </si>
  <si>
    <t>Pemakaian Lokasi/Tempat untuk Fasilitas Panggung</t>
  </si>
  <si>
    <t>NO</t>
  </si>
  <si>
    <t>Retribusi Pelayanan Tempat Rekreasi, Pariwisata, dan Olahraga</t>
  </si>
  <si>
    <t>Retribusi Penyediaan Tempat Kegiatan Usaha Berupa Pasar Grosir, Pertokoan, dan Tempat Kegiatan Usaha Lainnya</t>
  </si>
  <si>
    <t>Retribusi Penyediaan Tempat Khusus Parkir di Luar Badan Jalan</t>
  </si>
  <si>
    <t>Pemakaian Lokasi/Tempat untuk Fasilitas Gedung Informasi</t>
  </si>
  <si>
    <t>URAIAN</t>
  </si>
  <si>
    <t>JUMLAH PENDAPATAN BLUD</t>
  </si>
  <si>
    <t>4.1.02</t>
  </si>
  <si>
    <t>Pendapatan Retribusi Daerah</t>
  </si>
  <si>
    <t>2.1.12</t>
  </si>
  <si>
    <t>2.3.8</t>
  </si>
  <si>
    <t>Golongan III (Mobil Sedan, Minibus/Sejenis termasuk dalam Bentuk Pick Up Kecil)</t>
  </si>
  <si>
    <t>2.7.9</t>
  </si>
  <si>
    <t>2.7.10</t>
  </si>
  <si>
    <t>2.10.45</t>
  </si>
  <si>
    <t>Retribusi Pemanfaatan Aset Daerah yang Tidak Mengganggu Penyelenggaraan Tugas dan Fungsi Organisasi Perangkat Daerah dan/atau Optimalisasi Aset Daerah dengan Tidak Mengubah Status Kepemilikan Sesuai dengan Ketentuan Peraturan Perundang-undangan</t>
  </si>
  <si>
    <t>Pelayanan Pemanduan Wisata Berbahasa Indonesia</t>
  </si>
  <si>
    <t xml:space="preserve">Pelayanan Pengambilan foto </t>
  </si>
  <si>
    <t>Hari Selasa s.d Jumat Dewasa/Anak (3&gt; Tahun)</t>
  </si>
  <si>
    <t>Hari Selasa s.d. Sabtu</t>
  </si>
  <si>
    <t>PERDA NO 1 TAHUN 2024</t>
  </si>
  <si>
    <t>SATUAN</t>
  </si>
  <si>
    <t>/orang</t>
  </si>
  <si>
    <t>/Sekali Keliling</t>
  </si>
  <si>
    <t>/hari</t>
  </si>
  <si>
    <t>/hari (maksimal 3x3)</t>
  </si>
  <si>
    <t>m2/hari</t>
  </si>
  <si>
    <t>/hari/buah</t>
  </si>
  <si>
    <t>/foto</t>
  </si>
  <si>
    <t>/judul</t>
  </si>
  <si>
    <t>/guide/2 jam</t>
  </si>
  <si>
    <t>RETRIBUSI PELAYANAN TAMAN MARGASATWA RAGUNAN</t>
  </si>
  <si>
    <t xml:space="preserve"> NOMOR 1 TAHUN 2024</t>
  </si>
  <si>
    <t>UNIT PENGELOLA TAMAN MARGASATWA RAGUNAN</t>
  </si>
  <si>
    <t xml:space="preserve">                                                                                           Provinsi DKI Jakarta,</t>
  </si>
  <si>
    <t xml:space="preserve">                                                                              Dinas Pertamanan dan Hutan Kota</t>
  </si>
  <si>
    <t xml:space="preserve">                                                                     Unit Pengelola Taman Margasatwa Ragunan</t>
  </si>
  <si>
    <t xml:space="preserve">   </t>
  </si>
  <si>
    <t>PENDAPATAN</t>
  </si>
  <si>
    <t>Afriana Pulungan, S.Si., M.AP.</t>
  </si>
  <si>
    <t>NIP. 197304212007012021</t>
  </si>
  <si>
    <t xml:space="preserve">                                                                                   Afriana Pulungan, S.Si., M.AP.</t>
  </si>
  <si>
    <t xml:space="preserve">Kepala Seksi Pelayanan dan Informasi </t>
  </si>
  <si>
    <t xml:space="preserve">                                                                                     NIP 197304212007012021</t>
  </si>
  <si>
    <t>4.1.02.02.009.00001</t>
  </si>
  <si>
    <t>4.1.02.02.012 00001</t>
  </si>
  <si>
    <t>4.1.02.02.014.00001</t>
  </si>
  <si>
    <t>4.1.02.02.020.00001</t>
  </si>
  <si>
    <t>4.1.04.16.004.00001</t>
  </si>
  <si>
    <t>4.1.04.16.006.00001</t>
  </si>
  <si>
    <t>4.1.04.16.006.00006</t>
  </si>
  <si>
    <t>4.1.02.02.012.00001</t>
  </si>
  <si>
    <t>Retribusi Pelayanan Tempat Rekreasi dan Olahraga</t>
  </si>
  <si>
    <t>Retribusi Penyediaan Tempat Kegiatan Usaha Berupa Pasar, Grosir, Pertokoan, dan Tempat Kegiatan Usaha Lainnya</t>
  </si>
  <si>
    <t xml:space="preserve">Retribusi Pemanfaatan Aset Daerah </t>
  </si>
  <si>
    <t>BULAN JANUARI 2026</t>
  </si>
  <si>
    <t>RINCIAN DATA REALISASI PENDAPATAN</t>
  </si>
  <si>
    <t xml:space="preserve">                                                                                  Kasi Pelayanan dan Informasi</t>
  </si>
  <si>
    <t xml:space="preserve">                                                                                       Jakarta, 3 Februari 2026</t>
  </si>
  <si>
    <t>DATA REALISASI PENDAPATAN DARI 01 JANUARI S.D 28 FEBRUARI TAHUN 2026</t>
  </si>
  <si>
    <t>Jakarta, 2 Maret 2026</t>
  </si>
  <si>
    <t>BULAN FEBRUARI 2026</t>
  </si>
  <si>
    <t xml:space="preserve">                                                                                       Jakarta, 2 Maret 2026</t>
  </si>
  <si>
    <t>DATA REALISASI PENDAPATAN DARI 01 JANUARI S.D 31 MARET TAHUN 2026</t>
  </si>
  <si>
    <t>BULAN MARET 2026</t>
  </si>
  <si>
    <t xml:space="preserve">                                                                                       Jakarta, 2 April 2026</t>
  </si>
  <si>
    <t>Jakarta, 2 April 2026</t>
  </si>
  <si>
    <t>DATA REALISASI PENDAPATAN DARI 01 JANUARI S.D 30 APRIL TAHUN 2026</t>
  </si>
  <si>
    <t>Jakarta, 4 Mei 2026</t>
  </si>
  <si>
    <t xml:space="preserve">                                                                                       Jakarta, 4 Mei 2026</t>
  </si>
  <si>
    <t>BULAN APRIL 2026</t>
  </si>
  <si>
    <t>DATA REALISASI PENDAPATAN DARI 01 JANUARI S.D 31 JANUARI TAHUN 2026</t>
  </si>
  <si>
    <t>Jakarta, 02 Februari 2026</t>
  </si>
  <si>
    <t>DATA REALISASI PENDAPATAN DARI 01 JANUARI S.D 31 MEI TAHUN 2026</t>
  </si>
  <si>
    <t>Jakarta, 02 Juni 2026</t>
  </si>
  <si>
    <t xml:space="preserve">                                                                           Kepala Seksi Pelayanan dan Informasi</t>
  </si>
  <si>
    <t xml:space="preserve">                                                                                           Jakarta,2 Juni 2026</t>
  </si>
  <si>
    <t>BULAN MEI 2026</t>
  </si>
  <si>
    <t>DATA REALISASI PENDAPATAN DARI 01 JANUARI S.D 30 JUNI TAHUN 2026</t>
  </si>
  <si>
    <t>Jakarta, 01 Juli 2026</t>
  </si>
  <si>
    <t>BULAN JUNI 2026</t>
  </si>
  <si>
    <t xml:space="preserve">                                                                                           Jakarta, 1 Juli 2026</t>
  </si>
  <si>
    <t>Pendapatan Retribusi Jasa Usaha</t>
  </si>
  <si>
    <t>DATA REALISASI PENDAPATAN DARI 01 JANUARI S.D 31 JULI TAHUN 2026</t>
  </si>
  <si>
    <t>Jakarta, 3 Agustus 2026</t>
  </si>
  <si>
    <t>BULAN JULI 2026</t>
  </si>
  <si>
    <t xml:space="preserve">                                                                                        Jakarta, 3 Agustus 2026</t>
  </si>
  <si>
    <t>DATA REALISASI PENDAPATAN DARI 01 JANUARI S.D 31 AGUSTUS TAHUN 2026</t>
  </si>
  <si>
    <t>Jakarta, 1 September 2026</t>
  </si>
  <si>
    <t>BULAN AGUSTUS 2026</t>
  </si>
  <si>
    <t>VOLUME</t>
  </si>
  <si>
    <t xml:space="preserve">                                                                                        Jakarta, 1 September 2026</t>
  </si>
  <si>
    <t>DATA REALISASI PENDAPATAN DARI 01 JANUARI S.D 30 SEPTEMBER TAHUN 2026</t>
  </si>
  <si>
    <t>Jakarta, 1 Oktober 2026</t>
  </si>
  <si>
    <t>BULAN SEPTEMBER 2026</t>
  </si>
  <si>
    <t xml:space="preserve">                                                                                        Jakarta, 1 Oktober 2026</t>
  </si>
  <si>
    <t xml:space="preserve">                                                                                    Afriana Pulungan, S.Si., M.AP.</t>
  </si>
  <si>
    <t xml:space="preserve">                                                                                      NIP 197304212007012021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</si>
</sst>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* #,##0.00_);_(* \(#,##0.00\);_(* &quot;-&quot;_);_(@_)"/>
  </numFmts>
  <fonts count="62" x14ac:knownFonts="1">
    <font>
      <sz val="12"/>
      <name val="Arial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i/>
      <sz val="9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name val="Arial"/>
      <family val="2"/>
    </font>
    <font>
      <i/>
      <sz val="12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2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 style="hair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/>
      <right style="thin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282">
    <xf numFmtId="0" fontId="0" fillId="2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2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2" fillId="0" borderId="35" applyNumberFormat="0" applyFill="0" applyBorder="0" applyAlignment="0" applyProtection="0">
      <alignment horizontal="center" vertical="center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0" borderId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3" borderId="0" applyNumberFormat="0" applyBorder="0" applyAlignment="0" applyProtection="0"/>
    <xf numFmtId="0" fontId="16" fillId="7" borderId="0" applyNumberFormat="0" applyBorder="0" applyAlignment="0" applyProtection="0"/>
    <xf numFmtId="0" fontId="17" fillId="24" borderId="72" applyNumberFormat="0" applyAlignment="0" applyProtection="0"/>
    <xf numFmtId="0" fontId="18" fillId="25" borderId="73" applyNumberFormat="0" applyAlignment="0" applyProtection="0"/>
    <xf numFmtId="164" fontId="15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74" applyNumberFormat="0" applyFill="0" applyAlignment="0" applyProtection="0"/>
    <xf numFmtId="0" fontId="24" fillId="0" borderId="75" applyNumberFormat="0" applyFill="0" applyAlignment="0" applyProtection="0"/>
    <xf numFmtId="0" fontId="25" fillId="0" borderId="76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72" applyNumberFormat="0" applyAlignment="0" applyProtection="0"/>
    <xf numFmtId="0" fontId="28" fillId="0" borderId="77" applyNumberFormat="0" applyFill="0" applyAlignment="0" applyProtection="0"/>
    <xf numFmtId="0" fontId="29" fillId="26" borderId="0" applyNumberFormat="0" applyBorder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19" fillId="0" borderId="0"/>
    <xf numFmtId="0" fontId="13" fillId="0" borderId="0"/>
    <xf numFmtId="0" fontId="15" fillId="0" borderId="0"/>
    <xf numFmtId="0" fontId="3" fillId="27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>
      <alignment vertical="top"/>
    </xf>
    <xf numFmtId="0" fontId="30" fillId="0" borderId="0">
      <alignment vertical="top"/>
    </xf>
    <xf numFmtId="0" fontId="15" fillId="0" borderId="0"/>
    <xf numFmtId="0" fontId="15" fillId="0" borderId="0"/>
    <xf numFmtId="0" fontId="19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27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3" fillId="0" borderId="0"/>
    <xf numFmtId="0" fontId="19" fillId="0" borderId="0"/>
    <xf numFmtId="0" fontId="20" fillId="0" borderId="0"/>
    <xf numFmtId="0" fontId="19" fillId="0" borderId="0"/>
    <xf numFmtId="0" fontId="15" fillId="0" borderId="0"/>
    <xf numFmtId="0" fontId="19" fillId="0" borderId="0"/>
    <xf numFmtId="0" fontId="13" fillId="0" borderId="0"/>
    <xf numFmtId="0" fontId="19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15" fillId="0" borderId="0"/>
    <xf numFmtId="0" fontId="15" fillId="28" borderId="78" applyNumberFormat="0" applyFont="0" applyAlignment="0" applyProtection="0"/>
    <xf numFmtId="0" fontId="31" fillId="24" borderId="79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80" applyNumberFormat="0" applyFill="0" applyAlignment="0" applyProtection="0"/>
    <xf numFmtId="0" fontId="34" fillId="0" borderId="0" applyNumberFormat="0" applyFill="0" applyBorder="0" applyAlignment="0" applyProtection="0"/>
    <xf numFmtId="43" fontId="42" fillId="0" borderId="0" applyFont="0" applyFill="0" applyBorder="0" applyAlignment="0" applyProtection="0"/>
  </cellStyleXfs>
  <cellXfs count="840">
    <xf numFmtId="0" fontId="0" fillId="2" borderId="0" xfId="0"/>
    <xf numFmtId="0" fontId="2" fillId="2" borderId="0" xfId="0" applyFont="1"/>
    <xf numFmtId="0" fontId="0" fillId="3" borderId="0" xfId="0" applyFill="1"/>
    <xf numFmtId="0" fontId="4" fillId="2" borderId="0" xfId="0" applyFont="1" applyAlignment="1">
      <alignment horizontal="center"/>
    </xf>
    <xf numFmtId="0" fontId="4" fillId="2" borderId="0" xfId="0" applyFont="1"/>
    <xf numFmtId="0" fontId="4" fillId="2" borderId="9" xfId="0" applyFont="1" applyBorder="1"/>
    <xf numFmtId="39" fontId="4" fillId="2" borderId="0" xfId="0" applyNumberFormat="1" applyFont="1"/>
    <xf numFmtId="39" fontId="5" fillId="2" borderId="0" xfId="0" applyNumberFormat="1" applyFont="1"/>
    <xf numFmtId="39" fontId="4" fillId="3" borderId="0" xfId="0" applyNumberFormat="1" applyFont="1" applyFill="1"/>
    <xf numFmtId="0" fontId="4" fillId="3" borderId="9" xfId="0" applyFont="1" applyFill="1" applyBorder="1"/>
    <xf numFmtId="0" fontId="4" fillId="3" borderId="0" xfId="0" applyFont="1" applyFill="1"/>
    <xf numFmtId="0" fontId="2" fillId="3" borderId="0" xfId="0" applyFont="1" applyFill="1"/>
    <xf numFmtId="37" fontId="4" fillId="2" borderId="0" xfId="0" applyNumberFormat="1" applyFont="1"/>
    <xf numFmtId="0" fontId="7" fillId="2" borderId="0" xfId="0" applyFont="1" applyAlignment="1">
      <alignment horizontal="center"/>
    </xf>
    <xf numFmtId="0" fontId="7" fillId="2" borderId="9" xfId="0" applyFont="1" applyBorder="1"/>
    <xf numFmtId="0" fontId="7" fillId="2" borderId="0" xfId="0" applyFont="1"/>
    <xf numFmtId="0" fontId="6" fillId="2" borderId="0" xfId="0" applyFont="1"/>
    <xf numFmtId="0" fontId="8" fillId="2" borderId="0" xfId="0" applyFont="1"/>
    <xf numFmtId="0" fontId="9" fillId="2" borderId="0" xfId="0" applyFont="1"/>
    <xf numFmtId="0" fontId="11" fillId="2" borderId="0" xfId="0" applyFont="1" applyAlignment="1">
      <alignment horizontal="left"/>
    </xf>
    <xf numFmtId="0" fontId="3" fillId="2" borderId="0" xfId="0" applyFont="1"/>
    <xf numFmtId="0" fontId="36" fillId="2" borderId="0" xfId="0" applyFont="1"/>
    <xf numFmtId="37" fontId="38" fillId="2" borderId="0" xfId="0" applyNumberFormat="1" applyFont="1"/>
    <xf numFmtId="37" fontId="36" fillId="2" borderId="0" xfId="0" applyNumberFormat="1" applyFont="1"/>
    <xf numFmtId="0" fontId="36" fillId="2" borderId="0" xfId="0" applyFont="1" applyAlignment="1">
      <alignment horizontal="center"/>
    </xf>
    <xf numFmtId="0" fontId="33" fillId="2" borderId="1" xfId="0" applyFont="1" applyBorder="1" applyAlignment="1">
      <alignment horizontal="left" vertical="center"/>
    </xf>
    <xf numFmtId="0" fontId="10" fillId="2" borderId="2" xfId="0" applyFont="1" applyBorder="1" applyAlignment="1">
      <alignment horizontal="center" vertical="center"/>
    </xf>
    <xf numFmtId="0" fontId="10" fillId="5" borderId="18" xfId="0" applyFont="1" applyFill="1" applyBorder="1" applyAlignment="1">
      <alignment horizontal="left" vertical="center"/>
    </xf>
    <xf numFmtId="0" fontId="10" fillId="2" borderId="39" xfId="0" applyFont="1" applyBorder="1" applyAlignment="1">
      <alignment horizontal="left" vertical="center"/>
    </xf>
    <xf numFmtId="0" fontId="10" fillId="2" borderId="0" xfId="0" applyFont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35" fillId="2" borderId="0" xfId="0" applyFont="1"/>
    <xf numFmtId="0" fontId="13" fillId="2" borderId="11" xfId="0" applyFont="1" applyBorder="1" applyAlignment="1">
      <alignment horizontal="left" vertical="center"/>
    </xf>
    <xf numFmtId="0" fontId="10" fillId="3" borderId="33" xfId="0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 wrapText="1"/>
    </xf>
    <xf numFmtId="0" fontId="10" fillId="2" borderId="48" xfId="0" applyFont="1" applyBorder="1" applyAlignment="1">
      <alignment horizontal="left" vertical="center" wrapText="1"/>
    </xf>
    <xf numFmtId="0" fontId="10" fillId="2" borderId="93" xfId="0" applyFont="1" applyBorder="1" applyAlignment="1">
      <alignment horizontal="left" vertical="center" wrapText="1"/>
    </xf>
    <xf numFmtId="0" fontId="10" fillId="2" borderId="27" xfId="0" applyFont="1" applyBorder="1" applyAlignment="1">
      <alignment horizontal="left" vertical="center"/>
    </xf>
    <xf numFmtId="0" fontId="10" fillId="2" borderId="7" xfId="0" applyFont="1" applyBorder="1" applyAlignment="1">
      <alignment horizontal="center" vertical="center"/>
    </xf>
    <xf numFmtId="0" fontId="10" fillId="2" borderId="58" xfId="0" applyFont="1" applyBorder="1" applyAlignment="1">
      <alignment horizontal="center" vertical="center"/>
    </xf>
    <xf numFmtId="0" fontId="10" fillId="2" borderId="83" xfId="0" applyFont="1" applyBorder="1" applyAlignment="1">
      <alignment horizontal="center" vertical="center"/>
    </xf>
    <xf numFmtId="0" fontId="10" fillId="2" borderId="4" xfId="0" applyFont="1" applyBorder="1" applyAlignment="1">
      <alignment horizontal="center" vertical="center"/>
    </xf>
    <xf numFmtId="0" fontId="10" fillId="2" borderId="13" xfId="0" applyFont="1" applyBorder="1" applyAlignment="1">
      <alignment horizontal="center" vertical="center"/>
    </xf>
    <xf numFmtId="0" fontId="10" fillId="2" borderId="3" xfId="0" applyFont="1" applyBorder="1" applyAlignment="1">
      <alignment horizontal="center" vertical="center"/>
    </xf>
    <xf numFmtId="0" fontId="37" fillId="0" borderId="10" xfId="0" applyFont="1" applyFill="1" applyBorder="1" applyAlignment="1">
      <alignment horizontal="left" vertical="center" wrapText="1"/>
    </xf>
    <xf numFmtId="0" fontId="37" fillId="0" borderId="44" xfId="0" applyFont="1" applyFill="1" applyBorder="1" applyAlignment="1">
      <alignment horizontal="left" vertical="center"/>
    </xf>
    <xf numFmtId="0" fontId="37" fillId="0" borderId="87" xfId="0" applyFont="1" applyFill="1" applyBorder="1" applyAlignment="1">
      <alignment horizontal="left" vertical="center"/>
    </xf>
    <xf numFmtId="0" fontId="37" fillId="0" borderId="36" xfId="0" applyFont="1" applyFill="1" applyBorder="1" applyAlignment="1">
      <alignment horizontal="left" vertical="center"/>
    </xf>
    <xf numFmtId="0" fontId="37" fillId="0" borderId="54" xfId="0" applyFont="1" applyFill="1" applyBorder="1" applyAlignment="1">
      <alignment horizontal="left" vertical="center"/>
    </xf>
    <xf numFmtId="3" fontId="37" fillId="0" borderId="36" xfId="0" applyNumberFormat="1" applyFont="1" applyFill="1" applyBorder="1" applyAlignment="1">
      <alignment horizontal="left" vertical="center"/>
    </xf>
    <xf numFmtId="0" fontId="37" fillId="0" borderId="96" xfId="0" applyFont="1" applyFill="1" applyBorder="1" applyAlignment="1">
      <alignment horizontal="left" vertical="center"/>
    </xf>
    <xf numFmtId="0" fontId="37" fillId="0" borderId="92" xfId="0" applyFont="1" applyFill="1" applyBorder="1" applyAlignment="1">
      <alignment horizontal="left" vertical="center"/>
    </xf>
    <xf numFmtId="0" fontId="11" fillId="2" borderId="0" xfId="0" applyFont="1" applyAlignment="1">
      <alignment horizontal="left" vertical="center"/>
    </xf>
    <xf numFmtId="0" fontId="10" fillId="2" borderId="17" xfId="0" applyFont="1" applyBorder="1" applyAlignment="1">
      <alignment horizontal="left" vertical="center" wrapText="1"/>
    </xf>
    <xf numFmtId="0" fontId="10" fillId="2" borderId="18" xfId="0" applyFont="1" applyBorder="1" applyAlignment="1">
      <alignment horizontal="left" vertical="center"/>
    </xf>
    <xf numFmtId="0" fontId="10" fillId="2" borderId="1" xfId="0" applyFont="1" applyBorder="1" applyAlignment="1">
      <alignment horizontal="left" vertical="center" wrapText="1"/>
    </xf>
    <xf numFmtId="0" fontId="10" fillId="2" borderId="2" xfId="0" applyFont="1" applyBorder="1" applyAlignment="1">
      <alignment horizontal="left" vertical="center"/>
    </xf>
    <xf numFmtId="0" fontId="10" fillId="2" borderId="5" xfId="0" applyFont="1" applyBorder="1" applyAlignment="1">
      <alignment horizontal="left" vertical="center"/>
    </xf>
    <xf numFmtId="0" fontId="10" fillId="2" borderId="12" xfId="0" applyFont="1" applyBorder="1" applyAlignment="1">
      <alignment horizontal="left" vertical="center"/>
    </xf>
    <xf numFmtId="0" fontId="33" fillId="5" borderId="10" xfId="0" applyFont="1" applyFill="1" applyBorder="1" applyAlignment="1">
      <alignment horizontal="left" vertical="center"/>
    </xf>
    <xf numFmtId="0" fontId="33" fillId="3" borderId="0" xfId="0" applyFont="1" applyFill="1" applyAlignment="1">
      <alignment horizontal="left" vertical="center"/>
    </xf>
    <xf numFmtId="0" fontId="10" fillId="2" borderId="11" xfId="0" applyFont="1" applyBorder="1" applyAlignment="1">
      <alignment horizontal="left" vertical="center"/>
    </xf>
    <xf numFmtId="0" fontId="10" fillId="2" borderId="1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1" xfId="0" applyFont="1" applyBorder="1" applyAlignment="1">
      <alignment horizontal="left" vertical="center"/>
    </xf>
    <xf numFmtId="0" fontId="10" fillId="2" borderId="55" xfId="0" applyFont="1" applyBorder="1" applyAlignment="1">
      <alignment horizontal="left" vertical="center"/>
    </xf>
    <xf numFmtId="0" fontId="10" fillId="2" borderId="97" xfId="0" applyFont="1" applyBorder="1" applyAlignment="1">
      <alignment horizontal="left" vertical="center" wrapText="1"/>
    </xf>
    <xf numFmtId="0" fontId="10" fillId="2" borderId="10" xfId="0" applyFont="1" applyBorder="1" applyAlignment="1">
      <alignment horizontal="left" vertical="center"/>
    </xf>
    <xf numFmtId="0" fontId="10" fillId="2" borderId="93" xfId="0" applyFont="1" applyBorder="1" applyAlignment="1">
      <alignment horizontal="left" vertical="center"/>
    </xf>
    <xf numFmtId="0" fontId="10" fillId="2" borderId="92" xfId="0" applyFont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2" borderId="54" xfId="0" applyFont="1" applyBorder="1" applyAlignment="1">
      <alignment horizontal="left" vertical="center"/>
    </xf>
    <xf numFmtId="0" fontId="10" fillId="2" borderId="62" xfId="0" applyFont="1" applyBorder="1" applyAlignment="1">
      <alignment horizontal="left" vertical="center"/>
    </xf>
    <xf numFmtId="39" fontId="11" fillId="2" borderId="0" xfId="0" applyNumberFormat="1" applyFont="1" applyAlignment="1">
      <alignment horizontal="left" vertical="center"/>
    </xf>
    <xf numFmtId="0" fontId="35" fillId="2" borderId="0" xfId="0" applyFont="1" applyAlignment="1">
      <alignment horizontal="left" vertical="center"/>
    </xf>
    <xf numFmtId="0" fontId="36" fillId="2" borderId="0" xfId="0" applyFont="1" applyAlignment="1">
      <alignment horizontal="left" vertical="center"/>
    </xf>
    <xf numFmtId="37" fontId="38" fillId="2" borderId="0" xfId="0" applyNumberFormat="1" applyFont="1" applyAlignment="1">
      <alignment horizontal="left" vertical="center"/>
    </xf>
    <xf numFmtId="37" fontId="36" fillId="2" borderId="0" xfId="0" applyNumberFormat="1" applyFont="1" applyAlignment="1">
      <alignment horizontal="left" vertical="center"/>
    </xf>
    <xf numFmtId="0" fontId="0" fillId="2" borderId="0" xfId="0" applyAlignment="1">
      <alignment horizontal="left" vertical="center"/>
    </xf>
    <xf numFmtId="0" fontId="9" fillId="2" borderId="0" xfId="0" applyFont="1" applyAlignment="1">
      <alignment horizontal="left" vertical="center"/>
    </xf>
    <xf numFmtId="39" fontId="33" fillId="5" borderId="34" xfId="0" applyNumberFormat="1" applyFont="1" applyFill="1" applyBorder="1" applyAlignment="1">
      <alignment horizontal="right" vertical="center"/>
    </xf>
    <xf numFmtId="37" fontId="33" fillId="5" borderId="34" xfId="0" applyNumberFormat="1" applyFont="1" applyFill="1" applyBorder="1" applyAlignment="1">
      <alignment horizontal="right" vertical="center"/>
    </xf>
    <xf numFmtId="39" fontId="33" fillId="3" borderId="35" xfId="0" applyNumberFormat="1" applyFont="1" applyFill="1" applyBorder="1" applyAlignment="1">
      <alignment horizontal="right" vertical="center"/>
    </xf>
    <xf numFmtId="37" fontId="10" fillId="2" borderId="2" xfId="0" applyNumberFormat="1" applyFont="1" applyBorder="1" applyAlignment="1">
      <alignment horizontal="right" vertical="center"/>
    </xf>
    <xf numFmtId="39" fontId="10" fillId="2" borderId="2" xfId="0" applyNumberFormat="1" applyFont="1" applyBorder="1" applyAlignment="1">
      <alignment horizontal="right" vertical="center"/>
    </xf>
    <xf numFmtId="37" fontId="10" fillId="2" borderId="46" xfId="0" applyNumberFormat="1" applyFont="1" applyBorder="1" applyAlignment="1">
      <alignment horizontal="right" vertical="center"/>
    </xf>
    <xf numFmtId="39" fontId="10" fillId="2" borderId="46" xfId="0" applyNumberFormat="1" applyFont="1" applyBorder="1" applyAlignment="1">
      <alignment horizontal="right" vertical="center"/>
    </xf>
    <xf numFmtId="39" fontId="39" fillId="5" borderId="8" xfId="0" applyNumberFormat="1" applyFont="1" applyFill="1" applyBorder="1" applyAlignment="1">
      <alignment horizontal="right" vertical="center"/>
    </xf>
    <xf numFmtId="37" fontId="39" fillId="5" borderId="8" xfId="0" applyNumberFormat="1" applyFont="1" applyFill="1" applyBorder="1" applyAlignment="1">
      <alignment horizontal="right" vertical="center"/>
    </xf>
    <xf numFmtId="39" fontId="39" fillId="3" borderId="90" xfId="0" applyNumberFormat="1" applyFont="1" applyFill="1" applyBorder="1" applyAlignment="1">
      <alignment horizontal="right" vertical="center"/>
    </xf>
    <xf numFmtId="37" fontId="39" fillId="3" borderId="90" xfId="0" applyNumberFormat="1" applyFont="1" applyFill="1" applyBorder="1" applyAlignment="1">
      <alignment horizontal="right" vertical="center"/>
    </xf>
    <xf numFmtId="39" fontId="10" fillId="2" borderId="57" xfId="0" applyNumberFormat="1" applyFont="1" applyBorder="1" applyAlignment="1">
      <alignment horizontal="right" vertical="center"/>
    </xf>
    <xf numFmtId="39" fontId="39" fillId="3" borderId="16" xfId="0" applyNumberFormat="1" applyFont="1" applyFill="1" applyBorder="1" applyAlignment="1">
      <alignment horizontal="right" vertical="center"/>
    </xf>
    <xf numFmtId="39" fontId="39" fillId="3" borderId="67" xfId="0" applyNumberFormat="1" applyFont="1" applyFill="1" applyBorder="1" applyAlignment="1">
      <alignment horizontal="right" vertical="center"/>
    </xf>
    <xf numFmtId="39" fontId="39" fillId="5" borderId="64" xfId="0" applyNumberFormat="1" applyFont="1" applyFill="1" applyBorder="1" applyAlignment="1">
      <alignment horizontal="right" vertical="center"/>
    </xf>
    <xf numFmtId="37" fontId="39" fillId="5" borderId="64" xfId="0" applyNumberFormat="1" applyFont="1" applyFill="1" applyBorder="1" applyAlignment="1">
      <alignment horizontal="right" vertical="center"/>
    </xf>
    <xf numFmtId="39" fontId="10" fillId="3" borderId="35" xfId="0" applyNumberFormat="1" applyFont="1" applyFill="1" applyBorder="1" applyAlignment="1">
      <alignment horizontal="right" vertical="center"/>
    </xf>
    <xf numFmtId="37" fontId="10" fillId="2" borderId="95" xfId="0" applyNumberFormat="1" applyFont="1" applyBorder="1" applyAlignment="1">
      <alignment horizontal="right" vertical="center"/>
    </xf>
    <xf numFmtId="39" fontId="10" fillId="2" borderId="95" xfId="0" applyNumberFormat="1" applyFont="1" applyBorder="1" applyAlignment="1">
      <alignment horizontal="right" vertical="center"/>
    </xf>
    <xf numFmtId="39" fontId="10" fillId="2" borderId="92" xfId="0" applyNumberFormat="1" applyFont="1" applyBorder="1" applyAlignment="1">
      <alignment horizontal="right" vertical="center"/>
    </xf>
    <xf numFmtId="39" fontId="39" fillId="29" borderId="32" xfId="0" applyNumberFormat="1" applyFont="1" applyFill="1" applyBorder="1" applyAlignment="1">
      <alignment horizontal="right" vertical="center"/>
    </xf>
    <xf numFmtId="39" fontId="39" fillId="29" borderId="82" xfId="0" applyNumberFormat="1" applyFont="1" applyFill="1" applyBorder="1" applyAlignment="1">
      <alignment horizontal="right" vertical="center"/>
    </xf>
    <xf numFmtId="39" fontId="39" fillId="29" borderId="2" xfId="0" applyNumberFormat="1" applyFont="1" applyFill="1" applyBorder="1" applyAlignment="1">
      <alignment horizontal="right" vertical="center"/>
    </xf>
    <xf numFmtId="39" fontId="33" fillId="2" borderId="16" xfId="0" applyNumberFormat="1" applyFont="1" applyBorder="1" applyAlignment="1">
      <alignment horizontal="right" vertical="center"/>
    </xf>
    <xf numFmtId="0" fontId="33" fillId="29" borderId="35" xfId="0" applyFont="1" applyFill="1" applyBorder="1" applyAlignment="1">
      <alignment horizontal="center" vertical="center"/>
    </xf>
    <xf numFmtId="0" fontId="33" fillId="29" borderId="87" xfId="0" applyFont="1" applyFill="1" applyBorder="1" applyAlignment="1">
      <alignment horizontal="center" vertical="center"/>
    </xf>
    <xf numFmtId="0" fontId="39" fillId="29" borderId="68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7" fillId="0" borderId="49" xfId="0" applyFont="1" applyFill="1" applyBorder="1" applyAlignment="1">
      <alignment horizontal="left" vertical="center"/>
    </xf>
    <xf numFmtId="0" fontId="10" fillId="2" borderId="52" xfId="0" applyFont="1" applyBorder="1" applyAlignment="1">
      <alignment horizontal="left" vertical="center"/>
    </xf>
    <xf numFmtId="0" fontId="37" fillId="0" borderId="61" xfId="0" applyFont="1" applyFill="1" applyBorder="1" applyAlignment="1">
      <alignment horizontal="left" vertical="center"/>
    </xf>
    <xf numFmtId="0" fontId="10" fillId="2" borderId="66" xfId="0" applyFont="1" applyBorder="1" applyAlignment="1">
      <alignment horizontal="left" vertical="center"/>
    </xf>
    <xf numFmtId="0" fontId="39" fillId="2" borderId="32" xfId="0" applyFont="1" applyBorder="1" applyAlignment="1">
      <alignment horizontal="left" vertical="center"/>
    </xf>
    <xf numFmtId="39" fontId="10" fillId="2" borderId="51" xfId="0" applyNumberFormat="1" applyFont="1" applyBorder="1" applyAlignment="1">
      <alignment horizontal="right" vertical="center"/>
    </xf>
    <xf numFmtId="37" fontId="10" fillId="2" borderId="63" xfId="0" applyNumberFormat="1" applyFont="1" applyBorder="1" applyAlignment="1">
      <alignment horizontal="right" vertical="center"/>
    </xf>
    <xf numFmtId="39" fontId="10" fillId="2" borderId="63" xfId="0" applyNumberFormat="1" applyFont="1" applyBorder="1" applyAlignment="1">
      <alignment horizontal="right" vertical="center"/>
    </xf>
    <xf numFmtId="37" fontId="10" fillId="2" borderId="69" xfId="0" applyNumberFormat="1" applyFont="1" applyBorder="1" applyAlignment="1">
      <alignment horizontal="right" vertical="center"/>
    </xf>
    <xf numFmtId="39" fontId="10" fillId="2" borderId="69" xfId="0" applyNumberFormat="1" applyFont="1" applyBorder="1" applyAlignment="1">
      <alignment horizontal="right" vertical="center"/>
    </xf>
    <xf numFmtId="0" fontId="33" fillId="3" borderId="40" xfId="0" applyFont="1" applyFill="1" applyBorder="1" applyAlignment="1">
      <alignment vertical="center" wrapText="1"/>
    </xf>
    <xf numFmtId="0" fontId="33" fillId="2" borderId="10" xfId="0" applyFont="1" applyBorder="1" applyAlignment="1">
      <alignment vertical="center"/>
    </xf>
    <xf numFmtId="0" fontId="33" fillId="5" borderId="6" xfId="0" applyFont="1" applyFill="1" applyBorder="1" applyAlignment="1">
      <alignment horizontal="center" vertical="center"/>
    </xf>
    <xf numFmtId="0" fontId="40" fillId="0" borderId="100" xfId="0" applyFont="1" applyFill="1" applyBorder="1" applyAlignment="1">
      <alignment vertical="center"/>
    </xf>
    <xf numFmtId="0" fontId="39" fillId="2" borderId="10" xfId="0" applyFont="1" applyBorder="1" applyAlignment="1">
      <alignment vertical="center"/>
    </xf>
    <xf numFmtId="0" fontId="39" fillId="3" borderId="31" xfId="0" applyFont="1" applyFill="1" applyBorder="1" applyAlignment="1">
      <alignment vertical="center" wrapText="1"/>
    </xf>
    <xf numFmtId="0" fontId="39" fillId="3" borderId="33" xfId="0" applyFont="1" applyFill="1" applyBorder="1" applyAlignment="1">
      <alignment vertical="center" wrapText="1"/>
    </xf>
    <xf numFmtId="0" fontId="39" fillId="2" borderId="36" xfId="0" applyFont="1" applyBorder="1" applyAlignment="1">
      <alignment vertical="center"/>
    </xf>
    <xf numFmtId="0" fontId="39" fillId="3" borderId="40" xfId="0" applyFont="1" applyFill="1" applyBorder="1" applyAlignment="1">
      <alignment vertical="center" wrapText="1"/>
    </xf>
    <xf numFmtId="0" fontId="33" fillId="29" borderId="31" xfId="0" applyFont="1" applyFill="1" applyBorder="1" applyAlignment="1">
      <alignment horizontal="left" vertical="center"/>
    </xf>
    <xf numFmtId="0" fontId="33" fillId="29" borderId="33" xfId="0" applyFont="1" applyFill="1" applyBorder="1" applyAlignment="1">
      <alignment horizontal="left" vertical="center"/>
    </xf>
    <xf numFmtId="0" fontId="35" fillId="2" borderId="0" xfId="0" applyFont="1" applyAlignment="1">
      <alignment horizontal="center"/>
    </xf>
    <xf numFmtId="37" fontId="39" fillId="29" borderId="42" xfId="0" applyNumberFormat="1" applyFont="1" applyFill="1" applyBorder="1" applyAlignment="1">
      <alignment horizontal="right" vertical="center"/>
    </xf>
    <xf numFmtId="0" fontId="10" fillId="2" borderId="58" xfId="0" applyFont="1" applyBorder="1" applyAlignment="1">
      <alignment horizontal="left" vertical="center"/>
    </xf>
    <xf numFmtId="0" fontId="10" fillId="2" borderId="60" xfId="0" applyFont="1" applyBorder="1" applyAlignment="1">
      <alignment horizontal="left" vertical="center"/>
    </xf>
    <xf numFmtId="0" fontId="41" fillId="2" borderId="0" xfId="0" applyFont="1"/>
    <xf numFmtId="0" fontId="41" fillId="2" borderId="0" xfId="0" applyFont="1" applyAlignment="1">
      <alignment horizontal="center"/>
    </xf>
    <xf numFmtId="0" fontId="41" fillId="2" borderId="0" xfId="0" applyFont="1" applyAlignment="1">
      <alignment horizontal="centerContinuous"/>
    </xf>
    <xf numFmtId="39" fontId="10" fillId="2" borderId="104" xfId="0" applyNumberFormat="1" applyFont="1" applyBorder="1" applyAlignment="1">
      <alignment horizontal="right" vertical="center"/>
    </xf>
    <xf numFmtId="39" fontId="10" fillId="2" borderId="105" xfId="0" applyNumberFormat="1" applyFont="1" applyBorder="1" applyAlignment="1">
      <alignment horizontal="right" vertical="center"/>
    </xf>
    <xf numFmtId="39" fontId="39" fillId="29" borderId="84" xfId="0" applyNumberFormat="1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top"/>
    </xf>
    <xf numFmtId="0" fontId="39" fillId="5" borderId="43" xfId="0" applyFont="1" applyFill="1" applyBorder="1" applyAlignment="1">
      <alignment horizontal="center" vertical="top"/>
    </xf>
    <xf numFmtId="43" fontId="0" fillId="2" borderId="0" xfId="281" applyFont="1" applyFill="1"/>
    <xf numFmtId="43" fontId="0" fillId="2" borderId="0" xfId="0" applyNumberFormat="1"/>
    <xf numFmtId="0" fontId="3" fillId="2" borderId="0" xfId="0" applyFont="1" applyAlignment="1">
      <alignment horizontal="center"/>
    </xf>
    <xf numFmtId="0" fontId="44" fillId="2" borderId="17" xfId="0" applyFont="1" applyBorder="1" applyAlignment="1">
      <alignment horizontal="left" vertical="center" wrapText="1"/>
    </xf>
    <xf numFmtId="0" fontId="44" fillId="2" borderId="18" xfId="0" applyFont="1" applyBorder="1" applyAlignment="1">
      <alignment horizontal="left" vertical="center"/>
    </xf>
    <xf numFmtId="0" fontId="44" fillId="2" borderId="13" xfId="0" applyFont="1" applyBorder="1" applyAlignment="1">
      <alignment horizontal="center" vertical="center"/>
    </xf>
    <xf numFmtId="0" fontId="44" fillId="2" borderId="1" xfId="0" applyFont="1" applyBorder="1" applyAlignment="1">
      <alignment horizontal="left" vertical="center" wrapText="1"/>
    </xf>
    <xf numFmtId="0" fontId="44" fillId="2" borderId="23" xfId="0" applyFont="1" applyBorder="1" applyAlignment="1">
      <alignment horizontal="left" vertical="center"/>
    </xf>
    <xf numFmtId="0" fontId="44" fillId="2" borderId="0" xfId="0" applyFont="1" applyAlignment="1">
      <alignment horizontal="left" vertical="center"/>
    </xf>
    <xf numFmtId="0" fontId="44" fillId="2" borderId="70" xfId="0" applyFont="1" applyBorder="1" applyAlignment="1">
      <alignment horizontal="center" vertical="center"/>
    </xf>
    <xf numFmtId="0" fontId="44" fillId="2" borderId="7" xfId="0" applyFont="1" applyBorder="1" applyAlignment="1">
      <alignment horizontal="center" vertical="center"/>
    </xf>
    <xf numFmtId="0" fontId="44" fillId="2" borderId="2" xfId="0" applyFont="1" applyBorder="1" applyAlignment="1">
      <alignment horizontal="center" vertical="center"/>
    </xf>
    <xf numFmtId="0" fontId="44" fillId="2" borderId="0" xfId="0" applyFont="1" applyAlignment="1">
      <alignment horizontal="center" vertical="center"/>
    </xf>
    <xf numFmtId="0" fontId="44" fillId="2" borderId="58" xfId="0" applyFont="1" applyBorder="1" applyAlignment="1">
      <alignment horizontal="center" vertical="center"/>
    </xf>
    <xf numFmtId="0" fontId="44" fillId="2" borderId="83" xfId="0" applyFont="1" applyBorder="1" applyAlignment="1">
      <alignment horizontal="center" vertical="center"/>
    </xf>
    <xf numFmtId="0" fontId="44" fillId="2" borderId="4" xfId="0" applyFont="1" applyBorder="1" applyAlignment="1">
      <alignment horizontal="center" vertical="center"/>
    </xf>
    <xf numFmtId="0" fontId="44" fillId="2" borderId="12" xfId="0" applyFont="1" applyBorder="1" applyAlignment="1">
      <alignment horizontal="left" vertical="center"/>
    </xf>
    <xf numFmtId="0" fontId="44" fillId="2" borderId="8" xfId="0" applyFont="1" applyBorder="1" applyAlignment="1">
      <alignment horizontal="center" vertical="center"/>
    </xf>
    <xf numFmtId="0" fontId="44" fillId="2" borderId="3" xfId="0" applyFont="1" applyBorder="1" applyAlignment="1">
      <alignment horizontal="center" vertical="center"/>
    </xf>
    <xf numFmtId="0" fontId="45" fillId="2" borderId="11" xfId="0" applyFont="1" applyBorder="1" applyAlignment="1">
      <alignment horizontal="left" vertical="center"/>
    </xf>
    <xf numFmtId="0" fontId="46" fillId="29" borderId="68" xfId="0" applyFont="1" applyFill="1" applyBorder="1" applyAlignment="1">
      <alignment horizontal="center" vertical="center"/>
    </xf>
    <xf numFmtId="39" fontId="46" fillId="29" borderId="84" xfId="0" applyNumberFormat="1" applyFont="1" applyFill="1" applyBorder="1" applyAlignment="1">
      <alignment horizontal="right" vertical="center"/>
    </xf>
    <xf numFmtId="37" fontId="46" fillId="29" borderId="84" xfId="0" applyNumberFormat="1" applyFont="1" applyFill="1" applyBorder="1" applyAlignment="1">
      <alignment horizontal="right" vertical="center"/>
    </xf>
    <xf numFmtId="39" fontId="46" fillId="29" borderId="42" xfId="0" applyNumberFormat="1" applyFont="1" applyFill="1" applyBorder="1" applyAlignment="1">
      <alignment horizontal="right" vertical="center"/>
    </xf>
    <xf numFmtId="0" fontId="47" fillId="2" borderId="1" xfId="0" applyFont="1" applyBorder="1" applyAlignment="1">
      <alignment horizontal="left" vertical="center"/>
    </xf>
    <xf numFmtId="0" fontId="47" fillId="5" borderId="6" xfId="0" applyFont="1" applyFill="1" applyBorder="1" applyAlignment="1">
      <alignment horizontal="center" vertical="center"/>
    </xf>
    <xf numFmtId="0" fontId="47" fillId="5" borderId="10" xfId="0" applyFont="1" applyFill="1" applyBorder="1" applyAlignment="1">
      <alignment horizontal="left" vertical="center"/>
    </xf>
    <xf numFmtId="39" fontId="47" fillId="5" borderId="34" xfId="0" applyNumberFormat="1" applyFont="1" applyFill="1" applyBorder="1" applyAlignment="1">
      <alignment horizontal="right" vertical="center"/>
    </xf>
    <xf numFmtId="37" fontId="47" fillId="5" borderId="34" xfId="0" applyNumberFormat="1" applyFont="1" applyFill="1" applyBorder="1" applyAlignment="1">
      <alignment horizontal="right" vertical="center"/>
    </xf>
    <xf numFmtId="0" fontId="47" fillId="2" borderId="10" xfId="0" applyFont="1" applyBorder="1" applyAlignment="1">
      <alignment vertical="center"/>
    </xf>
    <xf numFmtId="0" fontId="47" fillId="3" borderId="0" xfId="0" applyFont="1" applyFill="1" applyAlignment="1">
      <alignment horizontal="left" vertical="center"/>
    </xf>
    <xf numFmtId="0" fontId="47" fillId="3" borderId="40" xfId="0" applyFont="1" applyFill="1" applyBorder="1" applyAlignment="1">
      <alignment vertical="center" wrapText="1"/>
    </xf>
    <xf numFmtId="39" fontId="47" fillId="3" borderId="40" xfId="0" applyNumberFormat="1" applyFont="1" applyFill="1" applyBorder="1" applyAlignment="1">
      <alignment horizontal="right" vertical="center"/>
    </xf>
    <xf numFmtId="37" fontId="47" fillId="3" borderId="35" xfId="0" applyNumberFormat="1" applyFont="1" applyFill="1" applyBorder="1" applyAlignment="1">
      <alignment horizontal="right" vertical="center"/>
    </xf>
    <xf numFmtId="39" fontId="47" fillId="3" borderId="35" xfId="0" applyNumberFormat="1" applyFont="1" applyFill="1" applyBorder="1" applyAlignment="1">
      <alignment horizontal="right" vertical="center"/>
    </xf>
    <xf numFmtId="39" fontId="47" fillId="3" borderId="33" xfId="0" applyNumberFormat="1" applyFont="1" applyFill="1" applyBorder="1" applyAlignment="1">
      <alignment horizontal="right" vertical="center"/>
    </xf>
    <xf numFmtId="0" fontId="44" fillId="2" borderId="11" xfId="0" applyFont="1" applyBorder="1" applyAlignment="1">
      <alignment horizontal="left" vertical="center"/>
    </xf>
    <xf numFmtId="0" fontId="44" fillId="2" borderId="1" xfId="0" applyFont="1" applyBorder="1" applyAlignment="1">
      <alignment horizontal="left" vertical="center"/>
    </xf>
    <xf numFmtId="0" fontId="44" fillId="2" borderId="2" xfId="0" applyFont="1" applyBorder="1" applyAlignment="1">
      <alignment horizontal="left" vertical="center"/>
    </xf>
    <xf numFmtId="0" fontId="48" fillId="0" borderId="10" xfId="0" applyFont="1" applyFill="1" applyBorder="1" applyAlignment="1">
      <alignment horizontal="left" vertical="center" wrapText="1"/>
    </xf>
    <xf numFmtId="39" fontId="44" fillId="3" borderId="7" xfId="0" applyNumberFormat="1" applyFont="1" applyFill="1" applyBorder="1" applyAlignment="1">
      <alignment horizontal="right" vertical="center"/>
    </xf>
    <xf numFmtId="37" fontId="44" fillId="2" borderId="2" xfId="0" applyNumberFormat="1" applyFont="1" applyBorder="1" applyAlignment="1">
      <alignment horizontal="right" vertical="center"/>
    </xf>
    <xf numFmtId="39" fontId="44" fillId="2" borderId="2" xfId="0" applyNumberFormat="1" applyFont="1" applyBorder="1" applyAlignment="1">
      <alignment horizontal="right" vertical="center"/>
    </xf>
    <xf numFmtId="39" fontId="44" fillId="2" borderId="5" xfId="0" applyNumberFormat="1" applyFont="1" applyBorder="1" applyAlignment="1">
      <alignment horizontal="right" vertical="center"/>
    </xf>
    <xf numFmtId="0" fontId="48" fillId="0" borderId="44" xfId="0" applyFont="1" applyFill="1" applyBorder="1" applyAlignment="1">
      <alignment horizontal="left" vertical="center"/>
    </xf>
    <xf numFmtId="0" fontId="44" fillId="2" borderId="48" xfId="0" applyFont="1" applyBorder="1" applyAlignment="1">
      <alignment horizontal="left" vertical="center"/>
    </xf>
    <xf numFmtId="39" fontId="44" fillId="3" borderId="53" xfId="0" applyNumberFormat="1" applyFont="1" applyFill="1" applyBorder="1" applyAlignment="1">
      <alignment horizontal="right" vertical="center"/>
    </xf>
    <xf numFmtId="37" fontId="44" fillId="2" borderId="46" xfId="0" applyNumberFormat="1" applyFont="1" applyBorder="1" applyAlignment="1">
      <alignment horizontal="right" vertical="center"/>
    </xf>
    <xf numFmtId="39" fontId="44" fillId="2" borderId="46" xfId="0" applyNumberFormat="1" applyFont="1" applyBorder="1" applyAlignment="1">
      <alignment horizontal="right" vertical="center"/>
    </xf>
    <xf numFmtId="39" fontId="44" fillId="2" borderId="44" xfId="0" applyNumberFormat="1" applyFont="1" applyBorder="1" applyAlignment="1">
      <alignment horizontal="right" vertical="center"/>
    </xf>
    <xf numFmtId="0" fontId="44" fillId="2" borderId="47" xfId="0" applyFont="1" applyBorder="1" applyAlignment="1">
      <alignment horizontal="left" vertical="center" wrapText="1"/>
    </xf>
    <xf numFmtId="0" fontId="48" fillId="0" borderId="49" xfId="0" applyFont="1" applyFill="1" applyBorder="1" applyAlignment="1">
      <alignment horizontal="left" vertical="center"/>
    </xf>
    <xf numFmtId="0" fontId="44" fillId="2" borderId="52" xfId="0" applyFont="1" applyBorder="1" applyAlignment="1">
      <alignment horizontal="left" vertical="center"/>
    </xf>
    <xf numFmtId="39" fontId="44" fillId="3" borderId="64" xfId="0" applyNumberFormat="1" applyFont="1" applyFill="1" applyBorder="1" applyAlignment="1">
      <alignment horizontal="right" vertical="center"/>
    </xf>
    <xf numFmtId="37" fontId="44" fillId="2" borderId="51" xfId="0" applyNumberFormat="1" applyFont="1" applyBorder="1" applyAlignment="1">
      <alignment horizontal="right" vertical="center"/>
    </xf>
    <xf numFmtId="39" fontId="44" fillId="2" borderId="51" xfId="0" applyNumberFormat="1" applyFont="1" applyBorder="1" applyAlignment="1">
      <alignment horizontal="right" vertical="center"/>
    </xf>
    <xf numFmtId="39" fontId="44" fillId="2" borderId="49" xfId="0" applyNumberFormat="1" applyFont="1" applyBorder="1" applyAlignment="1">
      <alignment horizontal="right" vertical="center"/>
    </xf>
    <xf numFmtId="0" fontId="46" fillId="2" borderId="10" xfId="0" applyFont="1" applyBorder="1" applyAlignment="1">
      <alignment vertical="center"/>
    </xf>
    <xf numFmtId="0" fontId="46" fillId="2" borderId="32" xfId="0" applyFont="1" applyBorder="1" applyAlignment="1">
      <alignment horizontal="left" vertical="center"/>
    </xf>
    <xf numFmtId="0" fontId="49" fillId="0" borderId="100" xfId="0" applyFont="1" applyFill="1" applyBorder="1" applyAlignment="1">
      <alignment vertical="center"/>
    </xf>
    <xf numFmtId="39" fontId="44" fillId="3" borderId="30" xfId="0" applyNumberFormat="1" applyFont="1" applyFill="1" applyBorder="1" applyAlignment="1">
      <alignment horizontal="right" vertical="center"/>
    </xf>
    <xf numFmtId="37" fontId="44" fillId="2" borderId="69" xfId="0" applyNumberFormat="1" applyFont="1" applyBorder="1" applyAlignment="1">
      <alignment horizontal="right" vertical="center"/>
    </xf>
    <xf numFmtId="39" fontId="44" fillId="2" borderId="69" xfId="0" applyNumberFormat="1" applyFont="1" applyBorder="1" applyAlignment="1">
      <alignment horizontal="right" vertical="center"/>
    </xf>
    <xf numFmtId="39" fontId="44" fillId="2" borderId="101" xfId="0" applyNumberFormat="1" applyFont="1" applyBorder="1" applyAlignment="1">
      <alignment horizontal="right" vertical="center"/>
    </xf>
    <xf numFmtId="0" fontId="48" fillId="0" borderId="61" xfId="0" applyFont="1" applyFill="1" applyBorder="1" applyAlignment="1">
      <alignment horizontal="left" vertical="center"/>
    </xf>
    <xf numFmtId="0" fontId="44" fillId="2" borderId="66" xfId="0" applyFont="1" applyBorder="1" applyAlignment="1">
      <alignment horizontal="left" vertical="center"/>
    </xf>
    <xf numFmtId="39" fontId="44" fillId="3" borderId="91" xfId="0" applyNumberFormat="1" applyFont="1" applyFill="1" applyBorder="1" applyAlignment="1">
      <alignment horizontal="right" vertical="center"/>
    </xf>
    <xf numFmtId="37" fontId="44" fillId="2" borderId="63" xfId="0" applyNumberFormat="1" applyFont="1" applyBorder="1" applyAlignment="1">
      <alignment horizontal="right" vertical="center"/>
    </xf>
    <xf numFmtId="39" fontId="44" fillId="2" borderId="63" xfId="0" applyNumberFormat="1" applyFont="1" applyBorder="1" applyAlignment="1">
      <alignment horizontal="right" vertical="center"/>
    </xf>
    <xf numFmtId="39" fontId="44" fillId="2" borderId="61" xfId="0" applyNumberFormat="1" applyFont="1" applyBorder="1" applyAlignment="1">
      <alignment horizontal="right" vertical="center"/>
    </xf>
    <xf numFmtId="0" fontId="44" fillId="2" borderId="47" xfId="0" applyFont="1" applyBorder="1" applyAlignment="1">
      <alignment horizontal="left" vertical="center"/>
    </xf>
    <xf numFmtId="0" fontId="44" fillId="2" borderId="48" xfId="0" applyFont="1" applyBorder="1" applyAlignment="1">
      <alignment horizontal="left" vertical="center" wrapText="1"/>
    </xf>
    <xf numFmtId="0" fontId="48" fillId="0" borderId="87" xfId="0" applyFont="1" applyFill="1" applyBorder="1" applyAlignment="1">
      <alignment horizontal="left" vertical="center"/>
    </xf>
    <xf numFmtId="0" fontId="46" fillId="5" borderId="22" xfId="0" applyFont="1" applyFill="1" applyBorder="1" applyAlignment="1">
      <alignment horizontal="center" vertical="center"/>
    </xf>
    <xf numFmtId="0" fontId="44" fillId="5" borderId="18" xfId="0" applyFont="1" applyFill="1" applyBorder="1" applyAlignment="1">
      <alignment horizontal="left" vertical="center"/>
    </xf>
    <xf numFmtId="39" fontId="46" fillId="5" borderId="8" xfId="0" applyNumberFormat="1" applyFont="1" applyFill="1" applyBorder="1" applyAlignment="1">
      <alignment horizontal="right" vertical="center"/>
    </xf>
    <xf numFmtId="37" fontId="46" fillId="5" borderId="8" xfId="0" applyNumberFormat="1" applyFont="1" applyFill="1" applyBorder="1" applyAlignment="1">
      <alignment horizontal="right" vertical="center"/>
    </xf>
    <xf numFmtId="39" fontId="46" fillId="5" borderId="90" xfId="0" applyNumberFormat="1" applyFont="1" applyFill="1" applyBorder="1" applyAlignment="1">
      <alignment horizontal="right" vertical="center"/>
    </xf>
    <xf numFmtId="0" fontId="46" fillId="2" borderId="36" xfId="0" applyFont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46" fillId="3" borderId="33" xfId="0" applyFont="1" applyFill="1" applyBorder="1" applyAlignment="1">
      <alignment vertical="center" wrapText="1"/>
    </xf>
    <xf numFmtId="0" fontId="46" fillId="3" borderId="31" xfId="0" applyFont="1" applyFill="1" applyBorder="1" applyAlignment="1">
      <alignment vertical="center" wrapText="1"/>
    </xf>
    <xf numFmtId="39" fontId="46" fillId="3" borderId="90" xfId="0" applyNumberFormat="1" applyFont="1" applyFill="1" applyBorder="1" applyAlignment="1">
      <alignment horizontal="right" vertical="center"/>
    </xf>
    <xf numFmtId="37" fontId="46" fillId="3" borderId="90" xfId="0" applyNumberFormat="1" applyFont="1" applyFill="1" applyBorder="1" applyAlignment="1">
      <alignment horizontal="right" vertical="center"/>
    </xf>
    <xf numFmtId="39" fontId="46" fillId="3" borderId="84" xfId="0" applyNumberFormat="1" applyFont="1" applyFill="1" applyBorder="1" applyAlignment="1">
      <alignment horizontal="right" vertical="center"/>
    </xf>
    <xf numFmtId="39" fontId="46" fillId="3" borderId="35" xfId="0" applyNumberFormat="1" applyFont="1" applyFill="1" applyBorder="1" applyAlignment="1">
      <alignment horizontal="right" vertical="center"/>
    </xf>
    <xf numFmtId="0" fontId="44" fillId="2" borderId="5" xfId="0" applyFont="1" applyBorder="1" applyAlignment="1">
      <alignment horizontal="left" vertical="center"/>
    </xf>
    <xf numFmtId="0" fontId="44" fillId="2" borderId="39" xfId="0" applyFont="1" applyBorder="1" applyAlignment="1">
      <alignment horizontal="left" vertical="center"/>
    </xf>
    <xf numFmtId="0" fontId="48" fillId="0" borderId="36" xfId="0" applyFont="1" applyFill="1" applyBorder="1" applyAlignment="1">
      <alignment horizontal="left" vertical="center"/>
    </xf>
    <xf numFmtId="0" fontId="44" fillId="2" borderId="41" xfId="0" applyFont="1" applyBorder="1" applyAlignment="1">
      <alignment horizontal="left" vertical="center"/>
    </xf>
    <xf numFmtId="39" fontId="46" fillId="2" borderId="5" xfId="0" applyNumberFormat="1" applyFont="1" applyBorder="1" applyAlignment="1">
      <alignment horizontal="right" vertical="center"/>
    </xf>
    <xf numFmtId="0" fontId="48" fillId="0" borderId="54" xfId="0" applyFont="1" applyFill="1" applyBorder="1" applyAlignment="1">
      <alignment horizontal="left" vertical="center"/>
    </xf>
    <xf numFmtId="0" fontId="44" fillId="2" borderId="55" xfId="0" applyFont="1" applyBorder="1" applyAlignment="1">
      <alignment horizontal="left" vertical="center"/>
    </xf>
    <xf numFmtId="39" fontId="44" fillId="3" borderId="56" xfId="0" applyNumberFormat="1" applyFont="1" applyFill="1" applyBorder="1" applyAlignment="1">
      <alignment horizontal="right" vertical="center"/>
    </xf>
    <xf numFmtId="39" fontId="44" fillId="2" borderId="57" xfId="0" applyNumberFormat="1" applyFont="1" applyBorder="1" applyAlignment="1">
      <alignment horizontal="right" vertical="center"/>
    </xf>
    <xf numFmtId="0" fontId="46" fillId="5" borderId="17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vertical="center" wrapText="1"/>
    </xf>
    <xf numFmtId="39" fontId="46" fillId="3" borderId="16" xfId="0" applyNumberFormat="1" applyFont="1" applyFill="1" applyBorder="1" applyAlignment="1">
      <alignment horizontal="right" vertical="center"/>
    </xf>
    <xf numFmtId="37" fontId="46" fillId="3" borderId="67" xfId="0" applyNumberFormat="1" applyFont="1" applyFill="1" applyBorder="1" applyAlignment="1">
      <alignment horizontal="right" vertical="center"/>
    </xf>
    <xf numFmtId="39" fontId="46" fillId="3" borderId="67" xfId="0" applyNumberFormat="1" applyFont="1" applyFill="1" applyBorder="1" applyAlignment="1">
      <alignment horizontal="right" vertical="center"/>
    </xf>
    <xf numFmtId="39" fontId="46" fillId="3" borderId="38" xfId="0" applyNumberFormat="1" applyFont="1" applyFill="1" applyBorder="1" applyAlignment="1">
      <alignment horizontal="right" vertical="center"/>
    </xf>
    <xf numFmtId="3" fontId="48" fillId="0" borderId="36" xfId="0" applyNumberFormat="1" applyFont="1" applyFill="1" applyBorder="1" applyAlignment="1">
      <alignment horizontal="left" vertical="center"/>
    </xf>
    <xf numFmtId="0" fontId="44" fillId="2" borderId="24" xfId="0" applyFont="1" applyBorder="1" applyAlignment="1">
      <alignment horizontal="left" vertical="center"/>
    </xf>
    <xf numFmtId="0" fontId="44" fillId="2" borderId="27" xfId="0" applyFont="1" applyBorder="1" applyAlignment="1">
      <alignment horizontal="left" vertical="center"/>
    </xf>
    <xf numFmtId="0" fontId="48" fillId="0" borderId="96" xfId="0" applyFont="1" applyFill="1" applyBorder="1" applyAlignment="1">
      <alignment horizontal="left" vertical="center"/>
    </xf>
    <xf numFmtId="0" fontId="44" fillId="2" borderId="97" xfId="0" applyFont="1" applyBorder="1" applyAlignment="1">
      <alignment horizontal="left" vertical="center" wrapText="1"/>
    </xf>
    <xf numFmtId="39" fontId="44" fillId="3" borderId="98" xfId="0" applyNumberFormat="1" applyFont="1" applyFill="1" applyBorder="1" applyAlignment="1">
      <alignment horizontal="right" vertical="center"/>
    </xf>
    <xf numFmtId="0" fontId="48" fillId="0" borderId="92" xfId="0" applyFont="1" applyFill="1" applyBorder="1" applyAlignment="1">
      <alignment horizontal="left" vertical="center"/>
    </xf>
    <xf numFmtId="0" fontId="44" fillId="2" borderId="93" xfId="0" applyFont="1" applyBorder="1" applyAlignment="1">
      <alignment horizontal="left" vertical="center" wrapText="1"/>
    </xf>
    <xf numFmtId="39" fontId="44" fillId="3" borderId="94" xfId="0" applyNumberFormat="1" applyFont="1" applyFill="1" applyBorder="1" applyAlignment="1">
      <alignment horizontal="right" vertical="center"/>
    </xf>
    <xf numFmtId="39" fontId="44" fillId="3" borderId="28" xfId="0" applyNumberFormat="1" applyFont="1" applyFill="1" applyBorder="1" applyAlignment="1">
      <alignment horizontal="right" vertical="center"/>
    </xf>
    <xf numFmtId="0" fontId="44" fillId="2" borderId="10" xfId="0" applyFont="1" applyBorder="1" applyAlignment="1">
      <alignment horizontal="left" vertical="center"/>
    </xf>
    <xf numFmtId="0" fontId="46" fillId="5" borderId="43" xfId="0" applyFont="1" applyFill="1" applyBorder="1" applyAlignment="1">
      <alignment horizontal="center" vertical="center"/>
    </xf>
    <xf numFmtId="39" fontId="46" fillId="5" borderId="64" xfId="0" applyNumberFormat="1" applyFont="1" applyFill="1" applyBorder="1" applyAlignment="1">
      <alignment horizontal="right" vertical="center"/>
    </xf>
    <xf numFmtId="37" fontId="46" fillId="5" borderId="64" xfId="0" applyNumberFormat="1" applyFont="1" applyFill="1" applyBorder="1" applyAlignment="1">
      <alignment horizontal="right" vertical="center"/>
    </xf>
    <xf numFmtId="0" fontId="44" fillId="3" borderId="33" xfId="0" applyFont="1" applyFill="1" applyBorder="1" applyAlignment="1">
      <alignment horizontal="left" vertical="center"/>
    </xf>
    <xf numFmtId="39" fontId="44" fillId="3" borderId="35" xfId="0" applyNumberFormat="1" applyFont="1" applyFill="1" applyBorder="1" applyAlignment="1">
      <alignment horizontal="right" vertical="center"/>
    </xf>
    <xf numFmtId="0" fontId="44" fillId="2" borderId="93" xfId="0" applyFont="1" applyBorder="1" applyAlignment="1">
      <alignment horizontal="left" vertical="center"/>
    </xf>
    <xf numFmtId="37" fontId="44" fillId="2" borderId="95" xfId="0" applyNumberFormat="1" applyFont="1" applyBorder="1" applyAlignment="1">
      <alignment horizontal="right" vertical="center"/>
    </xf>
    <xf numFmtId="39" fontId="44" fillId="2" borderId="95" xfId="0" applyNumberFormat="1" applyFont="1" applyBorder="1" applyAlignment="1">
      <alignment horizontal="right" vertical="center"/>
    </xf>
    <xf numFmtId="39" fontId="44" fillId="2" borderId="93" xfId="0" applyNumberFormat="1" applyFont="1" applyBorder="1" applyAlignment="1">
      <alignment horizontal="right" vertical="center"/>
    </xf>
    <xf numFmtId="0" fontId="44" fillId="2" borderId="92" xfId="0" applyFont="1" applyBorder="1" applyAlignment="1">
      <alignment horizontal="left" vertical="center"/>
    </xf>
    <xf numFmtId="39" fontId="44" fillId="3" borderId="92" xfId="0" applyNumberFormat="1" applyFont="1" applyFill="1" applyBorder="1" applyAlignment="1">
      <alignment horizontal="right" vertical="center"/>
    </xf>
    <xf numFmtId="39" fontId="44" fillId="2" borderId="92" xfId="0" applyNumberFormat="1" applyFont="1" applyBorder="1" applyAlignment="1">
      <alignment horizontal="right" vertical="center"/>
    </xf>
    <xf numFmtId="0" fontId="44" fillId="3" borderId="10" xfId="0" applyFont="1" applyFill="1" applyBorder="1" applyAlignment="1">
      <alignment horizontal="left" vertical="center"/>
    </xf>
    <xf numFmtId="0" fontId="44" fillId="3" borderId="1" xfId="0" applyFont="1" applyFill="1" applyBorder="1" applyAlignment="1">
      <alignment horizontal="left" vertical="center"/>
    </xf>
    <xf numFmtId="0" fontId="44" fillId="2" borderId="54" xfId="0" applyFont="1" applyBorder="1" applyAlignment="1">
      <alignment horizontal="left" vertical="center"/>
    </xf>
    <xf numFmtId="39" fontId="44" fillId="3" borderId="54" xfId="0" applyNumberFormat="1" applyFont="1" applyFill="1" applyBorder="1" applyAlignment="1">
      <alignment horizontal="right" vertical="center"/>
    </xf>
    <xf numFmtId="0" fontId="44" fillId="2" borderId="62" xfId="0" applyFont="1" applyBorder="1" applyAlignment="1">
      <alignment horizontal="left" vertical="center"/>
    </xf>
    <xf numFmtId="0" fontId="47" fillId="29" borderId="35" xfId="0" applyFont="1" applyFill="1" applyBorder="1" applyAlignment="1">
      <alignment horizontal="center" vertical="center"/>
    </xf>
    <xf numFmtId="0" fontId="47" fillId="29" borderId="31" xfId="0" applyFont="1" applyFill="1" applyBorder="1" applyAlignment="1">
      <alignment horizontal="left" vertical="center"/>
    </xf>
    <xf numFmtId="0" fontId="47" fillId="29" borderId="33" xfId="0" applyFont="1" applyFill="1" applyBorder="1" applyAlignment="1">
      <alignment horizontal="left" vertical="center"/>
    </xf>
    <xf numFmtId="39" fontId="46" fillId="29" borderId="30" xfId="0" applyNumberFormat="1" applyFont="1" applyFill="1" applyBorder="1" applyAlignment="1">
      <alignment horizontal="right" vertical="center"/>
    </xf>
    <xf numFmtId="37" fontId="46" fillId="29" borderId="3" xfId="0" applyNumberFormat="1" applyFont="1" applyFill="1" applyBorder="1" applyAlignment="1">
      <alignment horizontal="right" vertical="center"/>
    </xf>
    <xf numFmtId="39" fontId="46" fillId="29" borderId="32" xfId="0" applyNumberFormat="1" applyFont="1" applyFill="1" applyBorder="1" applyAlignment="1">
      <alignment horizontal="right" vertical="center"/>
    </xf>
    <xf numFmtId="37" fontId="46" fillId="29" borderId="32" xfId="0" applyNumberFormat="1" applyFont="1" applyFill="1" applyBorder="1" applyAlignment="1">
      <alignment horizontal="right" vertical="center"/>
    </xf>
    <xf numFmtId="39" fontId="46" fillId="29" borderId="33" xfId="0" applyNumberFormat="1" applyFont="1" applyFill="1" applyBorder="1" applyAlignment="1">
      <alignment horizontal="right" vertical="center"/>
    </xf>
    <xf numFmtId="39" fontId="46" fillId="29" borderId="29" xfId="0" applyNumberFormat="1" applyFont="1" applyFill="1" applyBorder="1" applyAlignment="1">
      <alignment horizontal="right" vertical="center"/>
    </xf>
    <xf numFmtId="37" fontId="46" fillId="29" borderId="82" xfId="0" applyNumberFormat="1" applyFont="1" applyFill="1" applyBorder="1" applyAlignment="1">
      <alignment horizontal="right" vertical="center"/>
    </xf>
    <xf numFmtId="39" fontId="46" fillId="29" borderId="82" xfId="0" applyNumberFormat="1" applyFont="1" applyFill="1" applyBorder="1" applyAlignment="1">
      <alignment horizontal="right" vertical="center"/>
    </xf>
    <xf numFmtId="0" fontId="47" fillId="29" borderId="87" xfId="0" applyFont="1" applyFill="1" applyBorder="1" applyAlignment="1">
      <alignment horizontal="center" vertical="center"/>
    </xf>
    <xf numFmtId="39" fontId="46" fillId="29" borderId="7" xfId="0" applyNumberFormat="1" applyFont="1" applyFill="1" applyBorder="1" applyAlignment="1">
      <alignment horizontal="right" vertical="center"/>
    </xf>
    <xf numFmtId="37" fontId="46" fillId="29" borderId="2" xfId="0" applyNumberFormat="1" applyFont="1" applyFill="1" applyBorder="1" applyAlignment="1">
      <alignment horizontal="right" vertical="center"/>
    </xf>
    <xf numFmtId="39" fontId="46" fillId="29" borderId="2" xfId="0" applyNumberFormat="1" applyFont="1" applyFill="1" applyBorder="1" applyAlignment="1">
      <alignment horizontal="right" vertical="center"/>
    </xf>
    <xf numFmtId="39" fontId="47" fillId="2" borderId="16" xfId="0" applyNumberFormat="1" applyFont="1" applyBorder="1" applyAlignment="1">
      <alignment horizontal="right" vertical="center"/>
    </xf>
    <xf numFmtId="0" fontId="3" fillId="2" borderId="0" xfId="0" applyFont="1" applyAlignment="1">
      <alignment horizontal="left" vertical="center"/>
    </xf>
    <xf numFmtId="37" fontId="3" fillId="2" borderId="0" xfId="0" applyNumberFormat="1" applyFont="1" applyAlignment="1">
      <alignment horizontal="left" vertical="center"/>
    </xf>
    <xf numFmtId="0" fontId="44" fillId="2" borderId="17" xfId="0" applyFont="1" applyBorder="1" applyAlignment="1">
      <alignment horizontal="center" wrapText="1"/>
    </xf>
    <xf numFmtId="0" fontId="44" fillId="2" borderId="18" xfId="0" applyFont="1" applyBorder="1" applyAlignment="1">
      <alignment horizontal="center"/>
    </xf>
    <xf numFmtId="0" fontId="44" fillId="2" borderId="1" xfId="0" applyFont="1" applyBorder="1" applyAlignment="1">
      <alignment horizontal="center" wrapText="1"/>
    </xf>
    <xf numFmtId="0" fontId="44" fillId="2" borderId="0" xfId="0" applyFont="1" applyAlignment="1">
      <alignment horizontal="center"/>
    </xf>
    <xf numFmtId="0" fontId="44" fillId="2" borderId="58" xfId="0" applyFont="1" applyBorder="1" applyAlignment="1">
      <alignment horizontal="center"/>
    </xf>
    <xf numFmtId="0" fontId="44" fillId="2" borderId="83" xfId="0" applyFont="1" applyBorder="1" applyAlignment="1">
      <alignment horizontal="center"/>
    </xf>
    <xf numFmtId="0" fontId="44" fillId="2" borderId="4" xfId="0" applyFont="1" applyBorder="1" applyAlignment="1">
      <alignment horizontal="center"/>
    </xf>
    <xf numFmtId="0" fontId="44" fillId="2" borderId="13" xfId="0" applyFont="1" applyBorder="1" applyAlignment="1">
      <alignment horizontal="center"/>
    </xf>
    <xf numFmtId="0" fontId="44" fillId="2" borderId="0" xfId="0" applyFont="1" applyAlignment="1">
      <alignment horizontal="left"/>
    </xf>
    <xf numFmtId="0" fontId="46" fillId="2" borderId="0" xfId="0" applyFont="1" applyAlignment="1">
      <alignment horizontal="left" vertical="center"/>
    </xf>
    <xf numFmtId="39" fontId="46" fillId="2" borderId="0" xfId="0" applyNumberFormat="1" applyFont="1" applyAlignment="1">
      <alignment horizontal="left" vertical="center"/>
    </xf>
    <xf numFmtId="37" fontId="50" fillId="2" borderId="0" xfId="0" applyNumberFormat="1" applyFont="1" applyAlignment="1">
      <alignment horizontal="left" vertical="center"/>
    </xf>
    <xf numFmtId="39" fontId="3" fillId="2" borderId="0" xfId="0" applyNumberFormat="1" applyFont="1" applyAlignment="1">
      <alignment horizontal="left" vertical="center"/>
    </xf>
    <xf numFmtId="0" fontId="3" fillId="2" borderId="0" xfId="0" applyFont="1" applyAlignment="1">
      <alignment horizontal="center" vertical="center"/>
    </xf>
    <xf numFmtId="0" fontId="8" fillId="2" borderId="3" xfId="0" applyFont="1" applyBorder="1" applyAlignment="1">
      <alignment horizontal="center"/>
    </xf>
    <xf numFmtId="0" fontId="8" fillId="2" borderId="4" xfId="0" applyFont="1" applyBorder="1" applyAlignment="1">
      <alignment horizontal="center"/>
    </xf>
    <xf numFmtId="0" fontId="8" fillId="2" borderId="60" xfId="0" applyFont="1" applyBorder="1"/>
    <xf numFmtId="0" fontId="44" fillId="2" borderId="12" xfId="0" applyFont="1" applyBorder="1"/>
    <xf numFmtId="0" fontId="44" fillId="2" borderId="4" xfId="0" applyFont="1" applyBorder="1"/>
    <xf numFmtId="0" fontId="8" fillId="2" borderId="1" xfId="0" applyFont="1" applyBorder="1"/>
    <xf numFmtId="0" fontId="51" fillId="2" borderId="11" xfId="0" applyFont="1" applyBorder="1" applyAlignment="1">
      <alignment horizontal="left" vertical="center"/>
    </xf>
    <xf numFmtId="0" fontId="52" fillId="29" borderId="68" xfId="0" applyFont="1" applyFill="1" applyBorder="1" applyAlignment="1">
      <alignment horizontal="center"/>
    </xf>
    <xf numFmtId="39" fontId="8" fillId="29" borderId="22" xfId="0" applyNumberFormat="1" applyFont="1" applyFill="1" applyBorder="1" applyAlignment="1">
      <alignment horizontal="center"/>
    </xf>
    <xf numFmtId="37" fontId="8" fillId="29" borderId="22" xfId="0" applyNumberFormat="1" applyFont="1" applyFill="1" applyBorder="1" applyAlignment="1">
      <alignment horizontal="center"/>
    </xf>
    <xf numFmtId="39" fontId="50" fillId="32" borderId="68" xfId="0" applyNumberFormat="1" applyFont="1" applyFill="1" applyBorder="1"/>
    <xf numFmtId="39" fontId="50" fillId="32" borderId="15" xfId="0" applyNumberFormat="1" applyFont="1" applyFill="1" applyBorder="1"/>
    <xf numFmtId="39" fontId="50" fillId="2" borderId="1" xfId="0" applyNumberFormat="1" applyFont="1" applyBorder="1"/>
    <xf numFmtId="0" fontId="53" fillId="2" borderId="1" xfId="0" applyFont="1" applyBorder="1" applyAlignment="1">
      <alignment horizontal="left" vertical="center"/>
    </xf>
    <xf numFmtId="0" fontId="53" fillId="5" borderId="15" xfId="0" applyFont="1" applyFill="1" applyBorder="1" applyAlignment="1">
      <alignment horizontal="center" vertical="center"/>
    </xf>
    <xf numFmtId="0" fontId="53" fillId="5" borderId="10" xfId="0" applyFont="1" applyFill="1" applyBorder="1" applyAlignment="1">
      <alignment vertical="center"/>
    </xf>
    <xf numFmtId="39" fontId="53" fillId="5" borderId="67" xfId="0" applyNumberFormat="1" applyFont="1" applyFill="1" applyBorder="1" applyAlignment="1">
      <alignment vertical="center"/>
    </xf>
    <xf numFmtId="37" fontId="53" fillId="5" borderId="67" xfId="0" applyNumberFormat="1" applyFont="1" applyFill="1" applyBorder="1" applyAlignment="1">
      <alignment vertical="center"/>
    </xf>
    <xf numFmtId="39" fontId="50" fillId="32" borderId="83" xfId="0" applyNumberFormat="1" applyFont="1" applyFill="1" applyBorder="1"/>
    <xf numFmtId="39" fontId="50" fillId="32" borderId="88" xfId="0" applyNumberFormat="1" applyFont="1" applyFill="1" applyBorder="1"/>
    <xf numFmtId="0" fontId="53" fillId="3" borderId="0" xfId="0" applyFont="1" applyFill="1" applyAlignment="1">
      <alignment horizontal="center" vertical="center"/>
    </xf>
    <xf numFmtId="0" fontId="53" fillId="3" borderId="0" xfId="0" applyFont="1" applyFill="1" applyAlignment="1">
      <alignment vertical="center"/>
    </xf>
    <xf numFmtId="39" fontId="53" fillId="30" borderId="82" xfId="0" applyNumberFormat="1" applyFont="1" applyFill="1" applyBorder="1" applyAlignment="1">
      <alignment vertical="center"/>
    </xf>
    <xf numFmtId="0" fontId="50" fillId="30" borderId="82" xfId="0" applyFont="1" applyFill="1" applyBorder="1"/>
    <xf numFmtId="37" fontId="50" fillId="30" borderId="82" xfId="0" applyNumberFormat="1" applyFont="1" applyFill="1" applyBorder="1"/>
    <xf numFmtId="39" fontId="50" fillId="31" borderId="3" xfId="0" applyNumberFormat="1" applyFont="1" applyFill="1" applyBorder="1"/>
    <xf numFmtId="39" fontId="50" fillId="31" borderId="13" xfId="0" applyNumberFormat="1" applyFont="1" applyFill="1" applyBorder="1"/>
    <xf numFmtId="39" fontId="50" fillId="2" borderId="46" xfId="0" applyNumberFormat="1" applyFont="1" applyBorder="1"/>
    <xf numFmtId="0" fontId="50" fillId="2" borderId="11" xfId="0" applyFont="1" applyBorder="1" applyAlignment="1">
      <alignment vertical="center"/>
    </xf>
    <xf numFmtId="0" fontId="50" fillId="2" borderId="1" xfId="0" applyFont="1" applyBorder="1" applyAlignment="1">
      <alignment vertical="center"/>
    </xf>
    <xf numFmtId="0" fontId="50" fillId="2" borderId="2" xfId="0" applyFont="1" applyBorder="1" applyAlignment="1">
      <alignment horizontal="center" vertical="center"/>
    </xf>
    <xf numFmtId="0" fontId="50" fillId="2" borderId="1" xfId="0" applyFont="1" applyBorder="1" applyAlignment="1">
      <alignment horizontal="center" vertical="center"/>
    </xf>
    <xf numFmtId="0" fontId="54" fillId="0" borderId="10" xfId="0" applyFont="1" applyFill="1" applyBorder="1" applyAlignment="1">
      <alignment horizontal="left" vertical="top" wrapText="1"/>
    </xf>
    <xf numFmtId="0" fontId="50" fillId="2" borderId="0" xfId="0" applyFont="1" applyAlignment="1">
      <alignment vertical="center"/>
    </xf>
    <xf numFmtId="39" fontId="50" fillId="2" borderId="63" xfId="0" applyNumberFormat="1" applyFont="1" applyBorder="1"/>
    <xf numFmtId="37" fontId="50" fillId="2" borderId="65" xfId="0" applyNumberFormat="1" applyFont="1" applyBorder="1"/>
    <xf numFmtId="39" fontId="50" fillId="2" borderId="65" xfId="0" applyNumberFormat="1" applyFont="1" applyBorder="1"/>
    <xf numFmtId="39" fontId="50" fillId="31" borderId="65" xfId="0" applyNumberFormat="1" applyFont="1" applyFill="1" applyBorder="1"/>
    <xf numFmtId="0" fontId="54" fillId="0" borderId="44" xfId="0" applyFont="1" applyFill="1" applyBorder="1" applyAlignment="1">
      <alignment horizontal="left" vertical="top"/>
    </xf>
    <xf numFmtId="0" fontId="50" fillId="2" borderId="48" xfId="0" applyFont="1" applyBorder="1" applyAlignment="1">
      <alignment vertical="center"/>
    </xf>
    <xf numFmtId="37" fontId="50" fillId="2" borderId="45" xfId="0" applyNumberFormat="1" applyFont="1" applyBorder="1"/>
    <xf numFmtId="39" fontId="50" fillId="2" borderId="45" xfId="0" applyNumberFormat="1" applyFont="1" applyBorder="1"/>
    <xf numFmtId="39" fontId="50" fillId="2" borderId="46" xfId="0" applyNumberFormat="1" applyFont="1" applyBorder="1" applyAlignment="1">
      <alignment vertical="center"/>
    </xf>
    <xf numFmtId="0" fontId="54" fillId="30" borderId="44" xfId="0" applyFont="1" applyFill="1" applyBorder="1" applyAlignment="1">
      <alignment horizontal="left" vertical="top"/>
    </xf>
    <xf numFmtId="0" fontId="50" fillId="30" borderId="47" xfId="0" applyFont="1" applyFill="1" applyBorder="1" applyAlignment="1">
      <alignment horizontal="left" vertical="center" wrapText="1"/>
    </xf>
    <xf numFmtId="39" fontId="50" fillId="30" borderId="46" xfId="0" applyNumberFormat="1" applyFont="1" applyFill="1" applyBorder="1"/>
    <xf numFmtId="37" fontId="50" fillId="30" borderId="45" xfId="0" applyNumberFormat="1" applyFont="1" applyFill="1" applyBorder="1"/>
    <xf numFmtId="39" fontId="50" fillId="30" borderId="45" xfId="0" applyNumberFormat="1" applyFont="1" applyFill="1" applyBorder="1"/>
    <xf numFmtId="0" fontId="54" fillId="0" borderId="49" xfId="0" applyFont="1" applyFill="1" applyBorder="1" applyAlignment="1">
      <alignment horizontal="left" vertical="top"/>
    </xf>
    <xf numFmtId="0" fontId="50" fillId="2" borderId="52" xfId="0" applyFont="1" applyBorder="1" applyAlignment="1">
      <alignment vertical="center"/>
    </xf>
    <xf numFmtId="37" fontId="50" fillId="2" borderId="50" xfId="0" applyNumberFormat="1" applyFont="1" applyBorder="1"/>
    <xf numFmtId="37" fontId="50" fillId="2" borderId="2" xfId="0" applyNumberFormat="1" applyFont="1" applyBorder="1"/>
    <xf numFmtId="39" fontId="50" fillId="31" borderId="2" xfId="0" applyNumberFormat="1" applyFont="1" applyFill="1" applyBorder="1"/>
    <xf numFmtId="39" fontId="50" fillId="30" borderId="3" xfId="0" applyNumberFormat="1" applyFont="1" applyFill="1" applyBorder="1"/>
    <xf numFmtId="37" fontId="50" fillId="30" borderId="3" xfId="0" applyNumberFormat="1" applyFont="1" applyFill="1" applyBorder="1"/>
    <xf numFmtId="39" fontId="50" fillId="32" borderId="3" xfId="0" applyNumberFormat="1" applyFont="1" applyFill="1" applyBorder="1"/>
    <xf numFmtId="39" fontId="50" fillId="32" borderId="13" xfId="0" applyNumberFormat="1" applyFont="1" applyFill="1" applyBorder="1"/>
    <xf numFmtId="0" fontId="54" fillId="30" borderId="6" xfId="0" applyFont="1" applyFill="1" applyBorder="1" applyAlignment="1">
      <alignment horizontal="left" vertical="top"/>
    </xf>
    <xf numFmtId="0" fontId="50" fillId="30" borderId="21" xfId="0" applyFont="1" applyFill="1" applyBorder="1" applyAlignment="1">
      <alignment vertical="center"/>
    </xf>
    <xf numFmtId="37" fontId="50" fillId="30" borderId="4" xfId="0" applyNumberFormat="1" applyFont="1" applyFill="1" applyBorder="1"/>
    <xf numFmtId="39" fontId="50" fillId="30" borderId="4" xfId="0" applyNumberFormat="1" applyFont="1" applyFill="1" applyBorder="1"/>
    <xf numFmtId="0" fontId="54" fillId="0" borderId="61" xfId="0" applyFont="1" applyFill="1" applyBorder="1" applyAlignment="1">
      <alignment horizontal="left" vertical="top"/>
    </xf>
    <xf numFmtId="0" fontId="50" fillId="2" borderId="62" xfId="0" applyFont="1" applyBorder="1" applyAlignment="1">
      <alignment vertical="center"/>
    </xf>
    <xf numFmtId="0" fontId="50" fillId="2" borderId="47" xfId="0" applyFont="1" applyBorder="1" applyAlignment="1">
      <alignment vertical="center"/>
    </xf>
    <xf numFmtId="0" fontId="50" fillId="30" borderId="48" xfId="0" applyFont="1" applyFill="1" applyBorder="1" applyAlignment="1">
      <alignment vertical="center"/>
    </xf>
    <xf numFmtId="0" fontId="50" fillId="30" borderId="48" xfId="0" applyFont="1" applyFill="1" applyBorder="1" applyAlignment="1">
      <alignment horizontal="left" vertical="center" wrapText="1"/>
    </xf>
    <xf numFmtId="0" fontId="54" fillId="0" borderId="87" xfId="0" applyFont="1" applyFill="1" applyBorder="1" applyAlignment="1">
      <alignment horizontal="left" vertical="top"/>
    </xf>
    <xf numFmtId="0" fontId="52" fillId="5" borderId="22" xfId="0" applyFont="1" applyFill="1" applyBorder="1" applyAlignment="1">
      <alignment horizontal="center" vertical="top"/>
    </xf>
    <xf numFmtId="0" fontId="50" fillId="5" borderId="18" xfId="0" applyFont="1" applyFill="1" applyBorder="1" applyAlignment="1">
      <alignment horizontal="left" vertical="center"/>
    </xf>
    <xf numFmtId="39" fontId="50" fillId="5" borderId="69" xfId="0" applyNumberFormat="1" applyFont="1" applyFill="1" applyBorder="1"/>
    <xf numFmtId="37" fontId="50" fillId="5" borderId="69" xfId="0" applyNumberFormat="1" applyFont="1" applyFill="1" applyBorder="1"/>
    <xf numFmtId="39" fontId="50" fillId="32" borderId="6" xfId="0" applyNumberFormat="1" applyFont="1" applyFill="1" applyBorder="1"/>
    <xf numFmtId="0" fontId="52" fillId="3" borderId="36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left" vertical="center"/>
    </xf>
    <xf numFmtId="39" fontId="50" fillId="30" borderId="69" xfId="0" applyNumberFormat="1" applyFont="1" applyFill="1" applyBorder="1"/>
    <xf numFmtId="37" fontId="50" fillId="30" borderId="32" xfId="0" applyNumberFormat="1" applyFont="1" applyFill="1" applyBorder="1"/>
    <xf numFmtId="39" fontId="50" fillId="30" borderId="32" xfId="0" applyNumberFormat="1" applyFont="1" applyFill="1" applyBorder="1"/>
    <xf numFmtId="0" fontId="50" fillId="2" borderId="5" xfId="0" applyFont="1" applyBorder="1" applyAlignment="1">
      <alignment vertical="center"/>
    </xf>
    <xf numFmtId="0" fontId="50" fillId="2" borderId="39" xfId="0" applyFont="1" applyBorder="1" applyAlignment="1">
      <alignment horizontal="left" vertical="center"/>
    </xf>
    <xf numFmtId="0" fontId="54" fillId="30" borderId="35" xfId="0" applyFont="1" applyFill="1" applyBorder="1" applyAlignment="1">
      <alignment horizontal="left" vertical="top"/>
    </xf>
    <xf numFmtId="0" fontId="50" fillId="30" borderId="33" xfId="0" applyFont="1" applyFill="1" applyBorder="1" applyAlignment="1">
      <alignment vertical="center"/>
    </xf>
    <xf numFmtId="39" fontId="50" fillId="30" borderId="30" xfId="0" applyNumberFormat="1" applyFont="1" applyFill="1" applyBorder="1"/>
    <xf numFmtId="0" fontId="50" fillId="2" borderId="0" xfId="0" applyFont="1" applyAlignment="1">
      <alignment horizontal="left" vertical="center"/>
    </xf>
    <xf numFmtId="0" fontId="54" fillId="0" borderId="92" xfId="0" applyFont="1" applyFill="1" applyBorder="1" applyAlignment="1">
      <alignment horizontal="left" vertical="top"/>
    </xf>
    <xf numFmtId="0" fontId="50" fillId="2" borderId="93" xfId="0" applyFont="1" applyBorder="1" applyAlignment="1">
      <alignment vertical="center"/>
    </xf>
    <xf numFmtId="0" fontId="54" fillId="0" borderId="54" xfId="0" applyFont="1" applyFill="1" applyBorder="1" applyAlignment="1">
      <alignment horizontal="left" vertical="top"/>
    </xf>
    <xf numFmtId="0" fontId="50" fillId="2" borderId="55" xfId="0" applyFont="1" applyBorder="1" applyAlignment="1">
      <alignment vertical="center"/>
    </xf>
    <xf numFmtId="0" fontId="52" fillId="5" borderId="68" xfId="0" applyFont="1" applyFill="1" applyBorder="1" applyAlignment="1">
      <alignment horizontal="center" vertical="center"/>
    </xf>
    <xf numFmtId="39" fontId="50" fillId="32" borderId="102" xfId="0" applyNumberFormat="1" applyFont="1" applyFill="1" applyBorder="1"/>
    <xf numFmtId="39" fontId="50" fillId="32" borderId="103" xfId="0" applyNumberFormat="1" applyFont="1" applyFill="1" applyBorder="1"/>
    <xf numFmtId="0" fontId="52" fillId="3" borderId="0" xfId="0" applyFont="1" applyFill="1" applyAlignment="1">
      <alignment horizontal="center" vertical="center"/>
    </xf>
    <xf numFmtId="39" fontId="50" fillId="32" borderId="65" xfId="0" applyNumberFormat="1" applyFont="1" applyFill="1" applyBorder="1"/>
    <xf numFmtId="3" fontId="54" fillId="0" borderId="10" xfId="0" applyNumberFormat="1" applyFont="1" applyFill="1" applyBorder="1" applyAlignment="1">
      <alignment horizontal="left" vertical="top"/>
    </xf>
    <xf numFmtId="39" fontId="50" fillId="2" borderId="2" xfId="0" applyNumberFormat="1" applyFont="1" applyBorder="1"/>
    <xf numFmtId="37" fontId="50" fillId="2" borderId="57" xfId="0" applyNumberFormat="1" applyFont="1" applyBorder="1"/>
    <xf numFmtId="37" fontId="50" fillId="2" borderId="46" xfId="0" applyNumberFormat="1" applyFont="1" applyBorder="1"/>
    <xf numFmtId="0" fontId="50" fillId="2" borderId="27" xfId="0" applyFont="1" applyBorder="1" applyAlignment="1">
      <alignment horizontal="left" vertical="center"/>
    </xf>
    <xf numFmtId="0" fontId="50" fillId="2" borderId="55" xfId="0" applyFont="1" applyBorder="1" applyAlignment="1">
      <alignment vertical="center" wrapText="1"/>
    </xf>
    <xf numFmtId="0" fontId="50" fillId="2" borderId="55" xfId="0" applyFont="1" applyBorder="1" applyAlignment="1">
      <alignment horizontal="left" vertical="center" wrapText="1"/>
    </xf>
    <xf numFmtId="0" fontId="50" fillId="2" borderId="86" xfId="0" applyFont="1" applyBorder="1" applyAlignment="1">
      <alignment vertical="center"/>
    </xf>
    <xf numFmtId="0" fontId="54" fillId="0" borderId="10" xfId="0" applyFont="1" applyFill="1" applyBorder="1" applyAlignment="1">
      <alignment horizontal="left" vertical="top"/>
    </xf>
    <xf numFmtId="39" fontId="50" fillId="2" borderId="86" xfId="0" applyNumberFormat="1" applyFont="1" applyBorder="1"/>
    <xf numFmtId="37" fontId="50" fillId="2" borderId="82" xfId="0" applyNumberFormat="1" applyFont="1" applyBorder="1"/>
    <xf numFmtId="0" fontId="52" fillId="5" borderId="30" xfId="0" applyFont="1" applyFill="1" applyBorder="1" applyAlignment="1">
      <alignment horizontal="center" vertical="top"/>
    </xf>
    <xf numFmtId="39" fontId="50" fillId="5" borderId="36" xfId="0" applyNumberFormat="1" applyFont="1" applyFill="1" applyBorder="1"/>
    <xf numFmtId="37" fontId="50" fillId="5" borderId="36" xfId="0" applyNumberFormat="1" applyFont="1" applyFill="1" applyBorder="1"/>
    <xf numFmtId="39" fontId="50" fillId="32" borderId="4" xfId="0" applyNumberFormat="1" applyFont="1" applyFill="1" applyBorder="1"/>
    <xf numFmtId="0" fontId="52" fillId="3" borderId="9" xfId="0" applyFont="1" applyFill="1" applyBorder="1" applyAlignment="1">
      <alignment horizontal="center" vertical="center"/>
    </xf>
    <xf numFmtId="0" fontId="50" fillId="3" borderId="33" xfId="0" applyFont="1" applyFill="1" applyBorder="1" applyAlignment="1">
      <alignment horizontal="left" vertical="center"/>
    </xf>
    <xf numFmtId="0" fontId="50" fillId="2" borderId="92" xfId="0" applyFont="1" applyBorder="1" applyAlignment="1">
      <alignment vertical="center"/>
    </xf>
    <xf numFmtId="37" fontId="50" fillId="2" borderId="95" xfId="0" applyNumberFormat="1" applyFont="1" applyBorder="1"/>
    <xf numFmtId="37" fontId="50" fillId="2" borderId="17" xfId="0" applyNumberFormat="1" applyFont="1" applyBorder="1"/>
    <xf numFmtId="39" fontId="50" fillId="3" borderId="46" xfId="0" applyNumberFormat="1" applyFont="1" applyFill="1" applyBorder="1"/>
    <xf numFmtId="0" fontId="50" fillId="3" borderId="1" xfId="0" applyFont="1" applyFill="1" applyBorder="1" applyAlignment="1">
      <alignment vertical="center"/>
    </xf>
    <xf numFmtId="0" fontId="50" fillId="3" borderId="0" xfId="0" applyFont="1" applyFill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" borderId="54" xfId="0" applyFont="1" applyBorder="1" applyAlignment="1">
      <alignment vertical="center"/>
    </xf>
    <xf numFmtId="37" fontId="50" fillId="3" borderId="57" xfId="0" applyNumberFormat="1" applyFont="1" applyFill="1" applyBorder="1"/>
    <xf numFmtId="0" fontId="53" fillId="2" borderId="1" xfId="0" applyFont="1" applyBorder="1" applyAlignment="1">
      <alignment vertical="center"/>
    </xf>
    <xf numFmtId="37" fontId="50" fillId="2" borderId="63" xfId="0" applyNumberFormat="1" applyFont="1" applyBorder="1"/>
    <xf numFmtId="0" fontId="53" fillId="2" borderId="11" xfId="0" applyFont="1" applyBorder="1" applyAlignment="1">
      <alignment horizontal="left" vertical="center"/>
    </xf>
    <xf numFmtId="0" fontId="53" fillId="29" borderId="35" xfId="0" applyFont="1" applyFill="1" applyBorder="1" applyAlignment="1">
      <alignment horizontal="center" vertical="center"/>
    </xf>
    <xf numFmtId="0" fontId="53" fillId="29" borderId="31" xfId="0" applyFont="1" applyFill="1" applyBorder="1" applyAlignment="1">
      <alignment vertical="center"/>
    </xf>
    <xf numFmtId="0" fontId="53" fillId="29" borderId="33" xfId="0" applyFont="1" applyFill="1" applyBorder="1" applyAlignment="1">
      <alignment vertical="center"/>
    </xf>
    <xf numFmtId="39" fontId="50" fillId="29" borderId="3" xfId="0" applyNumberFormat="1" applyFont="1" applyFill="1" applyBorder="1"/>
    <xf numFmtId="0" fontId="50" fillId="29" borderId="4" xfId="0" applyFont="1" applyFill="1" applyBorder="1"/>
    <xf numFmtId="37" fontId="50" fillId="29" borderId="4" xfId="0" applyNumberFormat="1" applyFont="1" applyFill="1" applyBorder="1"/>
    <xf numFmtId="39" fontId="50" fillId="29" borderId="4" xfId="0" applyNumberFormat="1" applyFont="1" applyFill="1" applyBorder="1"/>
    <xf numFmtId="0" fontId="50" fillId="29" borderId="21" xfId="0" applyFont="1" applyFill="1" applyBorder="1"/>
    <xf numFmtId="39" fontId="50" fillId="32" borderId="35" xfId="0" applyNumberFormat="1" applyFont="1" applyFill="1" applyBorder="1"/>
    <xf numFmtId="164" fontId="50" fillId="29" borderId="4" xfId="0" applyNumberFormat="1" applyFont="1" applyFill="1" applyBorder="1"/>
    <xf numFmtId="0" fontId="53" fillId="29" borderId="87" xfId="0" applyFont="1" applyFill="1" applyBorder="1" applyAlignment="1">
      <alignment horizontal="center" vertical="center"/>
    </xf>
    <xf numFmtId="39" fontId="50" fillId="2" borderId="60" xfId="0" applyNumberFormat="1" applyFont="1" applyBorder="1"/>
    <xf numFmtId="39" fontId="53" fillId="4" borderId="3" xfId="0" applyNumberFormat="1" applyFont="1" applyFill="1" applyBorder="1"/>
    <xf numFmtId="37" fontId="53" fillId="4" borderId="3" xfId="0" applyNumberFormat="1" applyFont="1" applyFill="1" applyBorder="1"/>
    <xf numFmtId="39" fontId="53" fillId="4" borderId="12" xfId="0" applyNumberFormat="1" applyFont="1" applyFill="1" applyBorder="1"/>
    <xf numFmtId="39" fontId="50" fillId="31" borderId="35" xfId="0" applyNumberFormat="1" applyFont="1" applyFill="1" applyBorder="1"/>
    <xf numFmtId="0" fontId="8" fillId="2" borderId="11" xfId="0" applyFont="1" applyBorder="1"/>
    <xf numFmtId="39" fontId="50" fillId="2" borderId="11" xfId="0" applyNumberFormat="1" applyFont="1" applyBorder="1"/>
    <xf numFmtId="39" fontId="50" fillId="2" borderId="11" xfId="0" applyNumberFormat="1" applyFont="1" applyBorder="1" applyAlignment="1">
      <alignment vertical="center"/>
    </xf>
    <xf numFmtId="0" fontId="50" fillId="2" borderId="11" xfId="0" applyFont="1" applyBorder="1" applyAlignment="1">
      <alignment horizontal="center" vertical="center" wrapText="1"/>
    </xf>
    <xf numFmtId="0" fontId="50" fillId="2" borderId="2" xfId="0" applyFont="1" applyBorder="1" applyAlignment="1">
      <alignment horizontal="center" vertical="center" wrapText="1"/>
    </xf>
    <xf numFmtId="0" fontId="8" fillId="2" borderId="2" xfId="0" applyFont="1" applyBorder="1"/>
    <xf numFmtId="39" fontId="50" fillId="2" borderId="2" xfId="0" applyNumberFormat="1" applyFont="1" applyBorder="1" applyAlignment="1">
      <alignment vertical="center"/>
    </xf>
    <xf numFmtId="39" fontId="50" fillId="3" borderId="11" xfId="0" applyNumberFormat="1" applyFont="1" applyFill="1" applyBorder="1"/>
    <xf numFmtId="39" fontId="50" fillId="3" borderId="2" xfId="0" applyNumberFormat="1" applyFont="1" applyFill="1" applyBorder="1"/>
    <xf numFmtId="0" fontId="30" fillId="2" borderId="11" xfId="0" applyFont="1" applyBorder="1" applyAlignment="1">
      <alignment horizontal="left" vertical="center"/>
    </xf>
    <xf numFmtId="0" fontId="57" fillId="2" borderId="1" xfId="0" applyFont="1" applyBorder="1" applyAlignment="1">
      <alignment horizontal="left" vertical="center"/>
    </xf>
    <xf numFmtId="0" fontId="57" fillId="5" borderId="15" xfId="0" applyFont="1" applyFill="1" applyBorder="1" applyAlignment="1">
      <alignment horizontal="center" vertical="center"/>
    </xf>
    <xf numFmtId="0" fontId="57" fillId="5" borderId="10" xfId="0" applyFont="1" applyFill="1" applyBorder="1" applyAlignment="1">
      <alignment vertical="center"/>
    </xf>
    <xf numFmtId="37" fontId="57" fillId="5" borderId="67" xfId="0" applyNumberFormat="1" applyFont="1" applyFill="1" applyBorder="1" applyAlignment="1">
      <alignment vertical="center"/>
    </xf>
    <xf numFmtId="0" fontId="57" fillId="3" borderId="0" xfId="0" applyFont="1" applyFill="1" applyAlignment="1">
      <alignment horizontal="center" vertical="center"/>
    </xf>
    <xf numFmtId="0" fontId="57" fillId="3" borderId="0" xfId="0" applyFont="1" applyFill="1" applyAlignment="1">
      <alignment vertical="center"/>
    </xf>
    <xf numFmtId="0" fontId="15" fillId="2" borderId="11" xfId="0" applyFont="1" applyBorder="1" applyAlignment="1">
      <alignment vertical="center"/>
    </xf>
    <xf numFmtId="0" fontId="15" fillId="2" borderId="1" xfId="0" applyFont="1" applyBorder="1" applyAlignment="1">
      <alignment vertical="center"/>
    </xf>
    <xf numFmtId="0" fontId="15" fillId="2" borderId="2" xfId="0" applyFont="1" applyBorder="1" applyAlignment="1">
      <alignment horizontal="center" vertical="center"/>
    </xf>
    <xf numFmtId="0" fontId="15" fillId="2" borderId="1" xfId="0" applyFont="1" applyBorder="1" applyAlignment="1">
      <alignment horizontal="center" vertical="center"/>
    </xf>
    <xf numFmtId="0" fontId="15" fillId="2" borderId="0" xfId="0" applyFont="1" applyAlignment="1">
      <alignment vertical="center"/>
    </xf>
    <xf numFmtId="0" fontId="15" fillId="2" borderId="48" xfId="0" applyFont="1" applyBorder="1" applyAlignment="1">
      <alignment vertical="center"/>
    </xf>
    <xf numFmtId="0" fontId="15" fillId="2" borderId="52" xfId="0" applyFont="1" applyBorder="1" applyAlignment="1">
      <alignment vertical="center"/>
    </xf>
    <xf numFmtId="0" fontId="15" fillId="30" borderId="21" xfId="0" applyFont="1" applyFill="1" applyBorder="1" applyAlignment="1">
      <alignment vertical="center"/>
    </xf>
    <xf numFmtId="0" fontId="15" fillId="30" borderId="48" xfId="0" applyFont="1" applyFill="1" applyBorder="1" applyAlignment="1">
      <alignment vertical="center"/>
    </xf>
    <xf numFmtId="0" fontId="15" fillId="30" borderId="48" xfId="0" applyFont="1" applyFill="1" applyBorder="1" applyAlignment="1">
      <alignment horizontal="left" vertical="center" wrapText="1"/>
    </xf>
    <xf numFmtId="0" fontId="15" fillId="5" borderId="18" xfId="0" applyFont="1" applyFill="1" applyBorder="1" applyAlignment="1">
      <alignment horizontal="left" vertical="center"/>
    </xf>
    <xf numFmtId="0" fontId="56" fillId="3" borderId="3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2" borderId="5" xfId="0" applyFont="1" applyBorder="1" applyAlignment="1">
      <alignment vertical="center"/>
    </xf>
    <xf numFmtId="0" fontId="15" fillId="2" borderId="39" xfId="0" applyFont="1" applyBorder="1" applyAlignment="1">
      <alignment horizontal="left" vertical="center"/>
    </xf>
    <xf numFmtId="0" fontId="15" fillId="2" borderId="0" xfId="0" applyFont="1" applyAlignment="1">
      <alignment horizontal="left" vertical="center"/>
    </xf>
    <xf numFmtId="0" fontId="56" fillId="5" borderId="68" xfId="0" applyFont="1" applyFill="1" applyBorder="1" applyAlignment="1">
      <alignment horizontal="center" vertical="center"/>
    </xf>
    <xf numFmtId="0" fontId="56" fillId="3" borderId="0" xfId="0" applyFont="1" applyFill="1" applyAlignment="1">
      <alignment horizontal="center" vertical="center"/>
    </xf>
    <xf numFmtId="0" fontId="15" fillId="2" borderId="27" xfId="0" applyFont="1" applyBorder="1" applyAlignment="1">
      <alignment horizontal="left" vertical="center"/>
    </xf>
    <xf numFmtId="0" fontId="15" fillId="2" borderId="86" xfId="0" applyFont="1" applyBorder="1" applyAlignment="1">
      <alignment vertical="center"/>
    </xf>
    <xf numFmtId="0" fontId="56" fillId="3" borderId="9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57" fillId="2" borderId="1" xfId="0" applyFont="1" applyBorder="1" applyAlignment="1">
      <alignment vertical="center"/>
    </xf>
    <xf numFmtId="0" fontId="57" fillId="2" borderId="11" xfId="0" applyFont="1" applyBorder="1" applyAlignment="1">
      <alignment horizontal="left" vertical="center"/>
    </xf>
    <xf numFmtId="0" fontId="57" fillId="29" borderId="35" xfId="0" applyFont="1" applyFill="1" applyBorder="1" applyAlignment="1">
      <alignment horizontal="center" vertical="center"/>
    </xf>
    <xf numFmtId="0" fontId="57" fillId="29" borderId="31" xfId="0" applyFont="1" applyFill="1" applyBorder="1" applyAlignment="1">
      <alignment vertical="center"/>
    </xf>
    <xf numFmtId="0" fontId="57" fillId="29" borderId="87" xfId="0" applyFont="1" applyFill="1" applyBorder="1" applyAlignment="1">
      <alignment horizontal="center" vertical="center"/>
    </xf>
    <xf numFmtId="43" fontId="7" fillId="2" borderId="0" xfId="281" applyFont="1" applyFill="1" applyAlignment="1">
      <alignment horizontal="center"/>
    </xf>
    <xf numFmtId="43" fontId="4" fillId="2" borderId="0" xfId="281" applyFont="1" applyFill="1"/>
    <xf numFmtId="43" fontId="4" fillId="3" borderId="0" xfId="281" applyFont="1" applyFill="1"/>
    <xf numFmtId="43" fontId="5" fillId="2" borderId="0" xfId="281" applyFont="1" applyFill="1"/>
    <xf numFmtId="0" fontId="15" fillId="2" borderId="58" xfId="0" applyFont="1" applyBorder="1" applyAlignment="1">
      <alignment horizontal="center" vertical="center"/>
    </xf>
    <xf numFmtId="0" fontId="15" fillId="2" borderId="83" xfId="0" applyFont="1" applyBorder="1" applyAlignment="1">
      <alignment horizontal="center" vertical="center"/>
    </xf>
    <xf numFmtId="0" fontId="15" fillId="2" borderId="4" xfId="0" applyFont="1" applyBorder="1" applyAlignment="1">
      <alignment horizontal="center" vertical="center"/>
    </xf>
    <xf numFmtId="0" fontId="15" fillId="2" borderId="12" xfId="0" applyFont="1" applyBorder="1" applyAlignment="1">
      <alignment horizontal="center" vertical="center"/>
    </xf>
    <xf numFmtId="0" fontId="56" fillId="29" borderId="68" xfId="0" applyFont="1" applyFill="1" applyBorder="1" applyAlignment="1">
      <alignment horizontal="center" vertical="center"/>
    </xf>
    <xf numFmtId="0" fontId="15" fillId="2" borderId="17" xfId="0" applyFont="1" applyBorder="1" applyAlignment="1">
      <alignment horizontal="center" vertical="center" wrapText="1"/>
    </xf>
    <xf numFmtId="0" fontId="60" fillId="2" borderId="0" xfId="0" applyFont="1"/>
    <xf numFmtId="0" fontId="43" fillId="2" borderId="0" xfId="0" applyFont="1" applyAlignment="1">
      <alignment horizontal="center"/>
    </xf>
    <xf numFmtId="0" fontId="15" fillId="2" borderId="18" xfId="0" applyFont="1" applyBorder="1" applyAlignment="1">
      <alignment horizontal="center" vertical="center"/>
    </xf>
    <xf numFmtId="0" fontId="15" fillId="2" borderId="1" xfId="0" applyFont="1" applyBorder="1" applyAlignment="1">
      <alignment horizontal="center" vertical="center" wrapText="1"/>
    </xf>
    <xf numFmtId="0" fontId="15" fillId="2" borderId="0" xfId="0" applyFont="1" applyAlignment="1">
      <alignment horizontal="center" vertical="center"/>
    </xf>
    <xf numFmtId="0" fontId="15" fillId="2" borderId="106" xfId="0" applyFont="1" applyBorder="1" applyAlignment="1">
      <alignment horizontal="center" vertical="center"/>
    </xf>
    <xf numFmtId="0" fontId="58" fillId="0" borderId="10" xfId="0" applyFont="1" applyFill="1" applyBorder="1" applyAlignment="1">
      <alignment horizontal="left" vertical="center" wrapText="1"/>
    </xf>
    <xf numFmtId="37" fontId="15" fillId="2" borderId="65" xfId="0" applyNumberFormat="1" applyFont="1" applyBorder="1" applyAlignment="1">
      <alignment vertical="center"/>
    </xf>
    <xf numFmtId="0" fontId="58" fillId="0" borderId="44" xfId="0" applyFont="1" applyFill="1" applyBorder="1" applyAlignment="1">
      <alignment horizontal="left" vertical="center"/>
    </xf>
    <xf numFmtId="0" fontId="58" fillId="30" borderId="44" xfId="0" applyFont="1" applyFill="1" applyBorder="1" applyAlignment="1">
      <alignment horizontal="left" vertical="center"/>
    </xf>
    <xf numFmtId="37" fontId="15" fillId="30" borderId="45" xfId="0" applyNumberFormat="1" applyFont="1" applyFill="1" applyBorder="1" applyAlignment="1">
      <alignment vertical="center"/>
    </xf>
    <xf numFmtId="0" fontId="58" fillId="0" borderId="49" xfId="0" applyFont="1" applyFill="1" applyBorder="1" applyAlignment="1">
      <alignment horizontal="left" vertical="center"/>
    </xf>
    <xf numFmtId="37" fontId="15" fillId="30" borderId="3" xfId="0" applyNumberFormat="1" applyFont="1" applyFill="1" applyBorder="1" applyAlignment="1">
      <alignment vertical="center"/>
    </xf>
    <xf numFmtId="0" fontId="58" fillId="30" borderId="6" xfId="0" applyFont="1" applyFill="1" applyBorder="1" applyAlignment="1">
      <alignment horizontal="left" vertical="center"/>
    </xf>
    <xf numFmtId="37" fontId="15" fillId="30" borderId="4" xfId="0" applyNumberFormat="1" applyFont="1" applyFill="1" applyBorder="1" applyAlignment="1">
      <alignment vertical="center"/>
    </xf>
    <xf numFmtId="0" fontId="58" fillId="0" borderId="61" xfId="0" applyFont="1" applyFill="1" applyBorder="1" applyAlignment="1">
      <alignment horizontal="left" vertical="center"/>
    </xf>
    <xf numFmtId="0" fontId="58" fillId="0" borderId="87" xfId="0" applyFont="1" applyFill="1" applyBorder="1" applyAlignment="1">
      <alignment horizontal="left" vertical="center"/>
    </xf>
    <xf numFmtId="0" fontId="56" fillId="5" borderId="22" xfId="0" applyFont="1" applyFill="1" applyBorder="1" applyAlignment="1">
      <alignment horizontal="center" vertical="center"/>
    </xf>
    <xf numFmtId="37" fontId="15" fillId="30" borderId="32" xfId="0" applyNumberFormat="1" applyFont="1" applyFill="1" applyBorder="1" applyAlignment="1">
      <alignment vertical="center"/>
    </xf>
    <xf numFmtId="0" fontId="58" fillId="30" borderId="35" xfId="0" applyFont="1" applyFill="1" applyBorder="1" applyAlignment="1">
      <alignment horizontal="left" vertical="center"/>
    </xf>
    <xf numFmtId="0" fontId="58" fillId="0" borderId="92" xfId="0" applyFont="1" applyFill="1" applyBorder="1" applyAlignment="1">
      <alignment horizontal="left" vertical="center"/>
    </xf>
    <xf numFmtId="0" fontId="58" fillId="0" borderId="54" xfId="0" applyFont="1" applyFill="1" applyBorder="1" applyAlignment="1">
      <alignment horizontal="left" vertical="center"/>
    </xf>
    <xf numFmtId="3" fontId="58" fillId="0" borderId="10" xfId="0" applyNumberFormat="1" applyFont="1" applyFill="1" applyBorder="1" applyAlignment="1">
      <alignment horizontal="left" vertical="center"/>
    </xf>
    <xf numFmtId="0" fontId="58" fillId="0" borderId="10" xfId="0" applyFont="1" applyFill="1" applyBorder="1" applyAlignment="1">
      <alignment horizontal="left" vertical="center"/>
    </xf>
    <xf numFmtId="39" fontId="15" fillId="5" borderId="36" xfId="0" applyNumberFormat="1" applyFont="1" applyFill="1" applyBorder="1" applyAlignment="1">
      <alignment vertical="center"/>
    </xf>
    <xf numFmtId="39" fontId="57" fillId="4" borderId="3" xfId="0" applyNumberFormat="1" applyFont="1" applyFill="1" applyBorder="1" applyAlignment="1">
      <alignment vertical="center"/>
    </xf>
    <xf numFmtId="37" fontId="15" fillId="5" borderId="36" xfId="0" applyNumberFormat="1" applyFont="1" applyFill="1" applyBorder="1" applyAlignment="1">
      <alignment vertical="center"/>
    </xf>
    <xf numFmtId="37" fontId="15" fillId="5" borderId="69" xfId="0" applyNumberFormat="1" applyFont="1" applyFill="1" applyBorder="1" applyAlignment="1">
      <alignment vertical="center"/>
    </xf>
    <xf numFmtId="0" fontId="15" fillId="2" borderId="8" xfId="0" applyFont="1" applyBorder="1" applyAlignment="1">
      <alignment horizontal="center" vertical="center"/>
    </xf>
    <xf numFmtId="39" fontId="15" fillId="30" borderId="30" xfId="0" applyNumberFormat="1" applyFont="1" applyFill="1" applyBorder="1" applyAlignment="1">
      <alignment vertical="center"/>
    </xf>
    <xf numFmtId="0" fontId="56" fillId="5" borderId="30" xfId="0" applyFont="1" applyFill="1" applyBorder="1" applyAlignment="1">
      <alignment horizontal="center" vertical="center"/>
    </xf>
    <xf numFmtId="0" fontId="15" fillId="2" borderId="13" xfId="0" applyFont="1" applyBorder="1" applyAlignment="1">
      <alignment horizontal="center" vertical="center"/>
    </xf>
    <xf numFmtId="39" fontId="57" fillId="5" borderId="67" xfId="0" applyNumberFormat="1" applyFont="1" applyFill="1" applyBorder="1" applyAlignment="1">
      <alignment vertical="center"/>
    </xf>
    <xf numFmtId="39" fontId="57" fillId="30" borderId="82" xfId="0" applyNumberFormat="1" applyFont="1" applyFill="1" applyBorder="1" applyAlignment="1">
      <alignment vertical="center"/>
    </xf>
    <xf numFmtId="0" fontId="15" fillId="30" borderId="47" xfId="0" applyFont="1" applyFill="1" applyBorder="1" applyAlignment="1">
      <alignment horizontal="left" vertical="center" wrapText="1"/>
    </xf>
    <xf numFmtId="0" fontId="15" fillId="2" borderId="62" xfId="0" applyFont="1" applyBorder="1" applyAlignment="1">
      <alignment vertical="center"/>
    </xf>
    <xf numFmtId="0" fontId="15" fillId="2" borderId="47" xfId="0" applyFont="1" applyBorder="1" applyAlignment="1">
      <alignment vertical="center"/>
    </xf>
    <xf numFmtId="0" fontId="15" fillId="30" borderId="33" xfId="0" applyFont="1" applyFill="1" applyBorder="1" applyAlignment="1">
      <alignment vertical="center"/>
    </xf>
    <xf numFmtId="0" fontId="15" fillId="2" borderId="93" xfId="0" applyFont="1" applyBorder="1" applyAlignment="1">
      <alignment vertical="center"/>
    </xf>
    <xf numFmtId="0" fontId="15" fillId="2" borderId="55" xfId="0" applyFont="1" applyBorder="1" applyAlignment="1">
      <alignment vertical="center"/>
    </xf>
    <xf numFmtId="0" fontId="15" fillId="2" borderId="55" xfId="0" applyFont="1" applyBorder="1" applyAlignment="1">
      <alignment vertical="center" wrapText="1"/>
    </xf>
    <xf numFmtId="0" fontId="15" fillId="2" borderId="55" xfId="0" applyFont="1" applyBorder="1" applyAlignment="1">
      <alignment horizontal="left" vertical="center" wrapText="1"/>
    </xf>
    <xf numFmtId="0" fontId="15" fillId="2" borderId="92" xfId="0" applyFont="1" applyBorder="1" applyAlignment="1">
      <alignment vertical="center"/>
    </xf>
    <xf numFmtId="0" fontId="15" fillId="2" borderId="54" xfId="0" applyFont="1" applyBorder="1" applyAlignment="1">
      <alignment vertical="center"/>
    </xf>
    <xf numFmtId="0" fontId="57" fillId="29" borderId="33" xfId="0" applyFont="1" applyFill="1" applyBorder="1" applyAlignment="1">
      <alignment vertical="center"/>
    </xf>
    <xf numFmtId="39" fontId="15" fillId="29" borderId="22" xfId="0" applyNumberFormat="1" applyFont="1" applyFill="1" applyBorder="1" applyAlignment="1">
      <alignment horizontal="right" vertical="center"/>
    </xf>
    <xf numFmtId="37" fontId="15" fillId="29" borderId="22" xfId="0" applyNumberFormat="1" applyFont="1" applyFill="1" applyBorder="1" applyAlignment="1">
      <alignment horizontal="right" vertical="center"/>
    </xf>
    <xf numFmtId="0" fontId="15" fillId="30" borderId="82" xfId="0" applyFont="1" applyFill="1" applyBorder="1" applyAlignment="1">
      <alignment vertical="center"/>
    </xf>
    <xf numFmtId="39" fontId="15" fillId="2" borderId="63" xfId="0" applyNumberFormat="1" applyFont="1" applyBorder="1" applyAlignment="1">
      <alignment vertical="center"/>
    </xf>
    <xf numFmtId="39" fontId="15" fillId="30" borderId="46" xfId="0" applyNumberFormat="1" applyFont="1" applyFill="1" applyBorder="1" applyAlignment="1">
      <alignment vertical="center"/>
    </xf>
    <xf numFmtId="39" fontId="15" fillId="30" borderId="3" xfId="0" applyNumberFormat="1" applyFont="1" applyFill="1" applyBorder="1" applyAlignment="1">
      <alignment vertical="center"/>
    </xf>
    <xf numFmtId="39" fontId="15" fillId="2" borderId="46" xfId="0" applyNumberFormat="1" applyFont="1" applyBorder="1" applyAlignment="1">
      <alignment vertical="center"/>
    </xf>
    <xf numFmtId="39" fontId="15" fillId="5" borderId="69" xfId="0" applyNumberFormat="1" applyFont="1" applyFill="1" applyBorder="1" applyAlignment="1">
      <alignment vertical="center"/>
    </xf>
    <xf numFmtId="39" fontId="15" fillId="30" borderId="69" xfId="0" applyNumberFormat="1" applyFont="1" applyFill="1" applyBorder="1" applyAlignment="1">
      <alignment vertical="center"/>
    </xf>
    <xf numFmtId="39" fontId="15" fillId="29" borderId="3" xfId="0" applyNumberFormat="1" applyFont="1" applyFill="1" applyBorder="1" applyAlignment="1">
      <alignment vertical="center"/>
    </xf>
    <xf numFmtId="0" fontId="15" fillId="29" borderId="4" xfId="0" applyFont="1" applyFill="1" applyBorder="1" applyAlignment="1">
      <alignment vertical="center"/>
    </xf>
    <xf numFmtId="0" fontId="15" fillId="2" borderId="17" xfId="0" applyFont="1" applyBorder="1" applyAlignment="1">
      <alignment horizontal="center" wrapText="1"/>
    </xf>
    <xf numFmtId="0" fontId="15" fillId="2" borderId="18" xfId="0" applyFont="1" applyBorder="1" applyAlignment="1">
      <alignment horizontal="center"/>
    </xf>
    <xf numFmtId="0" fontId="15" fillId="2" borderId="1" xfId="0" applyFont="1" applyBorder="1" applyAlignment="1">
      <alignment horizontal="center" wrapText="1"/>
    </xf>
    <xf numFmtId="0" fontId="15" fillId="2" borderId="0" xfId="0" applyFont="1" applyAlignment="1">
      <alignment horizontal="center"/>
    </xf>
    <xf numFmtId="0" fontId="15" fillId="2" borderId="3" xfId="0" applyFont="1" applyBorder="1" applyAlignment="1">
      <alignment horizontal="center"/>
    </xf>
    <xf numFmtId="0" fontId="15" fillId="2" borderId="4" xfId="0" applyFont="1" applyBorder="1" applyAlignment="1">
      <alignment horizontal="center"/>
    </xf>
    <xf numFmtId="0" fontId="15" fillId="2" borderId="3" xfId="0" applyFont="1" applyBorder="1" applyAlignment="1">
      <alignment horizontal="center" vertical="center"/>
    </xf>
    <xf numFmtId="39" fontId="15" fillId="29" borderId="22" xfId="0" applyNumberFormat="1" applyFont="1" applyFill="1" applyBorder="1" applyAlignment="1">
      <alignment horizontal="center" vertical="center"/>
    </xf>
    <xf numFmtId="37" fontId="15" fillId="2" borderId="45" xfId="0" applyNumberFormat="1" applyFont="1" applyBorder="1" applyAlignment="1">
      <alignment vertical="center"/>
    </xf>
    <xf numFmtId="39" fontId="15" fillId="2" borderId="1" xfId="0" applyNumberFormat="1" applyFont="1" applyBorder="1" applyAlignment="1">
      <alignment vertical="center"/>
    </xf>
    <xf numFmtId="37" fontId="15" fillId="2" borderId="2" xfId="0" applyNumberFormat="1" applyFont="1" applyBorder="1" applyAlignment="1">
      <alignment vertical="center"/>
    </xf>
    <xf numFmtId="37" fontId="15" fillId="2" borderId="57" xfId="0" applyNumberFormat="1" applyFont="1" applyBorder="1" applyAlignment="1">
      <alignment vertical="center"/>
    </xf>
    <xf numFmtId="37" fontId="15" fillId="2" borderId="95" xfId="0" applyNumberFormat="1" applyFont="1" applyBorder="1" applyAlignment="1">
      <alignment vertical="center"/>
    </xf>
    <xf numFmtId="37" fontId="15" fillId="29" borderId="22" xfId="0" applyNumberFormat="1" applyFont="1" applyFill="1" applyBorder="1" applyAlignment="1">
      <alignment horizontal="center" vertical="center"/>
    </xf>
    <xf numFmtId="39" fontId="15" fillId="29" borderId="22" xfId="0" applyNumberFormat="1" applyFont="1" applyFill="1" applyBorder="1" applyAlignment="1">
      <alignment horizontal="center"/>
    </xf>
    <xf numFmtId="0" fontId="15" fillId="30" borderId="82" xfId="0" applyFont="1" applyFill="1" applyBorder="1"/>
    <xf numFmtId="0" fontId="58" fillId="0" borderId="10" xfId="0" applyFont="1" applyFill="1" applyBorder="1" applyAlignment="1">
      <alignment horizontal="left" vertical="top" wrapText="1"/>
    </xf>
    <xf numFmtId="39" fontId="15" fillId="2" borderId="63" xfId="0" applyNumberFormat="1" applyFont="1" applyBorder="1"/>
    <xf numFmtId="37" fontId="15" fillId="2" borderId="65" xfId="0" applyNumberFormat="1" applyFont="1" applyBorder="1"/>
    <xf numFmtId="0" fontId="58" fillId="0" borderId="44" xfId="0" applyFont="1" applyFill="1" applyBorder="1" applyAlignment="1">
      <alignment horizontal="left" vertical="top"/>
    </xf>
    <xf numFmtId="0" fontId="58" fillId="30" borderId="44" xfId="0" applyFont="1" applyFill="1" applyBorder="1" applyAlignment="1">
      <alignment horizontal="left" vertical="top"/>
    </xf>
    <xf numFmtId="39" fontId="15" fillId="30" borderId="46" xfId="0" applyNumberFormat="1" applyFont="1" applyFill="1" applyBorder="1"/>
    <xf numFmtId="37" fontId="15" fillId="30" borderId="45" xfId="0" applyNumberFormat="1" applyFont="1" applyFill="1" applyBorder="1"/>
    <xf numFmtId="0" fontId="58" fillId="0" borderId="49" xfId="0" applyFont="1" applyFill="1" applyBorder="1" applyAlignment="1">
      <alignment horizontal="left" vertical="top"/>
    </xf>
    <xf numFmtId="39" fontId="15" fillId="30" borderId="3" xfId="0" applyNumberFormat="1" applyFont="1" applyFill="1" applyBorder="1"/>
    <xf numFmtId="37" fontId="15" fillId="30" borderId="3" xfId="0" applyNumberFormat="1" applyFont="1" applyFill="1" applyBorder="1"/>
    <xf numFmtId="0" fontId="58" fillId="30" borderId="6" xfId="0" applyFont="1" applyFill="1" applyBorder="1" applyAlignment="1">
      <alignment horizontal="left" vertical="top"/>
    </xf>
    <xf numFmtId="37" fontId="15" fillId="30" borderId="4" xfId="0" applyNumberFormat="1" applyFont="1" applyFill="1" applyBorder="1"/>
    <xf numFmtId="0" fontId="58" fillId="0" borderId="61" xfId="0" applyFont="1" applyFill="1" applyBorder="1" applyAlignment="1">
      <alignment horizontal="left" vertical="top"/>
    </xf>
    <xf numFmtId="39" fontId="15" fillId="2" borderId="46" xfId="0" applyNumberFormat="1" applyFont="1" applyBorder="1"/>
    <xf numFmtId="0" fontId="58" fillId="0" borderId="87" xfId="0" applyFont="1" applyFill="1" applyBorder="1" applyAlignment="1">
      <alignment horizontal="left" vertical="top"/>
    </xf>
    <xf numFmtId="0" fontId="56" fillId="5" borderId="22" xfId="0" applyFont="1" applyFill="1" applyBorder="1" applyAlignment="1">
      <alignment horizontal="center" vertical="top"/>
    </xf>
    <xf numFmtId="39" fontId="15" fillId="5" borderId="69" xfId="0" applyNumberFormat="1" applyFont="1" applyFill="1" applyBorder="1"/>
    <xf numFmtId="39" fontId="15" fillId="30" borderId="69" xfId="0" applyNumberFormat="1" applyFont="1" applyFill="1" applyBorder="1"/>
    <xf numFmtId="37" fontId="15" fillId="30" borderId="32" xfId="0" applyNumberFormat="1" applyFont="1" applyFill="1" applyBorder="1"/>
    <xf numFmtId="0" fontId="58" fillId="30" borderId="35" xfId="0" applyFont="1" applyFill="1" applyBorder="1" applyAlignment="1">
      <alignment horizontal="left" vertical="top"/>
    </xf>
    <xf numFmtId="39" fontId="15" fillId="30" borderId="30" xfId="0" applyNumberFormat="1" applyFont="1" applyFill="1" applyBorder="1"/>
    <xf numFmtId="0" fontId="58" fillId="0" borderId="92" xfId="0" applyFont="1" applyFill="1" applyBorder="1" applyAlignment="1">
      <alignment horizontal="left" vertical="top"/>
    </xf>
    <xf numFmtId="0" fontId="58" fillId="0" borderId="54" xfId="0" applyFont="1" applyFill="1" applyBorder="1" applyAlignment="1">
      <alignment horizontal="left" vertical="top"/>
    </xf>
    <xf numFmtId="3" fontId="58" fillId="0" borderId="10" xfId="0" applyNumberFormat="1" applyFont="1" applyFill="1" applyBorder="1" applyAlignment="1">
      <alignment horizontal="left" vertical="top"/>
    </xf>
    <xf numFmtId="39" fontId="15" fillId="2" borderId="1" xfId="0" applyNumberFormat="1" applyFont="1" applyBorder="1"/>
    <xf numFmtId="37" fontId="15" fillId="2" borderId="2" xfId="0" applyNumberFormat="1" applyFont="1" applyBorder="1"/>
    <xf numFmtId="37" fontId="15" fillId="2" borderId="46" xfId="0" applyNumberFormat="1" applyFont="1" applyBorder="1"/>
    <xf numFmtId="0" fontId="58" fillId="0" borderId="10" xfId="0" applyFont="1" applyFill="1" applyBorder="1" applyAlignment="1">
      <alignment horizontal="left" vertical="top"/>
    </xf>
    <xf numFmtId="37" fontId="15" fillId="2" borderId="82" xfId="0" applyNumberFormat="1" applyFont="1" applyBorder="1"/>
    <xf numFmtId="0" fontId="56" fillId="5" borderId="30" xfId="0" applyFont="1" applyFill="1" applyBorder="1" applyAlignment="1">
      <alignment horizontal="center" vertical="top"/>
    </xf>
    <xf numFmtId="39" fontId="15" fillId="5" borderId="36" xfId="0" applyNumberFormat="1" applyFont="1" applyFill="1" applyBorder="1"/>
    <xf numFmtId="37" fontId="15" fillId="2" borderId="17" xfId="0" applyNumberFormat="1" applyFont="1" applyBorder="1"/>
    <xf numFmtId="37" fontId="15" fillId="2" borderId="63" xfId="0" applyNumberFormat="1" applyFont="1" applyBorder="1"/>
    <xf numFmtId="39" fontId="15" fillId="29" borderId="3" xfId="0" applyNumberFormat="1" applyFont="1" applyFill="1" applyBorder="1"/>
    <xf numFmtId="0" fontId="15" fillId="29" borderId="4" xfId="0" applyFont="1" applyFill="1" applyBorder="1"/>
    <xf numFmtId="39" fontId="57" fillId="4" borderId="3" xfId="0" applyNumberFormat="1" applyFont="1" applyFill="1" applyBorder="1"/>
    <xf numFmtId="0" fontId="15" fillId="2" borderId="107" xfId="0" applyFont="1" applyBorder="1" applyAlignment="1">
      <alignment vertical="center"/>
    </xf>
    <xf numFmtId="39" fontId="15" fillId="29" borderId="4" xfId="0" applyNumberFormat="1" applyFont="1" applyFill="1" applyBorder="1" applyAlignment="1">
      <alignment vertical="center"/>
    </xf>
    <xf numFmtId="37" fontId="15" fillId="29" borderId="4" xfId="0" applyNumberFormat="1" applyFont="1" applyFill="1" applyBorder="1" applyAlignment="1">
      <alignment vertical="center"/>
    </xf>
    <xf numFmtId="37" fontId="15" fillId="5" borderId="69" xfId="0" applyNumberFormat="1" applyFont="1" applyFill="1" applyBorder="1"/>
    <xf numFmtId="37" fontId="15" fillId="5" borderId="36" xfId="0" applyNumberFormat="1" applyFont="1" applyFill="1" applyBorder="1"/>
    <xf numFmtId="37" fontId="15" fillId="29" borderId="22" xfId="0" applyNumberFormat="1" applyFont="1" applyFill="1" applyBorder="1" applyAlignment="1">
      <alignment horizontal="center"/>
    </xf>
    <xf numFmtId="37" fontId="15" fillId="2" borderId="46" xfId="0" applyNumberFormat="1" applyFont="1" applyBorder="1" applyAlignment="1">
      <alignment vertical="center"/>
    </xf>
    <xf numFmtId="39" fontId="30" fillId="5" borderId="67" xfId="0" applyNumberFormat="1" applyFont="1" applyFill="1" applyBorder="1" applyAlignment="1">
      <alignment vertical="center"/>
    </xf>
    <xf numFmtId="37" fontId="30" fillId="5" borderId="67" xfId="0" applyNumberFormat="1" applyFont="1" applyFill="1" applyBorder="1" applyAlignment="1">
      <alignment vertical="center"/>
    </xf>
    <xf numFmtId="39" fontId="57" fillId="3" borderId="3" xfId="0" applyNumberFormat="1" applyFont="1" applyFill="1" applyBorder="1" applyAlignment="1">
      <alignment vertical="center"/>
    </xf>
    <xf numFmtId="37" fontId="57" fillId="3" borderId="3" xfId="0" applyNumberFormat="1" applyFont="1" applyFill="1" applyBorder="1" applyAlignment="1">
      <alignment vertical="center"/>
    </xf>
    <xf numFmtId="39" fontId="50" fillId="2" borderId="108" xfId="0" applyNumberFormat="1" applyFont="1" applyBorder="1"/>
    <xf numFmtId="0" fontId="56" fillId="29" borderId="68" xfId="0" applyFont="1" applyFill="1" applyBorder="1" applyAlignment="1">
      <alignment horizontal="center"/>
    </xf>
    <xf numFmtId="37" fontId="57" fillId="5" borderId="67" xfId="0" applyNumberFormat="1" applyFont="1" applyFill="1" applyBorder="1" applyAlignment="1">
      <alignment horizontal="right" vertical="center"/>
    </xf>
    <xf numFmtId="37" fontId="15" fillId="29" borderId="22" xfId="0" applyNumberFormat="1" applyFont="1" applyFill="1" applyBorder="1" applyAlignment="1">
      <alignment horizontal="right"/>
    </xf>
    <xf numFmtId="39" fontId="15" fillId="2" borderId="108" xfId="0" applyNumberFormat="1" applyFont="1" applyBorder="1"/>
    <xf numFmtId="43" fontId="50" fillId="29" borderId="4" xfId="281" applyFont="1" applyFill="1" applyBorder="1"/>
    <xf numFmtId="167" fontId="50" fillId="29" borderId="4" xfId="0" applyNumberFormat="1" applyFont="1" applyFill="1" applyBorder="1"/>
    <xf numFmtId="39" fontId="57" fillId="5" borderId="68" xfId="0" applyNumberFormat="1" applyFont="1" applyFill="1" applyBorder="1" applyAlignment="1">
      <alignment vertical="center"/>
    </xf>
    <xf numFmtId="39" fontId="57" fillId="5" borderId="38" xfId="0" applyNumberFormat="1" applyFont="1" applyFill="1" applyBorder="1" applyAlignment="1">
      <alignment vertical="center"/>
    </xf>
    <xf numFmtId="0" fontId="15" fillId="2" borderId="66" xfId="0" applyFont="1" applyBorder="1" applyAlignment="1">
      <alignment vertical="center"/>
    </xf>
    <xf numFmtId="0" fontId="15" fillId="30" borderId="31" xfId="0" applyFont="1" applyFill="1" applyBorder="1" applyAlignment="1">
      <alignment vertical="center"/>
    </xf>
    <xf numFmtId="0" fontId="15" fillId="2" borderId="109" xfId="0" applyFont="1" applyBorder="1" applyAlignment="1">
      <alignment vertical="center"/>
    </xf>
    <xf numFmtId="0" fontId="15" fillId="2" borderId="110" xfId="0" applyFont="1" applyBorder="1" applyAlignment="1">
      <alignment vertical="center"/>
    </xf>
    <xf numFmtId="0" fontId="15" fillId="2" borderId="110" xfId="0" applyFont="1" applyBorder="1" applyAlignment="1">
      <alignment vertical="center" wrapText="1"/>
    </xf>
    <xf numFmtId="0" fontId="15" fillId="2" borderId="110" xfId="0" applyFont="1" applyBorder="1" applyAlignment="1">
      <alignment horizontal="left" vertical="center" wrapText="1"/>
    </xf>
    <xf numFmtId="0" fontId="15" fillId="2" borderId="111" xfId="0" applyFont="1" applyBorder="1" applyAlignment="1">
      <alignment vertical="center"/>
    </xf>
    <xf numFmtId="0" fontId="15" fillId="2" borderId="112" xfId="0" applyFont="1" applyBorder="1" applyAlignment="1">
      <alignment vertical="center"/>
    </xf>
    <xf numFmtId="39" fontId="56" fillId="5" borderId="114" xfId="0" applyNumberFormat="1" applyFont="1" applyFill="1" applyBorder="1" applyAlignment="1">
      <alignment vertical="center"/>
    </xf>
    <xf numFmtId="39" fontId="56" fillId="5" borderId="115" xfId="0" applyNumberFormat="1" applyFont="1" applyFill="1" applyBorder="1" applyAlignment="1">
      <alignment vertical="center"/>
    </xf>
    <xf numFmtId="0" fontId="15" fillId="2" borderId="21" xfId="0" applyFont="1" applyBorder="1" applyAlignment="1">
      <alignment horizontal="center" vertical="center"/>
    </xf>
    <xf numFmtId="39" fontId="56" fillId="29" borderId="17" xfId="0" applyNumberFormat="1" applyFont="1" applyFill="1" applyBorder="1" applyAlignment="1">
      <alignment horizontal="center" vertical="center"/>
    </xf>
    <xf numFmtId="39" fontId="56" fillId="29" borderId="71" xfId="0" applyNumberFormat="1" applyFont="1" applyFill="1" applyBorder="1" applyAlignment="1">
      <alignment horizontal="center" vertical="center"/>
    </xf>
    <xf numFmtId="0" fontId="15" fillId="30" borderId="86" xfId="0" applyFont="1" applyFill="1" applyBorder="1" applyAlignment="1">
      <alignment vertical="center"/>
    </xf>
    <xf numFmtId="0" fontId="15" fillId="30" borderId="113" xfId="0" applyFont="1" applyFill="1" applyBorder="1" applyAlignment="1">
      <alignment vertical="center"/>
    </xf>
    <xf numFmtId="37" fontId="15" fillId="2" borderId="61" xfId="0" applyNumberFormat="1" applyFont="1" applyBorder="1" applyAlignment="1">
      <alignment vertical="center"/>
    </xf>
    <xf numFmtId="37" fontId="15" fillId="30" borderId="46" xfId="0" applyNumberFormat="1" applyFont="1" applyFill="1" applyBorder="1" applyAlignment="1">
      <alignment vertical="center"/>
    </xf>
    <xf numFmtId="37" fontId="15" fillId="30" borderId="44" xfId="0" applyNumberFormat="1" applyFont="1" applyFill="1" applyBorder="1" applyAlignment="1">
      <alignment vertical="center"/>
    </xf>
    <xf numFmtId="37" fontId="15" fillId="30" borderId="6" xfId="0" applyNumberFormat="1" applyFont="1" applyFill="1" applyBorder="1" applyAlignment="1">
      <alignment vertical="center"/>
    </xf>
    <xf numFmtId="39" fontId="56" fillId="5" borderId="69" xfId="0" applyNumberFormat="1" applyFont="1" applyFill="1" applyBorder="1" applyAlignment="1">
      <alignment vertical="center"/>
    </xf>
    <xf numFmtId="39" fontId="56" fillId="5" borderId="101" xfId="0" applyNumberFormat="1" applyFont="1" applyFill="1" applyBorder="1" applyAlignment="1">
      <alignment vertical="center"/>
    </xf>
    <xf numFmtId="37" fontId="15" fillId="30" borderId="69" xfId="0" applyNumberFormat="1" applyFont="1" applyFill="1" applyBorder="1" applyAlignment="1">
      <alignment vertical="center"/>
    </xf>
    <xf numFmtId="37" fontId="15" fillId="30" borderId="101" xfId="0" applyNumberFormat="1" applyFont="1" applyFill="1" applyBorder="1" applyAlignment="1">
      <alignment vertical="center"/>
    </xf>
    <xf numFmtId="37" fontId="15" fillId="2" borderId="1" xfId="0" applyNumberFormat="1" applyFont="1" applyBorder="1" applyAlignment="1">
      <alignment vertical="center"/>
    </xf>
    <xf numFmtId="37" fontId="15" fillId="2" borderId="107" xfId="0" applyNumberFormat="1" applyFont="1" applyBorder="1" applyAlignment="1">
      <alignment vertical="center"/>
    </xf>
    <xf numFmtId="37" fontId="15" fillId="2" borderId="44" xfId="0" applyNumberFormat="1" applyFont="1" applyBorder="1" applyAlignment="1">
      <alignment vertical="center"/>
    </xf>
    <xf numFmtId="43" fontId="15" fillId="29" borderId="3" xfId="281" applyFont="1" applyFill="1" applyBorder="1" applyAlignment="1">
      <alignment vertical="center"/>
    </xf>
    <xf numFmtId="0" fontId="15" fillId="29" borderId="6" xfId="0" applyFont="1" applyFill="1" applyBorder="1" applyAlignment="1">
      <alignment vertical="center"/>
    </xf>
    <xf numFmtId="167" fontId="15" fillId="29" borderId="3" xfId="0" applyNumberFormat="1" applyFont="1" applyFill="1" applyBorder="1" applyAlignment="1">
      <alignment vertical="center"/>
    </xf>
    <xf numFmtId="39" fontId="57" fillId="4" borderId="6" xfId="0" applyNumberFormat="1" applyFont="1" applyFill="1" applyBorder="1" applyAlignment="1">
      <alignment vertical="center"/>
    </xf>
    <xf numFmtId="0" fontId="44" fillId="2" borderId="58" xfId="0" applyFont="1" applyBorder="1" applyAlignment="1">
      <alignment horizontal="left" vertical="center"/>
    </xf>
    <xf numFmtId="0" fontId="44" fillId="2" borderId="60" xfId="0" applyFont="1" applyBorder="1" applyAlignment="1">
      <alignment horizontal="left" vertical="center"/>
    </xf>
    <xf numFmtId="37" fontId="44" fillId="2" borderId="116" xfId="0" applyNumberFormat="1" applyFont="1" applyBorder="1" applyAlignment="1">
      <alignment horizontal="right" vertical="center"/>
    </xf>
    <xf numFmtId="39" fontId="44" fillId="2" borderId="117" xfId="0" applyNumberFormat="1" applyFont="1" applyBorder="1" applyAlignment="1">
      <alignment horizontal="right" vertical="center"/>
    </xf>
    <xf numFmtId="39" fontId="44" fillId="2" borderId="116" xfId="0" applyNumberFormat="1" applyFont="1" applyBorder="1" applyAlignment="1">
      <alignment horizontal="right" vertical="center"/>
    </xf>
    <xf numFmtId="39" fontId="44" fillId="2" borderId="118" xfId="0" applyNumberFormat="1" applyFont="1" applyBorder="1" applyAlignment="1">
      <alignment horizontal="right" vertical="center"/>
    </xf>
    <xf numFmtId="0" fontId="44" fillId="2" borderId="119" xfId="0" applyFont="1" applyBorder="1" applyAlignment="1">
      <alignment horizontal="left" vertical="center"/>
    </xf>
    <xf numFmtId="0" fontId="44" fillId="2" borderId="86" xfId="0" applyFont="1" applyBorder="1" applyAlignment="1">
      <alignment horizontal="left" vertical="center"/>
    </xf>
    <xf numFmtId="0" fontId="44" fillId="2" borderId="85" xfId="0" applyFont="1" applyBorder="1" applyAlignment="1">
      <alignment horizontal="left" vertical="center"/>
    </xf>
    <xf numFmtId="0" fontId="48" fillId="0" borderId="120" xfId="0" applyFont="1" applyFill="1" applyBorder="1" applyAlignment="1">
      <alignment horizontal="left" vertical="center"/>
    </xf>
    <xf numFmtId="0" fontId="44" fillId="2" borderId="121" xfId="0" applyFont="1" applyBorder="1" applyAlignment="1">
      <alignment horizontal="left" vertical="center" wrapText="1"/>
    </xf>
    <xf numFmtId="39" fontId="44" fillId="3" borderId="122" xfId="0" applyNumberFormat="1" applyFont="1" applyFill="1" applyBorder="1" applyAlignment="1">
      <alignment horizontal="right" vertical="center"/>
    </xf>
    <xf numFmtId="37" fontId="44" fillId="2" borderId="102" xfId="0" applyNumberFormat="1" applyFont="1" applyBorder="1" applyAlignment="1">
      <alignment horizontal="right" vertical="center"/>
    </xf>
    <xf numFmtId="39" fontId="44" fillId="2" borderId="123" xfId="0" applyNumberFormat="1" applyFont="1" applyBorder="1" applyAlignment="1">
      <alignment horizontal="right" vertical="center"/>
    </xf>
    <xf numFmtId="39" fontId="44" fillId="2" borderId="102" xfId="0" applyNumberFormat="1" applyFont="1" applyBorder="1" applyAlignment="1">
      <alignment horizontal="right" vertical="center"/>
    </xf>
    <xf numFmtId="39" fontId="44" fillId="2" borderId="124" xfId="0" applyNumberFormat="1" applyFont="1" applyBorder="1" applyAlignment="1">
      <alignment horizontal="right" vertical="center"/>
    </xf>
    <xf numFmtId="0" fontId="61" fillId="2" borderId="0" xfId="0" applyFont="1"/>
    <xf numFmtId="0" fontId="15" fillId="2" borderId="0" xfId="0" applyFont="1"/>
    <xf numFmtId="0" fontId="61" fillId="2" borderId="0" xfId="0" applyFont="1" applyAlignment="1">
      <alignment horizontal="center"/>
    </xf>
    <xf numFmtId="0" fontId="57" fillId="2" borderId="113" xfId="0" applyFont="1" applyBorder="1" applyAlignment="1">
      <alignment horizontal="left" vertical="center"/>
    </xf>
    <xf numFmtId="37" fontId="15" fillId="30" borderId="82" xfId="0" applyNumberFormat="1" applyFont="1" applyFill="1" applyBorder="1" applyAlignment="1">
      <alignment vertical="center"/>
    </xf>
    <xf numFmtId="0" fontId="3" fillId="2" borderId="0" xfId="0" applyFont="1" applyAlignment="1">
      <alignment horizontal="center" vertical="center" wrapText="1"/>
    </xf>
    <xf numFmtId="0" fontId="3" fillId="2" borderId="0" xfId="0" applyFont="1" applyAlignment="1">
      <alignment horizontal="center" vertical="center"/>
    </xf>
    <xf numFmtId="0" fontId="52" fillId="30" borderId="40" xfId="0" applyFont="1" applyFill="1" applyBorder="1" applyAlignment="1">
      <alignment horizontal="left" vertical="center" wrapText="1"/>
    </xf>
    <xf numFmtId="0" fontId="52" fillId="30" borderId="33" xfId="0" applyFont="1" applyFill="1" applyBorder="1" applyAlignment="1">
      <alignment horizontal="left" vertical="center" wrapText="1"/>
    </xf>
    <xf numFmtId="0" fontId="46" fillId="5" borderId="18" xfId="0" applyFont="1" applyFill="1" applyBorder="1" applyAlignment="1">
      <alignment horizontal="left" vertical="center" wrapText="1"/>
    </xf>
    <xf numFmtId="0" fontId="46" fillId="5" borderId="19" xfId="0" applyFont="1" applyFill="1" applyBorder="1" applyAlignment="1">
      <alignment horizontal="left" vertical="center" wrapText="1"/>
    </xf>
    <xf numFmtId="0" fontId="52" fillId="5" borderId="36" xfId="0" applyFont="1" applyFill="1" applyBorder="1" applyAlignment="1">
      <alignment horizontal="left" vertical="center" wrapText="1"/>
    </xf>
    <xf numFmtId="0" fontId="52" fillId="30" borderId="35" xfId="0" applyFont="1" applyFill="1" applyBorder="1" applyAlignment="1">
      <alignment horizontal="left" vertical="center" wrapText="1"/>
    </xf>
    <xf numFmtId="0" fontId="47" fillId="29" borderId="40" xfId="0" applyFont="1" applyFill="1" applyBorder="1" applyAlignment="1">
      <alignment horizontal="left" vertical="center"/>
    </xf>
    <xf numFmtId="0" fontId="47" fillId="29" borderId="31" xfId="0" applyFont="1" applyFill="1" applyBorder="1" applyAlignment="1">
      <alignment horizontal="left" vertical="center"/>
    </xf>
    <xf numFmtId="0" fontId="47" fillId="29" borderId="33" xfId="0" applyFont="1" applyFill="1" applyBorder="1" applyAlignment="1">
      <alignment horizontal="left" vertical="center"/>
    </xf>
    <xf numFmtId="0" fontId="53" fillId="29" borderId="40" xfId="0" applyFont="1" applyFill="1" applyBorder="1" applyAlignment="1">
      <alignment horizontal="left" vertical="center"/>
    </xf>
    <xf numFmtId="0" fontId="53" fillId="29" borderId="31" xfId="0" applyFont="1" applyFill="1" applyBorder="1" applyAlignment="1">
      <alignment horizontal="left" vertical="center"/>
    </xf>
    <xf numFmtId="0" fontId="53" fillId="29" borderId="33" xfId="0" applyFont="1" applyFill="1" applyBorder="1" applyAlignment="1">
      <alignment horizontal="left" vertical="center"/>
    </xf>
    <xf numFmtId="0" fontId="47" fillId="29" borderId="89" xfId="0" applyFont="1" applyFill="1" applyBorder="1" applyAlignment="1">
      <alignment horizontal="left" vertical="center"/>
    </xf>
    <xf numFmtId="0" fontId="47" fillId="29" borderId="85" xfId="0" applyFont="1" applyFill="1" applyBorder="1" applyAlignment="1">
      <alignment horizontal="left" vertical="center"/>
    </xf>
    <xf numFmtId="0" fontId="47" fillId="29" borderId="81" xfId="0" applyFont="1" applyFill="1" applyBorder="1" applyAlignment="1">
      <alignment horizontal="left" vertical="center"/>
    </xf>
    <xf numFmtId="0" fontId="53" fillId="29" borderId="89" xfId="0" applyFont="1" applyFill="1" applyBorder="1" applyAlignment="1">
      <alignment horizontal="left" vertical="center"/>
    </xf>
    <xf numFmtId="0" fontId="53" fillId="29" borderId="85" xfId="0" applyFont="1" applyFill="1" applyBorder="1" applyAlignment="1">
      <alignment horizontal="left" vertical="center"/>
    </xf>
    <xf numFmtId="0" fontId="53" fillId="29" borderId="81" xfId="0" applyFont="1" applyFill="1" applyBorder="1" applyAlignment="1">
      <alignment horizontal="left" vertical="center"/>
    </xf>
    <xf numFmtId="0" fontId="47" fillId="2" borderId="40" xfId="0" applyFont="1" applyBorder="1" applyAlignment="1">
      <alignment horizontal="left" vertical="center"/>
    </xf>
    <xf numFmtId="0" fontId="47" fillId="2" borderId="31" xfId="0" applyFont="1" applyBorder="1" applyAlignment="1">
      <alignment horizontal="left" vertical="center"/>
    </xf>
    <xf numFmtId="0" fontId="47" fillId="2" borderId="33" xfId="0" applyFont="1" applyBorder="1" applyAlignment="1">
      <alignment horizontal="left" vertical="center"/>
    </xf>
    <xf numFmtId="0" fontId="53" fillId="2" borderId="24" xfId="0" applyFont="1" applyBorder="1" applyAlignment="1">
      <alignment horizontal="center" vertical="center"/>
    </xf>
    <xf numFmtId="0" fontId="53" fillId="2" borderId="27" xfId="0" applyFont="1" applyBorder="1" applyAlignment="1">
      <alignment horizontal="center" vertical="center"/>
    </xf>
    <xf numFmtId="0" fontId="53" fillId="2" borderId="25" xfId="0" applyFont="1" applyBorder="1" applyAlignment="1">
      <alignment horizontal="center" vertical="center"/>
    </xf>
    <xf numFmtId="0" fontId="55" fillId="30" borderId="12" xfId="0" applyFont="1" applyFill="1" applyBorder="1" applyAlignment="1">
      <alignment horizontal="left" vertical="top"/>
    </xf>
    <xf numFmtId="0" fontId="55" fillId="30" borderId="4" xfId="0" applyFont="1" applyFill="1" applyBorder="1" applyAlignment="1">
      <alignment horizontal="left" vertical="top"/>
    </xf>
    <xf numFmtId="0" fontId="46" fillId="5" borderId="14" xfId="0" applyFont="1" applyFill="1" applyBorder="1" applyAlignment="1">
      <alignment horizontal="left" vertical="center" wrapText="1"/>
    </xf>
    <xf numFmtId="0" fontId="46" fillId="5" borderId="15" xfId="0" applyFont="1" applyFill="1" applyBorder="1" applyAlignment="1">
      <alignment horizontal="left" vertical="center" wrapText="1"/>
    </xf>
    <xf numFmtId="0" fontId="52" fillId="5" borderId="14" xfId="0" applyFont="1" applyFill="1" applyBorder="1" applyAlignment="1">
      <alignment horizontal="left" vertical="center" wrapText="1"/>
    </xf>
    <xf numFmtId="0" fontId="52" fillId="5" borderId="15" xfId="0" applyFont="1" applyFill="1" applyBorder="1" applyAlignment="1">
      <alignment horizontal="left" vertical="center" wrapText="1"/>
    </xf>
    <xf numFmtId="0" fontId="52" fillId="30" borderId="31" xfId="0" applyFont="1" applyFill="1" applyBorder="1" applyAlignment="1">
      <alignment horizontal="left" vertical="center" wrapText="1"/>
    </xf>
    <xf numFmtId="0" fontId="50" fillId="2" borderId="99" xfId="0" applyFont="1" applyBorder="1" applyAlignment="1">
      <alignment horizontal="center" vertical="center"/>
    </xf>
    <xf numFmtId="0" fontId="50" fillId="2" borderId="15" xfId="0" applyFont="1" applyBorder="1" applyAlignment="1">
      <alignment horizontal="center" vertical="center"/>
    </xf>
    <xf numFmtId="0" fontId="46" fillId="29" borderId="18" xfId="0" applyFont="1" applyFill="1" applyBorder="1" applyAlignment="1">
      <alignment horizontal="left" vertical="center"/>
    </xf>
    <xf numFmtId="0" fontId="46" fillId="29" borderId="19" xfId="0" applyFont="1" applyFill="1" applyBorder="1" applyAlignment="1">
      <alignment horizontal="left" vertical="center"/>
    </xf>
    <xf numFmtId="0" fontId="52" fillId="29" borderId="18" xfId="0" applyFont="1" applyFill="1" applyBorder="1" applyAlignment="1">
      <alignment horizontal="left"/>
    </xf>
    <xf numFmtId="0" fontId="52" fillId="29" borderId="19" xfId="0" applyFont="1" applyFill="1" applyBorder="1" applyAlignment="1">
      <alignment horizontal="left"/>
    </xf>
    <xf numFmtId="0" fontId="47" fillId="5" borderId="37" xfId="0" applyFont="1" applyFill="1" applyBorder="1" applyAlignment="1">
      <alignment horizontal="left" vertical="center" wrapText="1"/>
    </xf>
    <xf numFmtId="0" fontId="47" fillId="5" borderId="15" xfId="0" applyFont="1" applyFill="1" applyBorder="1" applyAlignment="1">
      <alignment horizontal="left" vertical="center" wrapText="1"/>
    </xf>
    <xf numFmtId="0" fontId="53" fillId="5" borderId="37" xfId="0" applyFont="1" applyFill="1" applyBorder="1" applyAlignment="1">
      <alignment horizontal="left" vertical="center" wrapText="1"/>
    </xf>
    <xf numFmtId="0" fontId="53" fillId="5" borderId="15" xfId="0" applyFont="1" applyFill="1" applyBorder="1" applyAlignment="1">
      <alignment horizontal="left" vertical="center" wrapText="1"/>
    </xf>
    <xf numFmtId="17" fontId="50" fillId="2" borderId="99" xfId="0" applyNumberFormat="1" applyFont="1" applyBorder="1" applyAlignment="1">
      <alignment horizontal="center" vertical="center"/>
    </xf>
    <xf numFmtId="17" fontId="50" fillId="2" borderId="67" xfId="0" applyNumberFormat="1" applyFont="1" applyBorder="1" applyAlignment="1">
      <alignment horizontal="center" vertical="center"/>
    </xf>
    <xf numFmtId="0" fontId="44" fillId="2" borderId="35" xfId="0" applyFont="1" applyBorder="1" applyAlignment="1">
      <alignment horizontal="center" vertical="center"/>
    </xf>
    <xf numFmtId="0" fontId="50" fillId="2" borderId="17" xfId="0" applyFont="1" applyBorder="1" applyAlignment="1">
      <alignment horizontal="center" vertical="center" wrapText="1"/>
    </xf>
    <xf numFmtId="0" fontId="50" fillId="2" borderId="60" xfId="0" applyFont="1" applyBorder="1" applyAlignment="1">
      <alignment horizontal="center" vertical="center" wrapText="1"/>
    </xf>
    <xf numFmtId="0" fontId="44" fillId="2" borderId="17" xfId="0" applyFont="1" applyBorder="1" applyAlignment="1">
      <alignment horizontal="center" vertical="center" wrapText="1"/>
    </xf>
    <xf numFmtId="0" fontId="44" fillId="2" borderId="23" xfId="0" applyFont="1" applyBorder="1" applyAlignment="1">
      <alignment horizontal="center" vertical="center" wrapText="1"/>
    </xf>
    <xf numFmtId="0" fontId="44" fillId="2" borderId="17" xfId="0" applyFont="1" applyBorder="1" applyAlignment="1">
      <alignment horizontal="center" vertical="center"/>
    </xf>
    <xf numFmtId="0" fontId="44" fillId="2" borderId="23" xfId="0" applyFont="1" applyBorder="1" applyAlignment="1">
      <alignment horizontal="center" vertical="center"/>
    </xf>
    <xf numFmtId="0" fontId="53" fillId="30" borderId="40" xfId="0" applyFont="1" applyFill="1" applyBorder="1" applyAlignment="1">
      <alignment horizontal="left" vertical="center" wrapText="1"/>
    </xf>
    <xf numFmtId="0" fontId="53" fillId="30" borderId="33" xfId="0" applyFont="1" applyFill="1" applyBorder="1" applyAlignment="1">
      <alignment horizontal="left" vertical="center" wrapText="1"/>
    </xf>
    <xf numFmtId="0" fontId="44" fillId="2" borderId="22" xfId="0" applyFont="1" applyBorder="1" applyAlignment="1">
      <alignment horizontal="center" vertical="center" wrapText="1"/>
    </xf>
    <xf numFmtId="0" fontId="44" fillId="2" borderId="25" xfId="0" applyFont="1" applyBorder="1" applyAlignment="1">
      <alignment horizontal="center" vertical="center" wrapText="1"/>
    </xf>
    <xf numFmtId="0" fontId="50" fillId="2" borderId="26" xfId="0" applyFont="1" applyBorder="1" applyAlignment="1">
      <alignment horizontal="center" vertical="center"/>
    </xf>
    <xf numFmtId="0" fontId="50" fillId="2" borderId="24" xfId="0" applyFont="1" applyBorder="1" applyAlignment="1">
      <alignment horizontal="center" vertical="center"/>
    </xf>
    <xf numFmtId="0" fontId="3" fillId="2" borderId="0" xfId="0" applyFont="1" applyAlignment="1">
      <alignment horizontal="center"/>
    </xf>
    <xf numFmtId="0" fontId="44" fillId="2" borderId="60" xfId="0" applyFont="1" applyBorder="1" applyAlignment="1">
      <alignment horizontal="center" vertical="center" wrapText="1"/>
    </xf>
    <xf numFmtId="0" fontId="44" fillId="2" borderId="17" xfId="0" applyFont="1" applyBorder="1" applyAlignment="1">
      <alignment horizontal="left" vertical="center"/>
    </xf>
    <xf numFmtId="0" fontId="44" fillId="2" borderId="23" xfId="0" applyFont="1" applyBorder="1" applyAlignment="1">
      <alignment horizontal="left" vertical="center"/>
    </xf>
    <xf numFmtId="0" fontId="44" fillId="2" borderId="59" xfId="0" applyFont="1" applyBorder="1" applyAlignment="1">
      <alignment horizontal="center" vertical="center" wrapText="1"/>
    </xf>
    <xf numFmtId="0" fontId="44" fillId="2" borderId="71" xfId="0" applyFont="1" applyBorder="1" applyAlignment="1">
      <alignment horizontal="center" vertical="center"/>
    </xf>
    <xf numFmtId="0" fontId="44" fillId="2" borderId="70" xfId="0" applyFont="1" applyBorder="1" applyAlignment="1">
      <alignment horizontal="center" vertical="center"/>
    </xf>
    <xf numFmtId="0" fontId="44" fillId="2" borderId="20" xfId="0" applyFont="1" applyBorder="1" applyAlignment="1">
      <alignment horizontal="center" vertical="center"/>
    </xf>
    <xf numFmtId="0" fontId="44" fillId="2" borderId="13" xfId="0" applyFont="1" applyBorder="1" applyAlignment="1">
      <alignment horizontal="center" vertical="center"/>
    </xf>
    <xf numFmtId="0" fontId="44" fillId="2" borderId="21" xfId="0" applyFont="1" applyBorder="1" applyAlignment="1">
      <alignment horizontal="center" vertical="center"/>
    </xf>
    <xf numFmtId="0" fontId="44" fillId="2" borderId="0" xfId="0" applyFont="1" applyAlignment="1">
      <alignment horizontal="left"/>
    </xf>
    <xf numFmtId="0" fontId="44" fillId="2" borderId="0" xfId="0" applyFont="1" applyAlignment="1">
      <alignment horizontal="center"/>
    </xf>
    <xf numFmtId="0" fontId="57" fillId="29" borderId="89" xfId="0" applyFont="1" applyFill="1" applyBorder="1" applyAlignment="1">
      <alignment horizontal="left" vertical="center"/>
    </xf>
    <xf numFmtId="0" fontId="57" fillId="29" borderId="85" xfId="0" applyFont="1" applyFill="1" applyBorder="1" applyAlignment="1">
      <alignment horizontal="left" vertical="center"/>
    </xf>
    <xf numFmtId="0" fontId="57" fillId="29" borderId="81" xfId="0" applyFont="1" applyFill="1" applyBorder="1" applyAlignment="1">
      <alignment horizontal="left" vertical="center"/>
    </xf>
    <xf numFmtId="0" fontId="57" fillId="2" borderId="58" xfId="0" applyFont="1" applyBorder="1" applyAlignment="1">
      <alignment horizontal="center" vertical="center"/>
    </xf>
    <xf numFmtId="0" fontId="57" fillId="2" borderId="27" xfId="0" applyFont="1" applyBorder="1" applyAlignment="1">
      <alignment horizontal="center" vertical="center"/>
    </xf>
    <xf numFmtId="0" fontId="57" fillId="2" borderId="59" xfId="0" applyFont="1" applyBorder="1" applyAlignment="1">
      <alignment horizontal="center" vertical="center"/>
    </xf>
    <xf numFmtId="0" fontId="56" fillId="30" borderId="40" xfId="0" applyFont="1" applyFill="1" applyBorder="1" applyAlignment="1">
      <alignment horizontal="left" vertical="center" wrapText="1"/>
    </xf>
    <xf numFmtId="0" fontId="56" fillId="30" borderId="33" xfId="0" applyFont="1" applyFill="1" applyBorder="1" applyAlignment="1">
      <alignment horizontal="left" vertical="center" wrapText="1"/>
    </xf>
    <xf numFmtId="0" fontId="56" fillId="5" borderId="36" xfId="0" applyFont="1" applyFill="1" applyBorder="1" applyAlignment="1">
      <alignment horizontal="left" vertical="center" wrapText="1"/>
    </xf>
    <xf numFmtId="0" fontId="56" fillId="30" borderId="35" xfId="0" applyFont="1" applyFill="1" applyBorder="1" applyAlignment="1">
      <alignment horizontal="left" vertical="center" wrapText="1"/>
    </xf>
    <xf numFmtId="0" fontId="57" fillId="29" borderId="40" xfId="0" applyFont="1" applyFill="1" applyBorder="1" applyAlignment="1">
      <alignment horizontal="left" vertical="center"/>
    </xf>
    <xf numFmtId="0" fontId="57" fillId="29" borderId="31" xfId="0" applyFont="1" applyFill="1" applyBorder="1" applyAlignment="1">
      <alignment horizontal="left" vertical="center"/>
    </xf>
    <xf numFmtId="0" fontId="57" fillId="29" borderId="33" xfId="0" applyFont="1" applyFill="1" applyBorder="1" applyAlignment="1">
      <alignment horizontal="left" vertical="center"/>
    </xf>
    <xf numFmtId="0" fontId="59" fillId="30" borderId="12" xfId="0" applyFont="1" applyFill="1" applyBorder="1" applyAlignment="1">
      <alignment horizontal="left" vertical="center"/>
    </xf>
    <xf numFmtId="0" fontId="59" fillId="30" borderId="4" xfId="0" applyFont="1" applyFill="1" applyBorder="1" applyAlignment="1">
      <alignment horizontal="left" vertical="center"/>
    </xf>
    <xf numFmtId="0" fontId="56" fillId="5" borderId="14" xfId="0" applyFont="1" applyFill="1" applyBorder="1" applyAlignment="1">
      <alignment horizontal="left" vertical="center" wrapText="1"/>
    </xf>
    <xf numFmtId="0" fontId="56" fillId="5" borderId="15" xfId="0" applyFont="1" applyFill="1" applyBorder="1" applyAlignment="1">
      <alignment horizontal="left" vertical="center" wrapText="1"/>
    </xf>
    <xf numFmtId="0" fontId="56" fillId="30" borderId="31" xfId="0" applyFont="1" applyFill="1" applyBorder="1" applyAlignment="1">
      <alignment horizontal="left" vertical="center" wrapText="1"/>
    </xf>
    <xf numFmtId="0" fontId="56" fillId="29" borderId="18" xfId="0" applyFont="1" applyFill="1" applyBorder="1" applyAlignment="1">
      <alignment horizontal="left" vertical="center"/>
    </xf>
    <xf numFmtId="0" fontId="56" fillId="29" borderId="19" xfId="0" applyFont="1" applyFill="1" applyBorder="1" applyAlignment="1">
      <alignment horizontal="left" vertical="center"/>
    </xf>
    <xf numFmtId="0" fontId="57" fillId="5" borderId="37" xfId="0" applyFont="1" applyFill="1" applyBorder="1" applyAlignment="1">
      <alignment horizontal="left" vertical="center" wrapText="1"/>
    </xf>
    <xf numFmtId="0" fontId="57" fillId="5" borderId="15" xfId="0" applyFont="1" applyFill="1" applyBorder="1" applyAlignment="1">
      <alignment horizontal="left" vertical="center" wrapText="1"/>
    </xf>
    <xf numFmtId="0" fontId="57" fillId="30" borderId="40" xfId="0" applyFont="1" applyFill="1" applyBorder="1" applyAlignment="1">
      <alignment horizontal="left" vertical="center" wrapText="1"/>
    </xf>
    <xf numFmtId="0" fontId="57" fillId="30" borderId="33" xfId="0" applyFont="1" applyFill="1" applyBorder="1" applyAlignment="1">
      <alignment horizontal="left" vertical="center" wrapText="1"/>
    </xf>
    <xf numFmtId="17" fontId="15" fillId="2" borderId="37" xfId="0" applyNumberFormat="1" applyFont="1" applyBorder="1" applyAlignment="1">
      <alignment horizontal="center" vertical="center"/>
    </xf>
    <xf numFmtId="17" fontId="15" fillId="2" borderId="67" xfId="0" applyNumberFormat="1" applyFont="1" applyBorder="1" applyAlignment="1">
      <alignment horizontal="center" vertical="center"/>
    </xf>
    <xf numFmtId="0" fontId="15" fillId="2" borderId="17" xfId="0" applyFont="1" applyBorder="1" applyAlignment="1">
      <alignment horizontal="center" vertical="center" wrapText="1"/>
    </xf>
    <xf numFmtId="0" fontId="15" fillId="2" borderId="23" xfId="0" applyFont="1" applyBorder="1" applyAlignment="1">
      <alignment horizontal="center" vertical="center" wrapText="1"/>
    </xf>
    <xf numFmtId="0" fontId="15" fillId="2" borderId="17" xfId="0" applyFont="1" applyBorder="1" applyAlignment="1">
      <alignment horizontal="center" vertical="center"/>
    </xf>
    <xf numFmtId="0" fontId="15" fillId="2" borderId="23" xfId="0" applyFont="1" applyBorder="1" applyAlignment="1">
      <alignment horizontal="center" vertical="center"/>
    </xf>
    <xf numFmtId="0" fontId="15" fillId="2" borderId="22" xfId="0" applyFont="1" applyBorder="1" applyAlignment="1">
      <alignment horizontal="center" vertical="center" wrapText="1"/>
    </xf>
    <xf numFmtId="0" fontId="15" fillId="2" borderId="25" xfId="0" applyFont="1" applyBorder="1" applyAlignment="1">
      <alignment horizontal="center" vertical="center" wrapText="1"/>
    </xf>
    <xf numFmtId="0" fontId="15" fillId="2" borderId="26" xfId="0" applyFont="1" applyBorder="1" applyAlignment="1">
      <alignment horizontal="center" vertical="center"/>
    </xf>
    <xf numFmtId="0" fontId="15" fillId="2" borderId="24" xfId="0" applyFont="1" applyBorder="1" applyAlignment="1">
      <alignment horizontal="center" vertical="center"/>
    </xf>
    <xf numFmtId="0" fontId="57" fillId="2" borderId="24" xfId="0" applyFont="1" applyBorder="1" applyAlignment="1">
      <alignment horizontal="center" vertical="center"/>
    </xf>
    <xf numFmtId="0" fontId="56" fillId="5" borderId="39" xfId="0" applyFont="1" applyFill="1" applyBorder="1" applyAlignment="1">
      <alignment horizontal="left" vertical="center" wrapText="1"/>
    </xf>
    <xf numFmtId="0" fontId="59" fillId="30" borderId="21" xfId="0" applyFont="1" applyFill="1" applyBorder="1" applyAlignment="1">
      <alignment horizontal="left" vertical="center"/>
    </xf>
    <xf numFmtId="0" fontId="57" fillId="5" borderId="14" xfId="0" applyFont="1" applyFill="1" applyBorder="1" applyAlignment="1">
      <alignment horizontal="left" vertical="center" wrapText="1"/>
    </xf>
    <xf numFmtId="0" fontId="57" fillId="30" borderId="31" xfId="0" applyFont="1" applyFill="1" applyBorder="1" applyAlignment="1">
      <alignment horizontal="left" vertical="center" wrapText="1"/>
    </xf>
    <xf numFmtId="0" fontId="15" fillId="2" borderId="58" xfId="0" applyFont="1" applyBorder="1" applyAlignment="1">
      <alignment horizontal="center" vertical="center"/>
    </xf>
    <xf numFmtId="0" fontId="57" fillId="2" borderId="25" xfId="0" applyFont="1" applyBorder="1" applyAlignment="1">
      <alignment horizontal="center" vertical="center"/>
    </xf>
    <xf numFmtId="0" fontId="59" fillId="30" borderId="12" xfId="0" applyFont="1" applyFill="1" applyBorder="1" applyAlignment="1">
      <alignment horizontal="left" vertical="top"/>
    </xf>
    <xf numFmtId="0" fontId="59" fillId="30" borderId="4" xfId="0" applyFont="1" applyFill="1" applyBorder="1" applyAlignment="1">
      <alignment horizontal="left" vertical="top"/>
    </xf>
    <xf numFmtId="0" fontId="56" fillId="29" borderId="18" xfId="0" applyFont="1" applyFill="1" applyBorder="1" applyAlignment="1">
      <alignment horizontal="left"/>
    </xf>
    <xf numFmtId="0" fontId="56" fillId="29" borderId="19" xfId="0" applyFont="1" applyFill="1" applyBorder="1" applyAlignment="1">
      <alignment horizontal="left"/>
    </xf>
    <xf numFmtId="0" fontId="46" fillId="2" borderId="0" xfId="0" applyFont="1" applyAlignment="1">
      <alignment horizontal="center"/>
    </xf>
    <xf numFmtId="0" fontId="41" fillId="2" borderId="0" xfId="0" applyFont="1" applyAlignment="1">
      <alignment horizontal="center"/>
    </xf>
    <xf numFmtId="0" fontId="41" fillId="2" borderId="0" xfId="0" applyFont="1" applyAlignment="1">
      <alignment wrapText="1"/>
    </xf>
    <xf numFmtId="0" fontId="33" fillId="29" borderId="89" xfId="0" applyFont="1" applyFill="1" applyBorder="1" applyAlignment="1">
      <alignment horizontal="left" vertical="center"/>
    </xf>
    <xf numFmtId="0" fontId="33" fillId="29" borderId="85" xfId="0" applyFont="1" applyFill="1" applyBorder="1" applyAlignment="1">
      <alignment horizontal="left" vertical="center"/>
    </xf>
    <xf numFmtId="0" fontId="33" fillId="29" borderId="81" xfId="0" applyFont="1" applyFill="1" applyBorder="1" applyAlignment="1">
      <alignment horizontal="left" vertical="center"/>
    </xf>
    <xf numFmtId="0" fontId="33" fillId="2" borderId="40" xfId="0" applyFont="1" applyBorder="1" applyAlignment="1">
      <alignment horizontal="left" vertical="center"/>
    </xf>
    <xf numFmtId="0" fontId="33" fillId="2" borderId="31" xfId="0" applyFont="1" applyBorder="1" applyAlignment="1">
      <alignment horizontal="left" vertical="center"/>
    </xf>
    <xf numFmtId="0" fontId="33" fillId="2" borderId="33" xfId="0" applyFont="1" applyBorder="1" applyAlignment="1">
      <alignment horizontal="left" vertical="center"/>
    </xf>
    <xf numFmtId="0" fontId="33" fillId="29" borderId="40" xfId="0" applyFont="1" applyFill="1" applyBorder="1" applyAlignment="1">
      <alignment horizontal="left" vertical="center"/>
    </xf>
    <xf numFmtId="0" fontId="33" fillId="29" borderId="31" xfId="0" applyFont="1" applyFill="1" applyBorder="1" applyAlignment="1">
      <alignment horizontal="left" vertical="center"/>
    </xf>
    <xf numFmtId="0" fontId="33" fillId="29" borderId="33" xfId="0" applyFont="1" applyFill="1" applyBorder="1" applyAlignment="1">
      <alignment horizontal="left" vertical="center"/>
    </xf>
    <xf numFmtId="0" fontId="36" fillId="2" borderId="0" xfId="0" applyFont="1" applyAlignment="1">
      <alignment horizontal="center"/>
    </xf>
    <xf numFmtId="0" fontId="36" fillId="2" borderId="0" xfId="0" applyFont="1" applyAlignment="1">
      <alignment horizontal="center" vertical="center"/>
    </xf>
    <xf numFmtId="0" fontId="10" fillId="2" borderId="17" xfId="0" applyFont="1" applyBorder="1" applyAlignment="1">
      <alignment horizontal="center" vertical="center" wrapText="1"/>
    </xf>
    <xf numFmtId="0" fontId="10" fillId="2" borderId="60" xfId="0" applyFont="1" applyBorder="1" applyAlignment="1">
      <alignment horizontal="center" vertical="center" wrapText="1"/>
    </xf>
    <xf numFmtId="0" fontId="10" fillId="2" borderId="17" xfId="0" applyFont="1" applyBorder="1" applyAlignment="1">
      <alignment horizontal="center" vertical="center"/>
    </xf>
    <xf numFmtId="0" fontId="10" fillId="2" borderId="60" xfId="0" applyFont="1" applyBorder="1" applyAlignment="1">
      <alignment horizontal="center" vertical="center"/>
    </xf>
    <xf numFmtId="0" fontId="10" fillId="2" borderId="22" xfId="0" applyFont="1" applyBorder="1" applyAlignment="1">
      <alignment horizontal="center" vertical="center" wrapText="1"/>
    </xf>
    <xf numFmtId="0" fontId="10" fillId="2" borderId="59" xfId="0" applyFont="1" applyBorder="1" applyAlignment="1">
      <alignment horizontal="center" vertical="center" wrapText="1"/>
    </xf>
    <xf numFmtId="0" fontId="10" fillId="2" borderId="71" xfId="0" applyFont="1" applyBorder="1" applyAlignment="1">
      <alignment horizontal="center" vertical="center"/>
    </xf>
    <xf numFmtId="0" fontId="10" fillId="2" borderId="70" xfId="0" applyFont="1" applyBorder="1" applyAlignment="1">
      <alignment horizontal="center" vertical="center"/>
    </xf>
    <xf numFmtId="0" fontId="10" fillId="2" borderId="35" xfId="0" applyFont="1" applyBorder="1" applyAlignment="1">
      <alignment horizontal="center" vertical="center"/>
    </xf>
    <xf numFmtId="0" fontId="39" fillId="29" borderId="18" xfId="0" applyFont="1" applyFill="1" applyBorder="1" applyAlignment="1">
      <alignment horizontal="left" vertical="center"/>
    </xf>
    <xf numFmtId="0" fontId="39" fillId="29" borderId="19" xfId="0" applyFont="1" applyFill="1" applyBorder="1" applyAlignment="1">
      <alignment horizontal="left" vertical="center"/>
    </xf>
    <xf numFmtId="0" fontId="33" fillId="5" borderId="37" xfId="0" applyFont="1" applyFill="1" applyBorder="1" applyAlignment="1">
      <alignment horizontal="left" vertical="center" wrapText="1"/>
    </xf>
    <xf numFmtId="0" fontId="33" fillId="5" borderId="15" xfId="0" applyFont="1" applyFill="1" applyBorder="1" applyAlignment="1">
      <alignment horizontal="left" vertical="center" wrapText="1"/>
    </xf>
    <xf numFmtId="0" fontId="39" fillId="5" borderId="14" xfId="0" applyFont="1" applyFill="1" applyBorder="1" applyAlignment="1">
      <alignment horizontal="left" vertical="center" wrapText="1"/>
    </xf>
    <xf numFmtId="0" fontId="39" fillId="5" borderId="15" xfId="0" applyFont="1" applyFill="1" applyBorder="1" applyAlignment="1">
      <alignment horizontal="left" vertical="center" wrapText="1"/>
    </xf>
    <xf numFmtId="0" fontId="39" fillId="5" borderId="18" xfId="0" applyFont="1" applyFill="1" applyBorder="1" applyAlignment="1">
      <alignment horizontal="left" vertical="center" wrapText="1"/>
    </xf>
    <xf numFmtId="0" fontId="39" fillId="5" borderId="19" xfId="0" applyFont="1" applyFill="1" applyBorder="1" applyAlignment="1">
      <alignment horizontal="left" vertical="center" wrapText="1"/>
    </xf>
    <xf numFmtId="39" fontId="15" fillId="29" borderId="17" xfId="0" applyNumberFormat="1" applyFont="1" applyFill="1" applyBorder="1" applyAlignment="1">
      <alignment horizontal="center"/>
    </xf>
    <xf numFmtId="39" fontId="57" fillId="30" borderId="86" xfId="0" applyNumberFormat="1" applyFont="1" applyFill="1" applyBorder="1" applyAlignment="1">
      <alignment vertical="center"/>
    </xf>
    <xf numFmtId="0" fontId="15" fillId="30" borderId="113" xfId="0" applyFont="1" applyFill="1" applyBorder="1"/>
    <xf numFmtId="37" fontId="15" fillId="2" borderId="61" xfId="0" applyNumberFormat="1" applyFont="1" applyBorder="1"/>
    <xf numFmtId="37" fontId="15" fillId="30" borderId="44" xfId="0" applyNumberFormat="1" applyFont="1" applyFill="1" applyBorder="1"/>
    <xf numFmtId="0" fontId="59" fillId="30" borderId="21" xfId="0" applyFont="1" applyFill="1" applyBorder="1" applyAlignment="1">
      <alignment horizontal="left" vertical="top"/>
    </xf>
    <xf numFmtId="37" fontId="15" fillId="30" borderId="6" xfId="0" applyNumberFormat="1" applyFont="1" applyFill="1" applyBorder="1"/>
    <xf numFmtId="37" fontId="15" fillId="30" borderId="101" xfId="0" applyNumberFormat="1" applyFont="1" applyFill="1" applyBorder="1"/>
    <xf numFmtId="0" fontId="15" fillId="2" borderId="0" xfId="0" applyFont="1" applyBorder="1" applyAlignment="1">
      <alignment vertical="center"/>
    </xf>
    <xf numFmtId="37" fontId="15" fillId="2" borderId="107" xfId="0" applyNumberFormat="1" applyFont="1" applyBorder="1"/>
    <xf numFmtId="37" fontId="15" fillId="2" borderId="44" xfId="0" applyNumberFormat="1" applyFont="1" applyBorder="1"/>
    <xf numFmtId="39" fontId="15" fillId="5" borderId="114" xfId="0" applyNumberFormat="1" applyFont="1" applyFill="1" applyBorder="1"/>
    <xf numFmtId="0" fontId="15" fillId="29" borderId="6" xfId="0" applyFont="1" applyFill="1" applyBorder="1"/>
    <xf numFmtId="39" fontId="57" fillId="4" borderId="6" xfId="0" applyNumberFormat="1" applyFont="1" applyFill="1" applyBorder="1"/>
    <xf numFmtId="37" fontId="15" fillId="5" borderId="101" xfId="0" applyNumberFormat="1" applyFont="1" applyFill="1" applyBorder="1"/>
    <xf numFmtId="37" fontId="15" fillId="5" borderId="115" xfId="0" applyNumberFormat="1" applyFont="1" applyFill="1" applyBorder="1"/>
    <xf numFmtId="37" fontId="15" fillId="29" borderId="71" xfId="0" applyNumberFormat="1" applyFont="1" applyFill="1" applyBorder="1" applyAlignment="1">
      <alignment horizontal="center"/>
    </xf>
    <xf numFmtId="37" fontId="57" fillId="5" borderId="38" xfId="0" applyNumberFormat="1" applyFont="1" applyFill="1" applyBorder="1" applyAlignment="1">
      <alignment vertical="center"/>
    </xf>
  </cellXfs>
  <cellStyles count="282">
    <cellStyle name="14" xfId="7" xr:uid="{00000000-0005-0000-0000-000000000000}"/>
    <cellStyle name="20% - Accent1 2" xfId="8" xr:uid="{00000000-0005-0000-0000-000001000000}"/>
    <cellStyle name="20% - Accent1 2 2" xfId="9" xr:uid="{00000000-0005-0000-0000-000002000000}"/>
    <cellStyle name="20% - Accent2 2" xfId="10" xr:uid="{00000000-0005-0000-0000-000003000000}"/>
    <cellStyle name="20% - Accent2 2 2" xfId="11" xr:uid="{00000000-0005-0000-0000-000004000000}"/>
    <cellStyle name="20% - Accent3 2" xfId="12" xr:uid="{00000000-0005-0000-0000-000005000000}"/>
    <cellStyle name="20% - Accent3 2 2" xfId="13" xr:uid="{00000000-0005-0000-0000-000006000000}"/>
    <cellStyle name="20% - Accent4 2" xfId="14" xr:uid="{00000000-0005-0000-0000-000007000000}"/>
    <cellStyle name="20% - Accent4 2 2" xfId="15" xr:uid="{00000000-0005-0000-0000-000008000000}"/>
    <cellStyle name="20% - Accent5 2" xfId="16" xr:uid="{00000000-0005-0000-0000-000009000000}"/>
    <cellStyle name="20% - Accent5 2 2" xfId="17" xr:uid="{00000000-0005-0000-0000-00000A000000}"/>
    <cellStyle name="20% - Accent6 2" xfId="18" xr:uid="{00000000-0005-0000-0000-00000B000000}"/>
    <cellStyle name="20% - Accent6 2 2" xfId="19" xr:uid="{00000000-0005-0000-0000-00000C000000}"/>
    <cellStyle name="40% - Accent1 2" xfId="20" xr:uid="{00000000-0005-0000-0000-00000D000000}"/>
    <cellStyle name="40% - Accent1 2 2" xfId="21" xr:uid="{00000000-0005-0000-0000-00000E000000}"/>
    <cellStyle name="40% - Accent2 2" xfId="22" xr:uid="{00000000-0005-0000-0000-00000F000000}"/>
    <cellStyle name="40% - Accent2 2 2" xfId="23" xr:uid="{00000000-0005-0000-0000-000010000000}"/>
    <cellStyle name="40% - Accent3 2" xfId="24" xr:uid="{00000000-0005-0000-0000-000011000000}"/>
    <cellStyle name="40% - Accent3 2 2" xfId="25" xr:uid="{00000000-0005-0000-0000-000012000000}"/>
    <cellStyle name="40% - Accent4 2" xfId="26" xr:uid="{00000000-0005-0000-0000-000013000000}"/>
    <cellStyle name="40% - Accent4 2 2" xfId="27" xr:uid="{00000000-0005-0000-0000-000014000000}"/>
    <cellStyle name="40% - Accent5 2" xfId="28" xr:uid="{00000000-0005-0000-0000-000015000000}"/>
    <cellStyle name="40% - Accent5 2 2" xfId="29" xr:uid="{00000000-0005-0000-0000-000016000000}"/>
    <cellStyle name="40% - Accent6 2" xfId="30" xr:uid="{00000000-0005-0000-0000-000017000000}"/>
    <cellStyle name="40% - Accent6 2 2" xfId="31" xr:uid="{00000000-0005-0000-0000-000018000000}"/>
    <cellStyle name="60% - Accent1 2" xfId="32" xr:uid="{00000000-0005-0000-0000-000019000000}"/>
    <cellStyle name="60% - Accent2 2" xfId="33" xr:uid="{00000000-0005-0000-0000-00001A000000}"/>
    <cellStyle name="60% - Accent3 2" xfId="34" xr:uid="{00000000-0005-0000-0000-00001B000000}"/>
    <cellStyle name="60% - Accent4 2" xfId="35" xr:uid="{00000000-0005-0000-0000-00001C000000}"/>
    <cellStyle name="60% - Accent5 2" xfId="36" xr:uid="{00000000-0005-0000-0000-00001D000000}"/>
    <cellStyle name="60% - Accent6 2" xfId="37" xr:uid="{00000000-0005-0000-0000-00001E000000}"/>
    <cellStyle name="A4 Small 210 x 297 mm" xfId="38" xr:uid="{00000000-0005-0000-0000-00001F000000}"/>
    <cellStyle name="Accent1 2" xfId="39" xr:uid="{00000000-0005-0000-0000-000020000000}"/>
    <cellStyle name="Accent2 2" xfId="40" xr:uid="{00000000-0005-0000-0000-000021000000}"/>
    <cellStyle name="Accent3 2" xfId="41" xr:uid="{00000000-0005-0000-0000-000022000000}"/>
    <cellStyle name="Accent4 2" xfId="42" xr:uid="{00000000-0005-0000-0000-000023000000}"/>
    <cellStyle name="Accent5 2" xfId="43" xr:uid="{00000000-0005-0000-0000-000024000000}"/>
    <cellStyle name="Accent6 2" xfId="44" xr:uid="{00000000-0005-0000-0000-000025000000}"/>
    <cellStyle name="Bad 2" xfId="45" xr:uid="{00000000-0005-0000-0000-000026000000}"/>
    <cellStyle name="Calculation 2" xfId="46" xr:uid="{00000000-0005-0000-0000-000027000000}"/>
    <cellStyle name="Check Cell 2" xfId="47" xr:uid="{00000000-0005-0000-0000-000028000000}"/>
    <cellStyle name="Comma" xfId="281" builtinId="3"/>
    <cellStyle name="Comma [0] 10" xfId="48" xr:uid="{00000000-0005-0000-0000-000029000000}"/>
    <cellStyle name="Comma [0] 11" xfId="49" xr:uid="{00000000-0005-0000-0000-00002A000000}"/>
    <cellStyle name="Comma [0] 11 2" xfId="50" xr:uid="{00000000-0005-0000-0000-00002B000000}"/>
    <cellStyle name="Comma [0] 11 2 3" xfId="51" xr:uid="{00000000-0005-0000-0000-00002C000000}"/>
    <cellStyle name="Comma [0] 12" xfId="5" xr:uid="{00000000-0005-0000-0000-00002D000000}"/>
    <cellStyle name="Comma [0] 2" xfId="2" xr:uid="{00000000-0005-0000-0000-00002E000000}"/>
    <cellStyle name="Comma [0] 2 2" xfId="52" xr:uid="{00000000-0005-0000-0000-00002F000000}"/>
    <cellStyle name="Comma [0] 2 2 2" xfId="53" xr:uid="{00000000-0005-0000-0000-000030000000}"/>
    <cellStyle name="Comma [0] 2 2 2 2" xfId="54" xr:uid="{00000000-0005-0000-0000-000031000000}"/>
    <cellStyle name="Comma [0] 2 2 3" xfId="55" xr:uid="{00000000-0005-0000-0000-000032000000}"/>
    <cellStyle name="Comma [0] 2 2 4" xfId="56" xr:uid="{00000000-0005-0000-0000-000033000000}"/>
    <cellStyle name="Comma [0] 2 2 5" xfId="57" xr:uid="{00000000-0005-0000-0000-000034000000}"/>
    <cellStyle name="Comma [0] 2 3" xfId="58" xr:uid="{00000000-0005-0000-0000-000035000000}"/>
    <cellStyle name="Comma [0] 2 3 2" xfId="59" xr:uid="{00000000-0005-0000-0000-000036000000}"/>
    <cellStyle name="Comma [0] 2 4" xfId="60" xr:uid="{00000000-0005-0000-0000-000037000000}"/>
    <cellStyle name="Comma [0] 2 4 2" xfId="61" xr:uid="{00000000-0005-0000-0000-000038000000}"/>
    <cellStyle name="Comma [0] 2 5" xfId="62" xr:uid="{00000000-0005-0000-0000-000039000000}"/>
    <cellStyle name="Comma [0] 2 6" xfId="63" xr:uid="{00000000-0005-0000-0000-00003A000000}"/>
    <cellStyle name="Comma [0] 3" xfId="64" xr:uid="{00000000-0005-0000-0000-00003B000000}"/>
    <cellStyle name="Comma [0] 3 2" xfId="65" xr:uid="{00000000-0005-0000-0000-00003C000000}"/>
    <cellStyle name="Comma [0] 3 2 2" xfId="66" xr:uid="{00000000-0005-0000-0000-00003D000000}"/>
    <cellStyle name="Comma [0] 3 2 3" xfId="67" xr:uid="{00000000-0005-0000-0000-00003E000000}"/>
    <cellStyle name="Comma [0] 3 3" xfId="68" xr:uid="{00000000-0005-0000-0000-00003F000000}"/>
    <cellStyle name="Comma [0] 3 4" xfId="69" xr:uid="{00000000-0005-0000-0000-000040000000}"/>
    <cellStyle name="Comma [0] 4" xfId="70" xr:uid="{00000000-0005-0000-0000-000041000000}"/>
    <cellStyle name="Comma [0] 4 2" xfId="71" xr:uid="{00000000-0005-0000-0000-000042000000}"/>
    <cellStyle name="Comma [0] 4 2 2" xfId="72" xr:uid="{00000000-0005-0000-0000-000043000000}"/>
    <cellStyle name="Comma [0] 4 2 3" xfId="73" xr:uid="{00000000-0005-0000-0000-000044000000}"/>
    <cellStyle name="Comma [0] 4 3" xfId="74" xr:uid="{00000000-0005-0000-0000-000045000000}"/>
    <cellStyle name="Comma [0] 4 3 2" xfId="75" xr:uid="{00000000-0005-0000-0000-000046000000}"/>
    <cellStyle name="Comma [0] 4 4" xfId="76" xr:uid="{00000000-0005-0000-0000-000047000000}"/>
    <cellStyle name="Comma [0] 4 4 2" xfId="77" xr:uid="{00000000-0005-0000-0000-000048000000}"/>
    <cellStyle name="Comma [0] 4 5" xfId="78" xr:uid="{00000000-0005-0000-0000-000049000000}"/>
    <cellStyle name="Comma [0] 4 6" xfId="79" xr:uid="{00000000-0005-0000-0000-00004A000000}"/>
    <cellStyle name="Comma [0] 4 7" xfId="80" xr:uid="{00000000-0005-0000-0000-00004B000000}"/>
    <cellStyle name="Comma [0] 48" xfId="81" xr:uid="{00000000-0005-0000-0000-00004C000000}"/>
    <cellStyle name="Comma [0] 5" xfId="82" xr:uid="{00000000-0005-0000-0000-00004D000000}"/>
    <cellStyle name="Comma [0] 5 2" xfId="83" xr:uid="{00000000-0005-0000-0000-00004E000000}"/>
    <cellStyle name="Comma [0] 5 3" xfId="84" xr:uid="{00000000-0005-0000-0000-00004F000000}"/>
    <cellStyle name="Comma [0] 5 4" xfId="85" xr:uid="{00000000-0005-0000-0000-000050000000}"/>
    <cellStyle name="Comma [0] 5 6" xfId="86" xr:uid="{00000000-0005-0000-0000-000051000000}"/>
    <cellStyle name="Comma [0] 6" xfId="87" xr:uid="{00000000-0005-0000-0000-000052000000}"/>
    <cellStyle name="Comma [0] 6 2" xfId="88" xr:uid="{00000000-0005-0000-0000-000053000000}"/>
    <cellStyle name="Comma [0] 7" xfId="89" xr:uid="{00000000-0005-0000-0000-000054000000}"/>
    <cellStyle name="Comma [0] 8" xfId="90" xr:uid="{00000000-0005-0000-0000-000055000000}"/>
    <cellStyle name="Comma [0] 9" xfId="91" xr:uid="{00000000-0005-0000-0000-000056000000}"/>
    <cellStyle name="Comma 10" xfId="92" xr:uid="{00000000-0005-0000-0000-000057000000}"/>
    <cellStyle name="Comma 10 2" xfId="93" xr:uid="{00000000-0005-0000-0000-000058000000}"/>
    <cellStyle name="Comma 11" xfId="94" xr:uid="{00000000-0005-0000-0000-000059000000}"/>
    <cellStyle name="Comma 12" xfId="95" xr:uid="{00000000-0005-0000-0000-00005A000000}"/>
    <cellStyle name="Comma 12 2" xfId="96" xr:uid="{00000000-0005-0000-0000-00005B000000}"/>
    <cellStyle name="Comma 12 3" xfId="97" xr:uid="{00000000-0005-0000-0000-00005C000000}"/>
    <cellStyle name="Comma 13" xfId="98" xr:uid="{00000000-0005-0000-0000-00005D000000}"/>
    <cellStyle name="Comma 14" xfId="99" xr:uid="{00000000-0005-0000-0000-00005E000000}"/>
    <cellStyle name="Comma 15" xfId="100" xr:uid="{00000000-0005-0000-0000-00005F000000}"/>
    <cellStyle name="Comma 16" xfId="6" xr:uid="{00000000-0005-0000-0000-000060000000}"/>
    <cellStyle name="Comma 17" xfId="101" xr:uid="{00000000-0005-0000-0000-000061000000}"/>
    <cellStyle name="Comma 2" xfId="3" xr:uid="{00000000-0005-0000-0000-000062000000}"/>
    <cellStyle name="Comma 2 10" xfId="102" xr:uid="{00000000-0005-0000-0000-000063000000}"/>
    <cellStyle name="Comma 2 11" xfId="103" xr:uid="{00000000-0005-0000-0000-000064000000}"/>
    <cellStyle name="Comma 2 12" xfId="104" xr:uid="{00000000-0005-0000-0000-000065000000}"/>
    <cellStyle name="Comma 2 13" xfId="105" xr:uid="{00000000-0005-0000-0000-000066000000}"/>
    <cellStyle name="Comma 2 14" xfId="106" xr:uid="{00000000-0005-0000-0000-000067000000}"/>
    <cellStyle name="Comma 2 15" xfId="107" xr:uid="{00000000-0005-0000-0000-000068000000}"/>
    <cellStyle name="Comma 2 16" xfId="108" xr:uid="{00000000-0005-0000-0000-000069000000}"/>
    <cellStyle name="Comma 2 17" xfId="109" xr:uid="{00000000-0005-0000-0000-00006A000000}"/>
    <cellStyle name="Comma 2 18" xfId="110" xr:uid="{00000000-0005-0000-0000-00006B000000}"/>
    <cellStyle name="Comma 2 19" xfId="111" xr:uid="{00000000-0005-0000-0000-00006C000000}"/>
    <cellStyle name="Comma 2 2" xfId="112" xr:uid="{00000000-0005-0000-0000-00006D000000}"/>
    <cellStyle name="Comma 2 2 10" xfId="113" xr:uid="{00000000-0005-0000-0000-00006E000000}"/>
    <cellStyle name="Comma 2 2 10 2" xfId="114" xr:uid="{00000000-0005-0000-0000-00006F000000}"/>
    <cellStyle name="Comma 2 2 11" xfId="115" xr:uid="{00000000-0005-0000-0000-000070000000}"/>
    <cellStyle name="Comma 2 2 11 2" xfId="116" xr:uid="{00000000-0005-0000-0000-000071000000}"/>
    <cellStyle name="Comma 2 2 12" xfId="117" xr:uid="{00000000-0005-0000-0000-000072000000}"/>
    <cellStyle name="Comma 2 2 12 2" xfId="118" xr:uid="{00000000-0005-0000-0000-000073000000}"/>
    <cellStyle name="Comma 2 2 13" xfId="119" xr:uid="{00000000-0005-0000-0000-000074000000}"/>
    <cellStyle name="Comma 2 2 13 2" xfId="120" xr:uid="{00000000-0005-0000-0000-000075000000}"/>
    <cellStyle name="Comma 2 2 14" xfId="121" xr:uid="{00000000-0005-0000-0000-000076000000}"/>
    <cellStyle name="Comma 2 2 14 2" xfId="122" xr:uid="{00000000-0005-0000-0000-000077000000}"/>
    <cellStyle name="Comma 2 2 15" xfId="123" xr:uid="{00000000-0005-0000-0000-000078000000}"/>
    <cellStyle name="Comma 2 2 15 2" xfId="124" xr:uid="{00000000-0005-0000-0000-000079000000}"/>
    <cellStyle name="Comma 2 2 16" xfId="125" xr:uid="{00000000-0005-0000-0000-00007A000000}"/>
    <cellStyle name="Comma 2 2 16 2" xfId="126" xr:uid="{00000000-0005-0000-0000-00007B000000}"/>
    <cellStyle name="Comma 2 2 17" xfId="127" xr:uid="{00000000-0005-0000-0000-00007C000000}"/>
    <cellStyle name="Comma 2 2 17 2" xfId="128" xr:uid="{00000000-0005-0000-0000-00007D000000}"/>
    <cellStyle name="Comma 2 2 18" xfId="129" xr:uid="{00000000-0005-0000-0000-00007E000000}"/>
    <cellStyle name="Comma 2 2 18 2" xfId="130" xr:uid="{00000000-0005-0000-0000-00007F000000}"/>
    <cellStyle name="Comma 2 2 19" xfId="131" xr:uid="{00000000-0005-0000-0000-000080000000}"/>
    <cellStyle name="Comma 2 2 19 2" xfId="132" xr:uid="{00000000-0005-0000-0000-000081000000}"/>
    <cellStyle name="Comma 2 2 2" xfId="133" xr:uid="{00000000-0005-0000-0000-000082000000}"/>
    <cellStyle name="Comma 2 2 2 2" xfId="134" xr:uid="{00000000-0005-0000-0000-000083000000}"/>
    <cellStyle name="Comma 2 2 2 2 2" xfId="135" xr:uid="{00000000-0005-0000-0000-000084000000}"/>
    <cellStyle name="Comma 2 2 3" xfId="136" xr:uid="{00000000-0005-0000-0000-000085000000}"/>
    <cellStyle name="Comma 2 2 3 2" xfId="137" xr:uid="{00000000-0005-0000-0000-000086000000}"/>
    <cellStyle name="Comma 2 2 4" xfId="138" xr:uid="{00000000-0005-0000-0000-000087000000}"/>
    <cellStyle name="Comma 2 2 4 2" xfId="139" xr:uid="{00000000-0005-0000-0000-000088000000}"/>
    <cellStyle name="Comma 2 2 5" xfId="140" xr:uid="{00000000-0005-0000-0000-000089000000}"/>
    <cellStyle name="Comma 2 2 5 2" xfId="141" xr:uid="{00000000-0005-0000-0000-00008A000000}"/>
    <cellStyle name="Comma 2 2 6" xfId="142" xr:uid="{00000000-0005-0000-0000-00008B000000}"/>
    <cellStyle name="Comma 2 2 6 2" xfId="143" xr:uid="{00000000-0005-0000-0000-00008C000000}"/>
    <cellStyle name="Comma 2 2 7" xfId="144" xr:uid="{00000000-0005-0000-0000-00008D000000}"/>
    <cellStyle name="Comma 2 2 7 2" xfId="145" xr:uid="{00000000-0005-0000-0000-00008E000000}"/>
    <cellStyle name="Comma 2 2 8" xfId="146" xr:uid="{00000000-0005-0000-0000-00008F000000}"/>
    <cellStyle name="Comma 2 2 8 2" xfId="147" xr:uid="{00000000-0005-0000-0000-000090000000}"/>
    <cellStyle name="Comma 2 2 9" xfId="148" xr:uid="{00000000-0005-0000-0000-000091000000}"/>
    <cellStyle name="Comma 2 2 9 2" xfId="149" xr:uid="{00000000-0005-0000-0000-000092000000}"/>
    <cellStyle name="Comma 2 20" xfId="150" xr:uid="{00000000-0005-0000-0000-000093000000}"/>
    <cellStyle name="Comma 2 3" xfId="151" xr:uid="{00000000-0005-0000-0000-000094000000}"/>
    <cellStyle name="Comma 2 3 2" xfId="152" xr:uid="{00000000-0005-0000-0000-000095000000}"/>
    <cellStyle name="Comma 2 4" xfId="153" xr:uid="{00000000-0005-0000-0000-000096000000}"/>
    <cellStyle name="Comma 2 5" xfId="154" xr:uid="{00000000-0005-0000-0000-000097000000}"/>
    <cellStyle name="Comma 2 5 2" xfId="155" xr:uid="{00000000-0005-0000-0000-000098000000}"/>
    <cellStyle name="Comma 2 5 3" xfId="156" xr:uid="{00000000-0005-0000-0000-000099000000}"/>
    <cellStyle name="Comma 2 6" xfId="157" xr:uid="{00000000-0005-0000-0000-00009A000000}"/>
    <cellStyle name="Comma 2 7" xfId="158" xr:uid="{00000000-0005-0000-0000-00009B000000}"/>
    <cellStyle name="Comma 2 8" xfId="159" xr:uid="{00000000-0005-0000-0000-00009C000000}"/>
    <cellStyle name="Comma 2 9" xfId="160" xr:uid="{00000000-0005-0000-0000-00009D000000}"/>
    <cellStyle name="Comma 3" xfId="161" xr:uid="{00000000-0005-0000-0000-00009E000000}"/>
    <cellStyle name="Comma 3 2" xfId="162" xr:uid="{00000000-0005-0000-0000-00009F000000}"/>
    <cellStyle name="Comma 3 2 2" xfId="163" xr:uid="{00000000-0005-0000-0000-0000A0000000}"/>
    <cellStyle name="Comma 3 2 3" xfId="164" xr:uid="{00000000-0005-0000-0000-0000A1000000}"/>
    <cellStyle name="Comma 3 2 4" xfId="165" xr:uid="{00000000-0005-0000-0000-0000A2000000}"/>
    <cellStyle name="Comma 3 4" xfId="166" xr:uid="{00000000-0005-0000-0000-0000A3000000}"/>
    <cellStyle name="Comma 4" xfId="167" xr:uid="{00000000-0005-0000-0000-0000A4000000}"/>
    <cellStyle name="Comma 4 2" xfId="168" xr:uid="{00000000-0005-0000-0000-0000A5000000}"/>
    <cellStyle name="Comma 4 2 2" xfId="169" xr:uid="{00000000-0005-0000-0000-0000A6000000}"/>
    <cellStyle name="Comma 4 2 3" xfId="170" xr:uid="{00000000-0005-0000-0000-0000A7000000}"/>
    <cellStyle name="Comma 4 3" xfId="171" xr:uid="{00000000-0005-0000-0000-0000A8000000}"/>
    <cellStyle name="Comma 4 4" xfId="172" xr:uid="{00000000-0005-0000-0000-0000A9000000}"/>
    <cellStyle name="Comma 4 5" xfId="173" xr:uid="{00000000-0005-0000-0000-0000AA000000}"/>
    <cellStyle name="Comma 5" xfId="174" xr:uid="{00000000-0005-0000-0000-0000AB000000}"/>
    <cellStyle name="Comma 6" xfId="175" xr:uid="{00000000-0005-0000-0000-0000AC000000}"/>
    <cellStyle name="Comma 7" xfId="176" xr:uid="{00000000-0005-0000-0000-0000AD000000}"/>
    <cellStyle name="Comma 7 2" xfId="177" xr:uid="{00000000-0005-0000-0000-0000AE000000}"/>
    <cellStyle name="Comma 7 6" xfId="178" xr:uid="{00000000-0005-0000-0000-0000AF000000}"/>
    <cellStyle name="Comma 8" xfId="179" xr:uid="{00000000-0005-0000-0000-0000B0000000}"/>
    <cellStyle name="Comma 9" xfId="180" xr:uid="{00000000-0005-0000-0000-0000B1000000}"/>
    <cellStyle name="Currency 2" xfId="181" xr:uid="{00000000-0005-0000-0000-0000B2000000}"/>
    <cellStyle name="Explanatory Text 2" xfId="182" xr:uid="{00000000-0005-0000-0000-0000B3000000}"/>
    <cellStyle name="Good 2" xfId="183" xr:uid="{00000000-0005-0000-0000-0000B4000000}"/>
    <cellStyle name="Heading 1 2" xfId="184" xr:uid="{00000000-0005-0000-0000-0000B5000000}"/>
    <cellStyle name="Heading 2 2" xfId="185" xr:uid="{00000000-0005-0000-0000-0000B6000000}"/>
    <cellStyle name="Heading 3 2" xfId="186" xr:uid="{00000000-0005-0000-0000-0000B7000000}"/>
    <cellStyle name="Heading 4 2" xfId="187" xr:uid="{00000000-0005-0000-0000-0000B8000000}"/>
    <cellStyle name="Hyperlink 2" xfId="188" xr:uid="{00000000-0005-0000-0000-0000B9000000}"/>
    <cellStyle name="Hyperlink 2 2" xfId="189" xr:uid="{00000000-0005-0000-0000-0000BA000000}"/>
    <cellStyle name="Input 2" xfId="190" xr:uid="{00000000-0005-0000-0000-0000BB000000}"/>
    <cellStyle name="Linked Cell 2" xfId="191" xr:uid="{00000000-0005-0000-0000-0000BC000000}"/>
    <cellStyle name="Neutral 2" xfId="192" xr:uid="{00000000-0005-0000-0000-0000BD000000}"/>
    <cellStyle name="Normal" xfId="0" builtinId="0"/>
    <cellStyle name="Normal - Style1 15" xfId="193" xr:uid="{00000000-0005-0000-0000-0000BF000000}"/>
    <cellStyle name="Normal 10" xfId="194" xr:uid="{00000000-0005-0000-0000-0000C0000000}"/>
    <cellStyle name="Normal 10 2" xfId="195" xr:uid="{00000000-0005-0000-0000-0000C1000000}"/>
    <cellStyle name="Normal 11" xfId="196" xr:uid="{00000000-0005-0000-0000-0000C2000000}"/>
    <cellStyle name="Normal 11 2" xfId="197" xr:uid="{00000000-0005-0000-0000-0000C3000000}"/>
    <cellStyle name="Normal 11 3" xfId="198" xr:uid="{00000000-0005-0000-0000-0000C4000000}"/>
    <cellStyle name="Normal 12" xfId="199" xr:uid="{00000000-0005-0000-0000-0000C5000000}"/>
    <cellStyle name="Normal 12 2" xfId="200" xr:uid="{00000000-0005-0000-0000-0000C6000000}"/>
    <cellStyle name="Normal 13" xfId="201" xr:uid="{00000000-0005-0000-0000-0000C7000000}"/>
    <cellStyle name="Normal 13 2" xfId="202" xr:uid="{00000000-0005-0000-0000-0000C8000000}"/>
    <cellStyle name="Normal 14" xfId="203" xr:uid="{00000000-0005-0000-0000-0000C9000000}"/>
    <cellStyle name="Normal 15" xfId="204" xr:uid="{00000000-0005-0000-0000-0000CA000000}"/>
    <cellStyle name="Normal 16" xfId="205" xr:uid="{00000000-0005-0000-0000-0000CB000000}"/>
    <cellStyle name="Normal 16 2" xfId="206" xr:uid="{00000000-0005-0000-0000-0000CC000000}"/>
    <cellStyle name="Normal 16 3" xfId="207" xr:uid="{00000000-0005-0000-0000-0000CD000000}"/>
    <cellStyle name="Normal 17" xfId="208" xr:uid="{00000000-0005-0000-0000-0000CE000000}"/>
    <cellStyle name="Normal 18" xfId="209" xr:uid="{00000000-0005-0000-0000-0000CF000000}"/>
    <cellStyle name="Normal 19" xfId="210" xr:uid="{00000000-0005-0000-0000-0000D0000000}"/>
    <cellStyle name="Normal 2" xfId="1" xr:uid="{00000000-0005-0000-0000-0000D1000000}"/>
    <cellStyle name="Normal 2 12" xfId="211" xr:uid="{00000000-0005-0000-0000-0000D2000000}"/>
    <cellStyle name="Normal 2 2" xfId="212" xr:uid="{00000000-0005-0000-0000-0000D3000000}"/>
    <cellStyle name="Normal 2 2 2" xfId="213" xr:uid="{00000000-0005-0000-0000-0000D4000000}"/>
    <cellStyle name="Normal 2 2 2 2" xfId="214" xr:uid="{00000000-0005-0000-0000-0000D5000000}"/>
    <cellStyle name="Normal 2 2 2 2 2 2" xfId="215" xr:uid="{00000000-0005-0000-0000-0000D6000000}"/>
    <cellStyle name="Normal 2 2 3" xfId="216" xr:uid="{00000000-0005-0000-0000-0000D7000000}"/>
    <cellStyle name="Normal 2 3" xfId="217" xr:uid="{00000000-0005-0000-0000-0000D8000000}"/>
    <cellStyle name="Normal 2 3 2" xfId="218" xr:uid="{00000000-0005-0000-0000-0000D9000000}"/>
    <cellStyle name="Normal 2 4" xfId="219" xr:uid="{00000000-0005-0000-0000-0000DA000000}"/>
    <cellStyle name="Normal 2 5" xfId="220" xr:uid="{00000000-0005-0000-0000-0000DB000000}"/>
    <cellStyle name="Normal 2 6" xfId="221" xr:uid="{00000000-0005-0000-0000-0000DC000000}"/>
    <cellStyle name="Normal 2 7" xfId="222" xr:uid="{00000000-0005-0000-0000-0000DD000000}"/>
    <cellStyle name="Normal 2_PMP" xfId="223" xr:uid="{00000000-0005-0000-0000-0000DE000000}"/>
    <cellStyle name="Normal 20" xfId="224" xr:uid="{00000000-0005-0000-0000-0000DF000000}"/>
    <cellStyle name="Normal 21" xfId="225" xr:uid="{00000000-0005-0000-0000-0000E0000000}"/>
    <cellStyle name="Normal 21 2" xfId="226" xr:uid="{00000000-0005-0000-0000-0000E1000000}"/>
    <cellStyle name="Normal 22" xfId="227" xr:uid="{00000000-0005-0000-0000-0000E2000000}"/>
    <cellStyle name="Normal 23" xfId="228" xr:uid="{00000000-0005-0000-0000-0000E3000000}"/>
    <cellStyle name="Normal 24" xfId="4" xr:uid="{00000000-0005-0000-0000-0000E4000000}"/>
    <cellStyle name="Normal 3" xfId="229" xr:uid="{00000000-0005-0000-0000-0000E5000000}"/>
    <cellStyle name="Normal 3 2" xfId="230" xr:uid="{00000000-0005-0000-0000-0000E6000000}"/>
    <cellStyle name="Normal 3 2 2" xfId="231" xr:uid="{00000000-0005-0000-0000-0000E7000000}"/>
    <cellStyle name="Normal 3 2 3" xfId="232" xr:uid="{00000000-0005-0000-0000-0000E8000000}"/>
    <cellStyle name="Normal 3 2_Copy of rekap mutasi aset WDP" xfId="233" xr:uid="{00000000-0005-0000-0000-0000E9000000}"/>
    <cellStyle name="Normal 3 3" xfId="234" xr:uid="{00000000-0005-0000-0000-0000EA000000}"/>
    <cellStyle name="Normal 3 3 2" xfId="235" xr:uid="{00000000-0005-0000-0000-0000EB000000}"/>
    <cellStyle name="Normal 3 4" xfId="236" xr:uid="{00000000-0005-0000-0000-0000EC000000}"/>
    <cellStyle name="Normal 3 4 2" xfId="237" xr:uid="{00000000-0005-0000-0000-0000ED000000}"/>
    <cellStyle name="Normal 3 5" xfId="238" xr:uid="{00000000-0005-0000-0000-0000EE000000}"/>
    <cellStyle name="Normal 3_MATRIK_TRANSPOSE" xfId="239" xr:uid="{00000000-0005-0000-0000-0000EF000000}"/>
    <cellStyle name="Normal 4" xfId="240" xr:uid="{00000000-0005-0000-0000-0000F0000000}"/>
    <cellStyle name="Normal 4 2" xfId="241" xr:uid="{00000000-0005-0000-0000-0000F1000000}"/>
    <cellStyle name="Normal 4 2 2" xfId="242" xr:uid="{00000000-0005-0000-0000-0000F2000000}"/>
    <cellStyle name="Normal 4 2 3" xfId="243" xr:uid="{00000000-0005-0000-0000-0000F3000000}"/>
    <cellStyle name="Normal 4 2 4" xfId="244" xr:uid="{00000000-0005-0000-0000-0000F4000000}"/>
    <cellStyle name="Normal 4 3" xfId="245" xr:uid="{00000000-0005-0000-0000-0000F5000000}"/>
    <cellStyle name="Normal 4 3 2" xfId="246" xr:uid="{00000000-0005-0000-0000-0000F6000000}"/>
    <cellStyle name="Normal 4 3 3" xfId="247" xr:uid="{00000000-0005-0000-0000-0000F7000000}"/>
    <cellStyle name="Normal 4 4" xfId="248" xr:uid="{00000000-0005-0000-0000-0000F8000000}"/>
    <cellStyle name="Normal 4 5" xfId="249" xr:uid="{00000000-0005-0000-0000-0000F9000000}"/>
    <cellStyle name="Normal 40" xfId="250" xr:uid="{00000000-0005-0000-0000-0000FA000000}"/>
    <cellStyle name="Normal 45" xfId="251" xr:uid="{00000000-0005-0000-0000-0000FB000000}"/>
    <cellStyle name="Normal 47" xfId="252" xr:uid="{00000000-0005-0000-0000-0000FC000000}"/>
    <cellStyle name="Normal 5" xfId="253" xr:uid="{00000000-0005-0000-0000-0000FD000000}"/>
    <cellStyle name="Normal 5 2" xfId="254" xr:uid="{00000000-0005-0000-0000-0000FE000000}"/>
    <cellStyle name="Normal 56" xfId="255" xr:uid="{00000000-0005-0000-0000-0000FF000000}"/>
    <cellStyle name="Normal 59" xfId="256" xr:uid="{00000000-0005-0000-0000-000000010000}"/>
    <cellStyle name="Normal 6" xfId="257" xr:uid="{00000000-0005-0000-0000-000001010000}"/>
    <cellStyle name="Normal 6 2" xfId="258" xr:uid="{00000000-0005-0000-0000-000002010000}"/>
    <cellStyle name="Normal 61" xfId="259" xr:uid="{00000000-0005-0000-0000-000003010000}"/>
    <cellStyle name="Normal 7" xfId="260" xr:uid="{00000000-0005-0000-0000-000004010000}"/>
    <cellStyle name="Normal 7 2" xfId="261" xr:uid="{00000000-0005-0000-0000-000005010000}"/>
    <cellStyle name="Normal 8" xfId="262" xr:uid="{00000000-0005-0000-0000-000006010000}"/>
    <cellStyle name="Normal 8 2" xfId="263" xr:uid="{00000000-0005-0000-0000-000007010000}"/>
    <cellStyle name="Normal 8 3" xfId="264" xr:uid="{00000000-0005-0000-0000-000008010000}"/>
    <cellStyle name="Normal 8 4" xfId="265" xr:uid="{00000000-0005-0000-0000-000009010000}"/>
    <cellStyle name="Normal 8 6" xfId="266" xr:uid="{00000000-0005-0000-0000-00000A010000}"/>
    <cellStyle name="Normal 9" xfId="267" xr:uid="{00000000-0005-0000-0000-00000B010000}"/>
    <cellStyle name="Normal 9 2" xfId="268" xr:uid="{00000000-0005-0000-0000-00000C010000}"/>
    <cellStyle name="Normal 9 2 2" xfId="269" xr:uid="{00000000-0005-0000-0000-00000D010000}"/>
    <cellStyle name="Normal 9 2 3" xfId="270" xr:uid="{00000000-0005-0000-0000-00000E010000}"/>
    <cellStyle name="Normal 9 3" xfId="271" xr:uid="{00000000-0005-0000-0000-00000F010000}"/>
    <cellStyle name="Normal 9 4" xfId="272" xr:uid="{00000000-0005-0000-0000-000010010000}"/>
    <cellStyle name="Note 2" xfId="273" xr:uid="{00000000-0005-0000-0000-000011010000}"/>
    <cellStyle name="Output 2" xfId="274" xr:uid="{00000000-0005-0000-0000-000012010000}"/>
    <cellStyle name="Percent 2" xfId="275" xr:uid="{00000000-0005-0000-0000-000013010000}"/>
    <cellStyle name="Percent 2 2" xfId="276" xr:uid="{00000000-0005-0000-0000-000014010000}"/>
    <cellStyle name="Percent 3" xfId="277" xr:uid="{00000000-0005-0000-0000-000015010000}"/>
    <cellStyle name="Title 2" xfId="278" xr:uid="{00000000-0005-0000-0000-000016010000}"/>
    <cellStyle name="Total 2" xfId="279" xr:uid="{00000000-0005-0000-0000-000017010000}"/>
    <cellStyle name="Warning Text 2" xfId="280" xr:uid="{00000000-0005-0000-0000-00001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BC\K%20%20%20%20A%20%20%20%20R%20%20%20%20%20C%20%20%20%20I%20%20%20%20%20S\OPNAME%202026\INPUT%202026.xls" TargetMode="External"/><Relationship Id="rId1" Type="http://schemas.openxmlformats.org/officeDocument/2006/relationships/externalLinkPath" Target="INPUT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 26"/>
      <sheetName val="FEBRUARI 26"/>
      <sheetName val="MARET 26"/>
      <sheetName val="APRIL 26"/>
      <sheetName val="MEI 26"/>
      <sheetName val="JUNI 26"/>
      <sheetName val="JULI 26"/>
      <sheetName val="AGUSTUS 26"/>
      <sheetName val="SEPTEMBER 26"/>
      <sheetName val="OKTOBER 26"/>
      <sheetName val="NOVEMBER 26"/>
      <sheetName val="DESEMBER 26"/>
      <sheetName val="Sheet1"/>
    </sheetNames>
    <sheetDataSet>
      <sheetData sheetId="0">
        <row r="3">
          <cell r="AN3">
            <v>1275988000</v>
          </cell>
        </row>
        <row r="4">
          <cell r="AN4">
            <v>331110000</v>
          </cell>
        </row>
        <row r="5">
          <cell r="AN5">
            <v>486000</v>
          </cell>
        </row>
        <row r="6">
          <cell r="AN6">
            <v>6815250</v>
          </cell>
        </row>
        <row r="7">
          <cell r="AN7">
            <v>0</v>
          </cell>
        </row>
        <row r="8">
          <cell r="AN8">
            <v>0</v>
          </cell>
        </row>
        <row r="9">
          <cell r="AN9">
            <v>0</v>
          </cell>
        </row>
        <row r="10">
          <cell r="AN10">
            <v>56197500</v>
          </cell>
        </row>
        <row r="11">
          <cell r="AN11">
            <v>74058000</v>
          </cell>
        </row>
        <row r="12">
          <cell r="AN12">
            <v>19692000</v>
          </cell>
        </row>
        <row r="13">
          <cell r="AN13">
            <v>0</v>
          </cell>
        </row>
        <row r="14">
          <cell r="AN14">
            <v>1233000</v>
          </cell>
        </row>
        <row r="15">
          <cell r="AN15">
            <v>235147500</v>
          </cell>
        </row>
        <row r="16">
          <cell r="AN16">
            <v>98445000</v>
          </cell>
        </row>
        <row r="17">
          <cell r="AN17">
            <v>0</v>
          </cell>
        </row>
        <row r="18">
          <cell r="AN18">
            <v>0</v>
          </cell>
        </row>
        <row r="19">
          <cell r="AN19">
            <v>0</v>
          </cell>
        </row>
        <row r="20">
          <cell r="AN20">
            <v>34450000</v>
          </cell>
        </row>
        <row r="21">
          <cell r="AN21">
            <v>40680000</v>
          </cell>
        </row>
        <row r="22">
          <cell r="AN22">
            <v>131000000</v>
          </cell>
        </row>
        <row r="23">
          <cell r="AN23">
            <v>6615000</v>
          </cell>
        </row>
        <row r="24">
          <cell r="AN24">
            <v>2825000</v>
          </cell>
        </row>
        <row r="25">
          <cell r="AN25">
            <v>163080000</v>
          </cell>
        </row>
        <row r="26">
          <cell r="AN26">
            <v>132207000</v>
          </cell>
        </row>
        <row r="27">
          <cell r="AN27">
            <v>1887000</v>
          </cell>
        </row>
        <row r="28">
          <cell r="AN28">
            <v>0</v>
          </cell>
        </row>
        <row r="29">
          <cell r="AN29">
            <v>0</v>
          </cell>
        </row>
        <row r="30">
          <cell r="AN30">
            <v>0</v>
          </cell>
        </row>
        <row r="31">
          <cell r="AN31">
            <v>0</v>
          </cell>
        </row>
        <row r="32">
          <cell r="AN32">
            <v>0</v>
          </cell>
        </row>
        <row r="33">
          <cell r="AN33">
            <v>0</v>
          </cell>
        </row>
        <row r="34">
          <cell r="AN34">
            <v>0</v>
          </cell>
        </row>
        <row r="35">
          <cell r="AN35">
            <v>6500000</v>
          </cell>
        </row>
        <row r="36">
          <cell r="AN36">
            <v>200000</v>
          </cell>
        </row>
        <row r="37">
          <cell r="AN37">
            <v>3100000</v>
          </cell>
        </row>
        <row r="38">
          <cell r="AN38">
            <v>24250000</v>
          </cell>
        </row>
        <row r="39">
          <cell r="AN39">
            <v>0</v>
          </cell>
        </row>
        <row r="40">
          <cell r="AN40">
            <v>1500000</v>
          </cell>
        </row>
        <row r="41">
          <cell r="AN41">
            <v>1000000</v>
          </cell>
        </row>
        <row r="42">
          <cell r="AN42">
            <v>900000</v>
          </cell>
        </row>
        <row r="43">
          <cell r="AN43">
            <v>13950000</v>
          </cell>
        </row>
        <row r="44">
          <cell r="AN44">
            <v>6180000</v>
          </cell>
        </row>
        <row r="45">
          <cell r="AN45">
            <v>0</v>
          </cell>
        </row>
        <row r="46">
          <cell r="AN46">
            <v>375000</v>
          </cell>
        </row>
        <row r="47">
          <cell r="AN47">
            <v>0</v>
          </cell>
        </row>
        <row r="49">
          <cell r="AN49">
            <v>19465240</v>
          </cell>
        </row>
        <row r="50">
          <cell r="AN50">
            <v>55750000</v>
          </cell>
        </row>
        <row r="51">
          <cell r="AN51">
            <v>600000</v>
          </cell>
        </row>
        <row r="52">
          <cell r="AN52">
            <v>2598000</v>
          </cell>
        </row>
        <row r="53">
          <cell r="AN53">
            <v>0</v>
          </cell>
        </row>
        <row r="54">
          <cell r="AN54">
            <v>3038392</v>
          </cell>
        </row>
        <row r="56">
          <cell r="AN56">
            <v>26800000</v>
          </cell>
        </row>
      </sheetData>
      <sheetData sheetId="1">
        <row r="3">
          <cell r="AN3">
            <v>434096000</v>
          </cell>
        </row>
        <row r="4">
          <cell r="AN4">
            <v>85413000</v>
          </cell>
        </row>
        <row r="5">
          <cell r="AN5">
            <v>2898000</v>
          </cell>
        </row>
        <row r="6">
          <cell r="AN6">
            <v>2601000</v>
          </cell>
        </row>
        <row r="7">
          <cell r="AN7">
            <v>0</v>
          </cell>
        </row>
        <row r="8">
          <cell r="AN8">
            <v>0</v>
          </cell>
        </row>
        <row r="9">
          <cell r="AN9">
            <v>0</v>
          </cell>
        </row>
        <row r="10">
          <cell r="AN10">
            <v>22917500</v>
          </cell>
        </row>
        <row r="11">
          <cell r="AN11">
            <v>21576000</v>
          </cell>
        </row>
        <row r="12">
          <cell r="AN12">
            <v>6840000</v>
          </cell>
        </row>
        <row r="13">
          <cell r="AN13">
            <v>558000</v>
          </cell>
        </row>
        <row r="14">
          <cell r="AN14">
            <v>198000</v>
          </cell>
        </row>
        <row r="15">
          <cell r="AN15">
            <v>88342500</v>
          </cell>
        </row>
        <row r="16">
          <cell r="AN16">
            <v>36420000</v>
          </cell>
        </row>
        <row r="17">
          <cell r="AN17">
            <v>0</v>
          </cell>
        </row>
        <row r="18">
          <cell r="AN18">
            <v>0</v>
          </cell>
        </row>
        <row r="20">
          <cell r="AN20">
            <v>15380000</v>
          </cell>
        </row>
        <row r="21">
          <cell r="AN21">
            <v>20265000</v>
          </cell>
        </row>
        <row r="22">
          <cell r="AN22">
            <v>106000000</v>
          </cell>
        </row>
        <row r="23">
          <cell r="AN23">
            <v>4050000</v>
          </cell>
        </row>
        <row r="24">
          <cell r="AN24">
            <v>1437500</v>
          </cell>
        </row>
        <row r="25">
          <cell r="AN25">
            <v>63582000</v>
          </cell>
        </row>
        <row r="26">
          <cell r="AN26">
            <v>51009000</v>
          </cell>
        </row>
        <row r="27">
          <cell r="AN27">
            <v>999000</v>
          </cell>
        </row>
        <row r="28">
          <cell r="AN28">
            <v>0</v>
          </cell>
        </row>
        <row r="29">
          <cell r="AN29">
            <v>0</v>
          </cell>
        </row>
        <row r="30">
          <cell r="AN30">
            <v>0</v>
          </cell>
        </row>
        <row r="31">
          <cell r="AN31">
            <v>0</v>
          </cell>
        </row>
        <row r="32">
          <cell r="AN32">
            <v>0</v>
          </cell>
        </row>
        <row r="33">
          <cell r="AN33">
            <v>0</v>
          </cell>
        </row>
        <row r="34">
          <cell r="AN34">
            <v>0</v>
          </cell>
        </row>
        <row r="35">
          <cell r="AN35">
            <v>1100000</v>
          </cell>
        </row>
        <row r="36">
          <cell r="AN36">
            <v>0</v>
          </cell>
        </row>
        <row r="37">
          <cell r="AN37">
            <v>4500000</v>
          </cell>
        </row>
        <row r="38">
          <cell r="AN38">
            <v>7500000</v>
          </cell>
        </row>
        <row r="39">
          <cell r="AN39">
            <v>0</v>
          </cell>
        </row>
        <row r="40">
          <cell r="AN40">
            <v>1500000</v>
          </cell>
        </row>
        <row r="41">
          <cell r="AN41">
            <v>2000000</v>
          </cell>
        </row>
        <row r="42">
          <cell r="AN42">
            <v>200000</v>
          </cell>
        </row>
        <row r="43">
          <cell r="AN43">
            <v>8895000</v>
          </cell>
        </row>
        <row r="44">
          <cell r="AN44">
            <v>1840000</v>
          </cell>
        </row>
        <row r="45">
          <cell r="AN45">
            <v>0</v>
          </cell>
        </row>
        <row r="46">
          <cell r="AN46">
            <v>600000</v>
          </cell>
        </row>
        <row r="47">
          <cell r="AN47">
            <v>0</v>
          </cell>
        </row>
        <row r="49">
          <cell r="AN49">
            <v>17877495</v>
          </cell>
        </row>
        <row r="50">
          <cell r="AN50">
            <v>25750000</v>
          </cell>
        </row>
        <row r="51">
          <cell r="AN51">
            <v>700000</v>
          </cell>
        </row>
        <row r="52">
          <cell r="AN52">
            <v>1892000</v>
          </cell>
        </row>
        <row r="53">
          <cell r="AN53">
            <v>0</v>
          </cell>
        </row>
        <row r="54">
          <cell r="AN54">
            <v>3179750</v>
          </cell>
        </row>
      </sheetData>
      <sheetData sheetId="2">
        <row r="3">
          <cell r="AR3">
            <v>1326024000</v>
          </cell>
        </row>
        <row r="4">
          <cell r="AR4">
            <v>375870000</v>
          </cell>
        </row>
        <row r="5">
          <cell r="AR5">
            <v>0</v>
          </cell>
        </row>
        <row r="6">
          <cell r="AR6">
            <v>168750</v>
          </cell>
        </row>
        <row r="7">
          <cell r="AR7">
            <v>0</v>
          </cell>
        </row>
        <row r="8">
          <cell r="AR8">
            <v>0</v>
          </cell>
        </row>
        <row r="9">
          <cell r="AR9">
            <v>0</v>
          </cell>
        </row>
        <row r="10">
          <cell r="AR10">
            <v>55480000</v>
          </cell>
        </row>
        <row r="11">
          <cell r="AR11">
            <v>67188000</v>
          </cell>
        </row>
        <row r="12">
          <cell r="AR12">
            <v>22164000</v>
          </cell>
        </row>
        <row r="13">
          <cell r="AR13">
            <v>0</v>
          </cell>
        </row>
        <row r="14">
          <cell r="AR14">
            <v>0</v>
          </cell>
        </row>
        <row r="15">
          <cell r="AR15">
            <v>250980000</v>
          </cell>
        </row>
        <row r="16">
          <cell r="AR16">
            <v>90412500</v>
          </cell>
        </row>
        <row r="17">
          <cell r="AR17">
            <v>0</v>
          </cell>
        </row>
        <row r="18">
          <cell r="AR18">
            <v>0</v>
          </cell>
        </row>
        <row r="19">
          <cell r="AR19">
            <v>0</v>
          </cell>
        </row>
        <row r="20">
          <cell r="AR20">
            <v>44160000</v>
          </cell>
        </row>
        <row r="21">
          <cell r="AR21">
            <v>36435000</v>
          </cell>
        </row>
        <row r="22">
          <cell r="AR22">
            <v>514000000</v>
          </cell>
        </row>
        <row r="23">
          <cell r="AR23">
            <v>4365000</v>
          </cell>
        </row>
        <row r="24">
          <cell r="AR24">
            <v>2150000</v>
          </cell>
        </row>
        <row r="25">
          <cell r="AR25">
            <v>143538000</v>
          </cell>
        </row>
        <row r="26">
          <cell r="AR26">
            <v>157923000</v>
          </cell>
        </row>
        <row r="27">
          <cell r="AR27">
            <v>790000</v>
          </cell>
        </row>
        <row r="28">
          <cell r="AR28">
            <v>0</v>
          </cell>
        </row>
        <row r="29">
          <cell r="AR29">
            <v>0</v>
          </cell>
        </row>
        <row r="30">
          <cell r="AR30">
            <v>0</v>
          </cell>
        </row>
        <row r="31">
          <cell r="AR31">
            <v>0</v>
          </cell>
        </row>
        <row r="32">
          <cell r="AR32">
            <v>0</v>
          </cell>
        </row>
        <row r="33">
          <cell r="AR33">
            <v>0</v>
          </cell>
        </row>
        <row r="34">
          <cell r="AR34">
            <v>0</v>
          </cell>
        </row>
        <row r="35">
          <cell r="AR35">
            <v>2900000</v>
          </cell>
        </row>
        <row r="36">
          <cell r="AR36">
            <v>8700000</v>
          </cell>
        </row>
        <row r="37">
          <cell r="AR37">
            <v>31000000</v>
          </cell>
        </row>
        <row r="38">
          <cell r="AR38">
            <v>7250000</v>
          </cell>
        </row>
        <row r="39">
          <cell r="AR39">
            <v>0</v>
          </cell>
        </row>
        <row r="40">
          <cell r="AR40">
            <v>0</v>
          </cell>
        </row>
        <row r="41">
          <cell r="AR41">
            <v>0</v>
          </cell>
        </row>
        <row r="42">
          <cell r="AR42">
            <v>200000</v>
          </cell>
        </row>
        <row r="43">
          <cell r="AR43">
            <v>3915000</v>
          </cell>
        </row>
        <row r="44">
          <cell r="AR44">
            <v>15925000</v>
          </cell>
        </row>
        <row r="45">
          <cell r="AR45">
            <v>0</v>
          </cell>
        </row>
        <row r="46">
          <cell r="AR46">
            <v>0</v>
          </cell>
        </row>
        <row r="47">
          <cell r="AR47">
            <v>0</v>
          </cell>
        </row>
        <row r="49">
          <cell r="AR49">
            <v>19746495</v>
          </cell>
        </row>
        <row r="50">
          <cell r="AR50">
            <v>39750000</v>
          </cell>
        </row>
        <row r="51">
          <cell r="AR51">
            <v>200000</v>
          </cell>
        </row>
        <row r="52">
          <cell r="AR52">
            <v>0</v>
          </cell>
        </row>
        <row r="53">
          <cell r="AR53">
            <v>0</v>
          </cell>
        </row>
        <row r="54">
          <cell r="AR54">
            <v>1757485</v>
          </cell>
        </row>
        <row r="55">
          <cell r="AR55">
            <v>5607</v>
          </cell>
        </row>
        <row r="56">
          <cell r="AR56">
            <v>462000</v>
          </cell>
        </row>
      </sheetData>
      <sheetData sheetId="3">
        <row r="3">
          <cell r="AL3">
            <v>1203808000</v>
          </cell>
        </row>
        <row r="4">
          <cell r="AL4">
            <v>285477000</v>
          </cell>
        </row>
        <row r="5">
          <cell r="AL5">
            <v>1083000</v>
          </cell>
        </row>
        <row r="6">
          <cell r="AL6">
            <v>6923250</v>
          </cell>
        </row>
        <row r="7">
          <cell r="AL7">
            <v>0</v>
          </cell>
        </row>
        <row r="8">
          <cell r="AL8">
            <v>0</v>
          </cell>
        </row>
        <row r="9">
          <cell r="AL9">
            <v>0</v>
          </cell>
        </row>
        <row r="10">
          <cell r="AL10">
            <v>59640000</v>
          </cell>
        </row>
        <row r="11">
          <cell r="AL11">
            <v>61680000</v>
          </cell>
        </row>
        <row r="12">
          <cell r="AL12">
            <v>9768000</v>
          </cell>
        </row>
        <row r="13">
          <cell r="AL13">
            <v>0</v>
          </cell>
        </row>
        <row r="14">
          <cell r="AL14">
            <v>3330000</v>
          </cell>
        </row>
        <row r="15">
          <cell r="AL15">
            <v>278152500</v>
          </cell>
        </row>
        <row r="16">
          <cell r="AL16">
            <v>61027500</v>
          </cell>
        </row>
        <row r="17">
          <cell r="AL17">
            <v>0</v>
          </cell>
        </row>
        <row r="18">
          <cell r="AL18">
            <v>0</v>
          </cell>
        </row>
        <row r="19">
          <cell r="AL19">
            <v>0</v>
          </cell>
        </row>
        <row r="20">
          <cell r="AL20">
            <v>35520000</v>
          </cell>
        </row>
        <row r="21">
          <cell r="AL21">
            <v>35355000</v>
          </cell>
        </row>
        <row r="22">
          <cell r="AL22">
            <v>172000000</v>
          </cell>
        </row>
        <row r="23">
          <cell r="AL23">
            <v>7605000</v>
          </cell>
        </row>
        <row r="24">
          <cell r="AL24">
            <v>2387500</v>
          </cell>
        </row>
        <row r="25">
          <cell r="AL25">
            <v>165996000</v>
          </cell>
        </row>
        <row r="26">
          <cell r="AL26">
            <v>154029000</v>
          </cell>
        </row>
        <row r="27">
          <cell r="AL27">
            <v>2480000</v>
          </cell>
        </row>
        <row r="28">
          <cell r="AL28">
            <v>0</v>
          </cell>
        </row>
        <row r="29">
          <cell r="AL29">
            <v>0</v>
          </cell>
        </row>
        <row r="30">
          <cell r="AL30">
            <v>0</v>
          </cell>
        </row>
        <row r="31">
          <cell r="AL31">
            <v>0</v>
          </cell>
        </row>
        <row r="32">
          <cell r="AL32">
            <v>0</v>
          </cell>
        </row>
        <row r="33">
          <cell r="AL33">
            <v>0</v>
          </cell>
        </row>
        <row r="34">
          <cell r="AL34">
            <v>250000</v>
          </cell>
        </row>
        <row r="35">
          <cell r="AL35">
            <v>13850000</v>
          </cell>
        </row>
        <row r="36">
          <cell r="AL36">
            <v>0</v>
          </cell>
        </row>
        <row r="37">
          <cell r="AL37">
            <v>2100000</v>
          </cell>
        </row>
        <row r="38">
          <cell r="AL38">
            <v>26750000</v>
          </cell>
        </row>
        <row r="39">
          <cell r="AL39">
            <v>0</v>
          </cell>
        </row>
        <row r="40">
          <cell r="AL40">
            <v>6000000</v>
          </cell>
        </row>
        <row r="41">
          <cell r="AL41">
            <v>6000000</v>
          </cell>
        </row>
        <row r="42">
          <cell r="AL42">
            <v>900000</v>
          </cell>
        </row>
        <row r="43">
          <cell r="AL43">
            <v>9840000</v>
          </cell>
        </row>
        <row r="44">
          <cell r="AL44">
            <v>7800000</v>
          </cell>
        </row>
        <row r="45">
          <cell r="AL45">
            <v>0</v>
          </cell>
        </row>
        <row r="46">
          <cell r="AL46">
            <v>825000</v>
          </cell>
        </row>
        <row r="47">
          <cell r="AL47">
            <v>0</v>
          </cell>
        </row>
        <row r="49">
          <cell r="AL49">
            <v>15795935</v>
          </cell>
        </row>
        <row r="50">
          <cell r="AL50">
            <v>49250000</v>
          </cell>
        </row>
        <row r="51">
          <cell r="AL51">
            <v>2400000</v>
          </cell>
        </row>
        <row r="52">
          <cell r="AL52">
            <v>2134500</v>
          </cell>
        </row>
        <row r="53">
          <cell r="AL53">
            <v>1500000</v>
          </cell>
        </row>
        <row r="54">
          <cell r="AL54">
            <v>8786013</v>
          </cell>
        </row>
        <row r="56">
          <cell r="AL56">
            <v>4363900000</v>
          </cell>
        </row>
        <row r="57">
          <cell r="AL57">
            <v>1000</v>
          </cell>
        </row>
      </sheetData>
      <sheetData sheetId="4">
        <row r="3">
          <cell r="AP3">
            <v>1489940000</v>
          </cell>
        </row>
        <row r="4">
          <cell r="AP4">
            <v>343857000</v>
          </cell>
        </row>
        <row r="5">
          <cell r="AP5">
            <v>1230000</v>
          </cell>
        </row>
        <row r="6">
          <cell r="AP6">
            <v>4979250</v>
          </cell>
        </row>
        <row r="7">
          <cell r="AP7">
            <v>0</v>
          </cell>
        </row>
        <row r="8">
          <cell r="AP8">
            <v>0</v>
          </cell>
        </row>
        <row r="9">
          <cell r="AP9">
            <v>0</v>
          </cell>
        </row>
        <row r="10">
          <cell r="AP10">
            <v>77042500</v>
          </cell>
        </row>
        <row r="11">
          <cell r="AP11">
            <v>35412000</v>
          </cell>
        </row>
        <row r="12">
          <cell r="AP12">
            <v>9450000</v>
          </cell>
        </row>
        <row r="13">
          <cell r="AP13">
            <v>315000</v>
          </cell>
        </row>
        <row r="14">
          <cell r="AP14">
            <v>1476000</v>
          </cell>
        </row>
        <row r="15">
          <cell r="AP15">
            <v>373207500</v>
          </cell>
        </row>
        <row r="16">
          <cell r="AP16">
            <v>104662500</v>
          </cell>
        </row>
        <row r="17">
          <cell r="AP17">
            <v>618750</v>
          </cell>
        </row>
        <row r="18">
          <cell r="AP18">
            <v>1001250</v>
          </cell>
        </row>
        <row r="19">
          <cell r="AP19">
            <v>0</v>
          </cell>
        </row>
        <row r="20">
          <cell r="AP20">
            <v>30610000</v>
          </cell>
        </row>
        <row r="21">
          <cell r="AP21">
            <v>48885000</v>
          </cell>
        </row>
        <row r="22">
          <cell r="AP22">
            <v>360000000</v>
          </cell>
        </row>
        <row r="23">
          <cell r="AP23">
            <v>8445000</v>
          </cell>
        </row>
        <row r="24">
          <cell r="AP24">
            <v>3137500</v>
          </cell>
        </row>
        <row r="25">
          <cell r="AP25">
            <v>226320000</v>
          </cell>
        </row>
        <row r="26">
          <cell r="AP26">
            <v>183645000</v>
          </cell>
        </row>
        <row r="27">
          <cell r="AP27">
            <v>4366000</v>
          </cell>
        </row>
        <row r="28">
          <cell r="AP28">
            <v>0</v>
          </cell>
        </row>
        <row r="29">
          <cell r="AP29">
            <v>0</v>
          </cell>
        </row>
        <row r="30">
          <cell r="AP30">
            <v>0</v>
          </cell>
        </row>
        <row r="31">
          <cell r="AP31">
            <v>0</v>
          </cell>
        </row>
        <row r="32">
          <cell r="AP32">
            <v>0</v>
          </cell>
        </row>
        <row r="33">
          <cell r="AP33">
            <v>0</v>
          </cell>
        </row>
        <row r="34">
          <cell r="AP34">
            <v>0</v>
          </cell>
        </row>
        <row r="35">
          <cell r="AP35">
            <v>9090000</v>
          </cell>
        </row>
        <row r="36">
          <cell r="AP36">
            <v>15500000</v>
          </cell>
        </row>
        <row r="37">
          <cell r="AP37">
            <v>20800000</v>
          </cell>
        </row>
        <row r="38">
          <cell r="AP38">
            <v>27250000</v>
          </cell>
        </row>
        <row r="39">
          <cell r="AP39">
            <v>0</v>
          </cell>
        </row>
        <row r="40">
          <cell r="AP40">
            <v>3000000</v>
          </cell>
        </row>
        <row r="41">
          <cell r="AP41">
            <v>4000000</v>
          </cell>
        </row>
        <row r="42">
          <cell r="AP42">
            <v>1300000</v>
          </cell>
        </row>
        <row r="43">
          <cell r="AP43">
            <v>14205000</v>
          </cell>
        </row>
        <row r="44">
          <cell r="AP44">
            <v>7055000</v>
          </cell>
        </row>
        <row r="45">
          <cell r="AP45">
            <v>0</v>
          </cell>
        </row>
        <row r="46">
          <cell r="AP46">
            <v>225000</v>
          </cell>
        </row>
        <row r="47">
          <cell r="AP47">
            <v>0</v>
          </cell>
        </row>
        <row r="49">
          <cell r="AP49">
            <v>21347275</v>
          </cell>
        </row>
        <row r="50">
          <cell r="AP50">
            <v>57000000</v>
          </cell>
        </row>
        <row r="51">
          <cell r="AP51">
            <v>1450000</v>
          </cell>
        </row>
        <row r="52">
          <cell r="AP52">
            <v>1950000</v>
          </cell>
        </row>
        <row r="53">
          <cell r="AP53">
            <v>3000000</v>
          </cell>
        </row>
        <row r="54">
          <cell r="AP54">
            <v>16157772</v>
          </cell>
        </row>
        <row r="55">
          <cell r="AP55">
            <v>0</v>
          </cell>
        </row>
      </sheetData>
      <sheetData sheetId="5">
        <row r="3">
          <cell r="AJ3">
            <v>1166488000</v>
          </cell>
        </row>
        <row r="4">
          <cell r="AJ4">
            <v>294618000</v>
          </cell>
        </row>
        <row r="5">
          <cell r="AJ5">
            <v>2439000</v>
          </cell>
        </row>
        <row r="6">
          <cell r="AJ6">
            <v>4036500</v>
          </cell>
        </row>
        <row r="7">
          <cell r="AJ7">
            <v>0</v>
          </cell>
        </row>
        <row r="8">
          <cell r="AJ8">
            <v>0</v>
          </cell>
        </row>
        <row r="9">
          <cell r="AJ9">
            <v>0</v>
          </cell>
        </row>
        <row r="10">
          <cell r="AJ10">
            <v>88975000</v>
          </cell>
        </row>
        <row r="11">
          <cell r="AJ11">
            <v>125442000</v>
          </cell>
        </row>
        <row r="12">
          <cell r="AJ12">
            <v>32058000</v>
          </cell>
        </row>
        <row r="13">
          <cell r="AJ13">
            <v>0</v>
          </cell>
        </row>
        <row r="14">
          <cell r="AJ14">
            <v>2115000</v>
          </cell>
        </row>
        <row r="15">
          <cell r="AJ15">
            <v>321525000</v>
          </cell>
        </row>
        <row r="16">
          <cell r="AJ16">
            <v>91057500</v>
          </cell>
        </row>
        <row r="17">
          <cell r="AJ17">
            <v>0</v>
          </cell>
        </row>
        <row r="18">
          <cell r="AJ18">
            <v>1400625</v>
          </cell>
        </row>
        <row r="19">
          <cell r="AJ19">
            <v>0</v>
          </cell>
        </row>
        <row r="20">
          <cell r="AJ20">
            <v>32630000</v>
          </cell>
        </row>
        <row r="21">
          <cell r="AJ21">
            <v>38685000</v>
          </cell>
        </row>
        <row r="22">
          <cell r="AJ22">
            <v>236000000</v>
          </cell>
        </row>
        <row r="23">
          <cell r="AJ23">
            <v>13875000</v>
          </cell>
        </row>
        <row r="24">
          <cell r="AJ24">
            <v>3425000</v>
          </cell>
        </row>
        <row r="25">
          <cell r="AJ25">
            <v>206886000</v>
          </cell>
        </row>
        <row r="26">
          <cell r="AJ26">
            <v>183870000</v>
          </cell>
        </row>
        <row r="27">
          <cell r="AJ27">
            <v>3924000</v>
          </cell>
        </row>
        <row r="28">
          <cell r="AJ28">
            <v>0</v>
          </cell>
        </row>
        <row r="29">
          <cell r="AJ29">
            <v>0</v>
          </cell>
        </row>
        <row r="30">
          <cell r="AJ30">
            <v>0</v>
          </cell>
        </row>
        <row r="31">
          <cell r="AJ31">
            <v>0</v>
          </cell>
        </row>
        <row r="32">
          <cell r="AJ32">
            <v>1500000</v>
          </cell>
        </row>
        <row r="33">
          <cell r="AJ33">
            <v>0</v>
          </cell>
        </row>
        <row r="34">
          <cell r="AJ34">
            <v>0</v>
          </cell>
        </row>
        <row r="35">
          <cell r="AJ35">
            <v>19460000</v>
          </cell>
        </row>
        <row r="36">
          <cell r="AJ36">
            <v>2700000</v>
          </cell>
        </row>
        <row r="37">
          <cell r="AJ37">
            <v>3400000</v>
          </cell>
        </row>
        <row r="38">
          <cell r="AJ38">
            <v>24250000</v>
          </cell>
        </row>
        <row r="39">
          <cell r="AJ39">
            <v>0</v>
          </cell>
        </row>
        <row r="40">
          <cell r="AJ40">
            <v>4500000</v>
          </cell>
        </row>
        <row r="41">
          <cell r="AJ41">
            <v>6000000</v>
          </cell>
        </row>
        <row r="42">
          <cell r="AJ42">
            <v>1400000</v>
          </cell>
        </row>
        <row r="43">
          <cell r="AJ43">
            <v>13095000</v>
          </cell>
        </row>
        <row r="44">
          <cell r="AJ44">
            <v>6645000</v>
          </cell>
        </row>
        <row r="45">
          <cell r="AJ45">
            <v>0</v>
          </cell>
        </row>
        <row r="46">
          <cell r="AJ46">
            <v>450000</v>
          </cell>
        </row>
        <row r="47">
          <cell r="AJ47">
            <v>0</v>
          </cell>
        </row>
        <row r="49">
          <cell r="AJ49">
            <v>19537850</v>
          </cell>
        </row>
        <row r="50">
          <cell r="AJ50">
            <v>45000000</v>
          </cell>
        </row>
        <row r="51">
          <cell r="AJ51">
            <v>2506500</v>
          </cell>
        </row>
        <row r="52">
          <cell r="AJ52">
            <v>2482000</v>
          </cell>
        </row>
        <row r="53">
          <cell r="AJ53">
            <v>1500000</v>
          </cell>
        </row>
        <row r="54">
          <cell r="AJ54">
            <v>19313094</v>
          </cell>
        </row>
        <row r="56">
          <cell r="AJ56">
            <v>1244500000</v>
          </cell>
        </row>
      </sheetData>
      <sheetData sheetId="6">
        <row r="3">
          <cell r="AM3">
            <v>1655792000</v>
          </cell>
        </row>
        <row r="4">
          <cell r="AM4">
            <v>439446000</v>
          </cell>
        </row>
        <row r="5">
          <cell r="AM5">
            <v>255000</v>
          </cell>
        </row>
        <row r="6">
          <cell r="AM6">
            <v>301500</v>
          </cell>
        </row>
        <row r="7">
          <cell r="AM7">
            <v>0</v>
          </cell>
        </row>
        <row r="8">
          <cell r="AM8">
            <v>0</v>
          </cell>
        </row>
        <row r="9">
          <cell r="AM9">
            <v>0</v>
          </cell>
        </row>
        <row r="10">
          <cell r="AM10">
            <v>80670000</v>
          </cell>
        </row>
        <row r="11">
          <cell r="AM11">
            <v>185856000</v>
          </cell>
        </row>
        <row r="12">
          <cell r="AM12">
            <v>33096000</v>
          </cell>
        </row>
        <row r="13">
          <cell r="AM13">
            <v>0</v>
          </cell>
        </row>
        <row r="14">
          <cell r="AM14">
            <v>0</v>
          </cell>
        </row>
        <row r="15">
          <cell r="AM15">
            <v>278842500</v>
          </cell>
        </row>
        <row r="16">
          <cell r="AM16">
            <v>91440000</v>
          </cell>
        </row>
        <row r="17">
          <cell r="AM17">
            <v>0</v>
          </cell>
        </row>
        <row r="18">
          <cell r="AM18">
            <v>348750</v>
          </cell>
        </row>
        <row r="19">
          <cell r="AM19">
            <v>0</v>
          </cell>
        </row>
        <row r="20">
          <cell r="AM20">
            <v>65710000</v>
          </cell>
        </row>
        <row r="21">
          <cell r="AM21">
            <v>26595000</v>
          </cell>
        </row>
        <row r="22">
          <cell r="AM22">
            <v>266000000</v>
          </cell>
        </row>
        <row r="23">
          <cell r="AM23">
            <v>7500000</v>
          </cell>
        </row>
        <row r="24">
          <cell r="AM24">
            <v>3237500</v>
          </cell>
        </row>
        <row r="25">
          <cell r="AM25">
            <v>218508000</v>
          </cell>
        </row>
        <row r="26">
          <cell r="AM26">
            <v>174495000</v>
          </cell>
        </row>
        <row r="27">
          <cell r="AM27">
            <v>4421000</v>
          </cell>
        </row>
        <row r="28">
          <cell r="AM28">
            <v>0</v>
          </cell>
        </row>
        <row r="29">
          <cell r="AM29">
            <v>2500000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750000</v>
          </cell>
        </row>
        <row r="33">
          <cell r="AM33">
            <v>0</v>
          </cell>
        </row>
        <row r="34">
          <cell r="AM34">
            <v>250000</v>
          </cell>
        </row>
        <row r="35">
          <cell r="AM35">
            <v>10490000</v>
          </cell>
        </row>
        <row r="36">
          <cell r="AM36">
            <v>0</v>
          </cell>
        </row>
        <row r="37">
          <cell r="AM37">
            <v>5200000</v>
          </cell>
        </row>
        <row r="38">
          <cell r="AM38">
            <v>16250000</v>
          </cell>
        </row>
        <row r="39">
          <cell r="AM39">
            <v>0</v>
          </cell>
        </row>
        <row r="40">
          <cell r="AM40">
            <v>0</v>
          </cell>
        </row>
        <row r="41">
          <cell r="AM41">
            <v>0</v>
          </cell>
        </row>
        <row r="42">
          <cell r="AM42">
            <v>1100000</v>
          </cell>
        </row>
        <row r="43">
          <cell r="AM43">
            <v>6930000</v>
          </cell>
        </row>
        <row r="44">
          <cell r="AM44">
            <v>3560000</v>
          </cell>
        </row>
        <row r="45">
          <cell r="AM45">
            <v>0</v>
          </cell>
        </row>
        <row r="46">
          <cell r="AM46">
            <v>225000</v>
          </cell>
        </row>
        <row r="47">
          <cell r="AM47">
            <v>0</v>
          </cell>
        </row>
        <row r="49">
          <cell r="AM49">
            <v>21619725</v>
          </cell>
        </row>
        <row r="50">
          <cell r="AM50">
            <v>46750000</v>
          </cell>
        </row>
        <row r="51">
          <cell r="AM51">
            <v>1000000</v>
          </cell>
        </row>
        <row r="52">
          <cell r="AM52">
            <v>3840000</v>
          </cell>
        </row>
        <row r="53">
          <cell r="AM53">
            <v>0</v>
          </cell>
        </row>
        <row r="54">
          <cell r="AM54">
            <v>21314767</v>
          </cell>
        </row>
        <row r="56">
          <cell r="AM56">
            <v>242000000</v>
          </cell>
        </row>
      </sheetData>
      <sheetData sheetId="7">
        <row r="3">
          <cell r="AQ3">
            <v>1239444000</v>
          </cell>
        </row>
        <row r="4">
          <cell r="AQ4">
            <v>225429000</v>
          </cell>
        </row>
        <row r="5">
          <cell r="AQ5">
            <v>1296000</v>
          </cell>
        </row>
        <row r="6">
          <cell r="AQ6">
            <v>1694250</v>
          </cell>
        </row>
        <row r="7">
          <cell r="AQ7">
            <v>0</v>
          </cell>
        </row>
        <row r="8">
          <cell r="AQ8">
            <v>0</v>
          </cell>
        </row>
        <row r="9">
          <cell r="AQ9">
            <v>0</v>
          </cell>
        </row>
        <row r="10">
          <cell r="AQ10">
            <v>59367500</v>
          </cell>
        </row>
        <row r="11">
          <cell r="AQ11">
            <v>43518000</v>
          </cell>
        </row>
        <row r="12">
          <cell r="AQ12">
            <v>6372000</v>
          </cell>
        </row>
        <row r="13">
          <cell r="AQ13">
            <v>504000</v>
          </cell>
        </row>
        <row r="14">
          <cell r="AQ14">
            <v>1269000</v>
          </cell>
        </row>
        <row r="15">
          <cell r="AQ15">
            <v>285465000</v>
          </cell>
        </row>
        <row r="16">
          <cell r="AQ16">
            <v>94192500</v>
          </cell>
        </row>
        <row r="17">
          <cell r="AQ17">
            <v>0</v>
          </cell>
        </row>
        <row r="18">
          <cell r="AQ18">
            <v>0</v>
          </cell>
        </row>
        <row r="19">
          <cell r="AQ19">
            <v>0</v>
          </cell>
        </row>
        <row r="20">
          <cell r="AQ20">
            <v>31230000</v>
          </cell>
        </row>
        <row r="21">
          <cell r="AQ21">
            <v>33015000</v>
          </cell>
        </row>
        <row r="22">
          <cell r="AQ22">
            <v>249000000</v>
          </cell>
        </row>
        <row r="23">
          <cell r="AQ23">
            <v>5580000</v>
          </cell>
        </row>
        <row r="24">
          <cell r="AQ24">
            <v>2300000</v>
          </cell>
        </row>
        <row r="25">
          <cell r="AQ25">
            <v>180132000</v>
          </cell>
        </row>
        <row r="26">
          <cell r="AQ26">
            <v>153264000</v>
          </cell>
        </row>
        <row r="27">
          <cell r="AQ27">
            <v>5425000</v>
          </cell>
        </row>
        <row r="28">
          <cell r="AQ28">
            <v>1500000</v>
          </cell>
        </row>
        <row r="29">
          <cell r="AQ29">
            <v>0</v>
          </cell>
        </row>
        <row r="30">
          <cell r="AQ30">
            <v>0</v>
          </cell>
        </row>
        <row r="31">
          <cell r="AQ31">
            <v>0</v>
          </cell>
        </row>
        <row r="32">
          <cell r="AQ32">
            <v>750000</v>
          </cell>
        </row>
        <row r="33">
          <cell r="AQ33">
            <v>0</v>
          </cell>
        </row>
        <row r="34">
          <cell r="AQ34">
            <v>0</v>
          </cell>
        </row>
        <row r="35">
          <cell r="AQ35">
            <v>17190000</v>
          </cell>
        </row>
        <row r="36">
          <cell r="AQ36">
            <v>0</v>
          </cell>
        </row>
        <row r="37">
          <cell r="AQ37">
            <v>8500000</v>
          </cell>
        </row>
        <row r="38">
          <cell r="AQ38">
            <v>17750000</v>
          </cell>
        </row>
        <row r="39">
          <cell r="AQ39">
            <v>0</v>
          </cell>
        </row>
        <row r="40">
          <cell r="AQ40">
            <v>3750000</v>
          </cell>
        </row>
        <row r="41">
          <cell r="AQ41">
            <v>4000000</v>
          </cell>
        </row>
        <row r="42">
          <cell r="AQ42">
            <v>1000000</v>
          </cell>
        </row>
        <row r="43">
          <cell r="AQ43">
            <v>5130000</v>
          </cell>
        </row>
        <row r="44">
          <cell r="AQ44">
            <v>5140000</v>
          </cell>
        </row>
        <row r="45">
          <cell r="AQ45">
            <v>900000</v>
          </cell>
        </row>
        <row r="46">
          <cell r="AQ46">
            <v>0</v>
          </cell>
        </row>
        <row r="47">
          <cell r="AQ47">
            <v>600000</v>
          </cell>
        </row>
        <row r="49">
          <cell r="AQ49">
            <v>19932580</v>
          </cell>
        </row>
        <row r="50">
          <cell r="AQ50">
            <v>44750000</v>
          </cell>
        </row>
        <row r="51">
          <cell r="AQ51">
            <v>1850000</v>
          </cell>
        </row>
        <row r="52">
          <cell r="AQ52">
            <v>1762500</v>
          </cell>
        </row>
        <row r="53">
          <cell r="AQ53">
            <v>0</v>
          </cell>
        </row>
        <row r="54">
          <cell r="AQ54">
            <v>22779321</v>
          </cell>
        </row>
        <row r="56">
          <cell r="AQ56">
            <v>7522707</v>
          </cell>
        </row>
        <row r="58">
          <cell r="AQ58">
            <v>0</v>
          </cell>
        </row>
      </sheetData>
      <sheetData sheetId="8">
        <row r="3">
          <cell r="AK3">
            <v>965424000</v>
          </cell>
        </row>
        <row r="4">
          <cell r="AK4">
            <v>187545000</v>
          </cell>
        </row>
        <row r="5">
          <cell r="AK5">
            <v>3123000</v>
          </cell>
        </row>
        <row r="6">
          <cell r="AK6">
            <v>2787750</v>
          </cell>
        </row>
        <row r="7">
          <cell r="AK7">
            <v>0</v>
          </cell>
        </row>
        <row r="8">
          <cell r="AK8">
            <v>0</v>
          </cell>
        </row>
        <row r="9">
          <cell r="AK9">
            <v>0</v>
          </cell>
        </row>
        <row r="10">
          <cell r="AK10">
            <v>44485000</v>
          </cell>
        </row>
        <row r="11">
          <cell r="AK11">
            <v>53682000</v>
          </cell>
        </row>
        <row r="12">
          <cell r="AK12">
            <v>6024000</v>
          </cell>
        </row>
        <row r="13">
          <cell r="AK13">
            <v>2020500</v>
          </cell>
        </row>
        <row r="14">
          <cell r="AK14">
            <v>1453500</v>
          </cell>
        </row>
        <row r="15">
          <cell r="AK15">
            <v>199410000</v>
          </cell>
        </row>
        <row r="16">
          <cell r="AK16">
            <v>63532500</v>
          </cell>
        </row>
        <row r="17">
          <cell r="AK17">
            <v>0</v>
          </cell>
        </row>
        <row r="18">
          <cell r="AK18">
            <v>0</v>
          </cell>
        </row>
        <row r="19">
          <cell r="AK19">
            <v>0</v>
          </cell>
        </row>
        <row r="20">
          <cell r="AK20">
            <v>31960000</v>
          </cell>
        </row>
        <row r="21">
          <cell r="AK21">
            <v>31410000</v>
          </cell>
        </row>
        <row r="22">
          <cell r="AK22">
            <v>115000000</v>
          </cell>
        </row>
        <row r="23">
          <cell r="AK23">
            <v>9555000</v>
          </cell>
        </row>
        <row r="24">
          <cell r="AK24">
            <v>3325000</v>
          </cell>
        </row>
        <row r="25">
          <cell r="AK25">
            <v>133896000</v>
          </cell>
        </row>
        <row r="26">
          <cell r="AK26">
            <v>111717000</v>
          </cell>
        </row>
        <row r="27">
          <cell r="AK27">
            <v>3980000</v>
          </cell>
        </row>
        <row r="28">
          <cell r="AK28">
            <v>0</v>
          </cell>
        </row>
        <row r="29">
          <cell r="AK29">
            <v>0</v>
          </cell>
        </row>
        <row r="30">
          <cell r="AK30">
            <v>0</v>
          </cell>
        </row>
        <row r="31">
          <cell r="AK31">
            <v>0</v>
          </cell>
        </row>
        <row r="32">
          <cell r="AK32">
            <v>0</v>
          </cell>
        </row>
        <row r="33">
          <cell r="AK33">
            <v>0</v>
          </cell>
        </row>
        <row r="34">
          <cell r="AK34">
            <v>250000</v>
          </cell>
        </row>
        <row r="35">
          <cell r="AK35">
            <v>37310000</v>
          </cell>
        </row>
        <row r="36">
          <cell r="AK36">
            <v>0</v>
          </cell>
        </row>
        <row r="37">
          <cell r="AK37">
            <v>4800000</v>
          </cell>
        </row>
        <row r="38">
          <cell r="AK38">
            <v>17000000</v>
          </cell>
        </row>
        <row r="39">
          <cell r="AK39">
            <v>1800000</v>
          </cell>
        </row>
        <row r="40">
          <cell r="AK40">
            <v>1500000</v>
          </cell>
        </row>
        <row r="41">
          <cell r="AK41">
            <v>2000000</v>
          </cell>
        </row>
        <row r="42">
          <cell r="AK42">
            <v>1800000</v>
          </cell>
        </row>
        <row r="43">
          <cell r="AK43">
            <v>5640000</v>
          </cell>
        </row>
        <row r="44">
          <cell r="AK44">
            <v>2700000</v>
          </cell>
        </row>
        <row r="45">
          <cell r="AK45">
            <v>0</v>
          </cell>
        </row>
        <row r="46">
          <cell r="AK46">
            <v>225000</v>
          </cell>
        </row>
        <row r="47">
          <cell r="AK47">
            <v>0</v>
          </cell>
        </row>
        <row r="49">
          <cell r="AK49">
            <v>23195025</v>
          </cell>
        </row>
        <row r="50">
          <cell r="AK50">
            <v>37250000</v>
          </cell>
        </row>
        <row r="51">
          <cell r="AK51">
            <v>1400000</v>
          </cell>
        </row>
        <row r="52">
          <cell r="AK52">
            <v>0</v>
          </cell>
        </row>
        <row r="53">
          <cell r="AK53">
            <v>750000</v>
          </cell>
        </row>
        <row r="54">
          <cell r="AK54">
            <v>20826134</v>
          </cell>
        </row>
        <row r="56">
          <cell r="AK56">
            <v>3600</v>
          </cell>
        </row>
        <row r="57">
          <cell r="AK57">
            <v>2512200000</v>
          </cell>
        </row>
        <row r="59">
          <cell r="AK59">
            <v>0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7BCE-C4DC-41A7-AC94-5EBB42951A81}">
  <dimension ref="A1:BG82"/>
  <sheetViews>
    <sheetView showOutlineSymbols="0" zoomScale="110" zoomScaleNormal="110" workbookViewId="0">
      <selection activeCell="G12" sqref="G12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6.664062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230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2669871250</v>
      </c>
      <c r="J9" s="165">
        <f t="shared" si="0"/>
        <v>601069</v>
      </c>
      <c r="K9" s="164">
        <f>SUM(K10+K30+K36+K44)</f>
        <v>-93810128750</v>
      </c>
      <c r="L9" s="165">
        <f t="shared" si="0"/>
        <v>-21529146.800000001</v>
      </c>
      <c r="M9" s="166">
        <f>SUM(I9/G9*100)</f>
        <v>2.7672794879767828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0</v>
      </c>
      <c r="AB9" s="312">
        <f t="shared" ref="AB9:AD9" si="2">AB10+AB30+AB36+AB44</f>
        <v>0</v>
      </c>
      <c r="AC9" s="312">
        <f>AC10+AC30+AC36+AC44</f>
        <v>0</v>
      </c>
      <c r="AD9" s="312">
        <f t="shared" si="2"/>
        <v>0</v>
      </c>
      <c r="AE9" s="312">
        <f>AE10+AE30+AE36+AE44</f>
        <v>0</v>
      </c>
      <c r="AF9" s="313">
        <f t="shared" ref="AF9:AH9" si="3">AF10+AF30+AF36+AF44</f>
        <v>0</v>
      </c>
      <c r="AG9" s="312">
        <f>AG10+AG30+AG36+AG44</f>
        <v>0</v>
      </c>
      <c r="AH9" s="312">
        <f t="shared" si="3"/>
        <v>0</v>
      </c>
      <c r="AI9" s="312">
        <f>AI10+AI30+AI36+AI44</f>
        <v>0</v>
      </c>
      <c r="AJ9" s="312">
        <f t="shared" ref="AJ9:AV9" si="4">AJ10+AJ30+AJ36+AJ44</f>
        <v>0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2669871250</v>
      </c>
      <c r="AX9" s="315">
        <f t="shared" ref="AX9:AX16" si="6">Z9+AB9+AD9+AF9+AH9+AJ9+AL9+AN9+AP9+AR9+AT9+AV9</f>
        <v>601069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2099172250</v>
      </c>
      <c r="J10" s="171">
        <f t="shared" si="7"/>
        <v>515415</v>
      </c>
      <c r="K10" s="170">
        <f>SUM(K12:K29)</f>
        <v>-72832027750</v>
      </c>
      <c r="L10" s="171">
        <f t="shared" si="7"/>
        <v>-18056883</v>
      </c>
      <c r="M10" s="170">
        <f>SUM(I10/G10*100)</f>
        <v>2.8014662116715066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0</v>
      </c>
      <c r="AB10" s="320">
        <f t="shared" ref="AB10:AD10" si="9">SUM(AB12:AB29)</f>
        <v>0</v>
      </c>
      <c r="AC10" s="320">
        <f>SUM(AC12:AC29)</f>
        <v>0</v>
      </c>
      <c r="AD10" s="320">
        <f t="shared" si="9"/>
        <v>0</v>
      </c>
      <c r="AE10" s="320">
        <f>SUM(AE12:AE29)</f>
        <v>0</v>
      </c>
      <c r="AF10" s="321">
        <f t="shared" ref="AF10:AH10" si="10">SUM(AF12:AF29)</f>
        <v>0</v>
      </c>
      <c r="AG10" s="320">
        <f>SUM(AG12:AG29)</f>
        <v>0</v>
      </c>
      <c r="AH10" s="320">
        <f t="shared" si="10"/>
        <v>0</v>
      </c>
      <c r="AI10" s="320">
        <f>SUM(AI12:AI29)</f>
        <v>0</v>
      </c>
      <c r="AJ10" s="320">
        <f t="shared" ref="AJ10:AV10" si="11">SUM(AJ12:AJ29)</f>
        <v>0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2099172250</v>
      </c>
      <c r="AX10" s="323">
        <f t="shared" si="6"/>
        <v>515415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1275988000</v>
      </c>
      <c r="J12" s="184">
        <f>I12/R12</f>
        <v>318997</v>
      </c>
      <c r="K12" s="185">
        <f>I12-G12</f>
        <v>-36124012000</v>
      </c>
      <c r="L12" s="184">
        <f>J12-H12</f>
        <v>-9031003</v>
      </c>
      <c r="M12" s="186">
        <f>SUM(I12/G12*100)</f>
        <v>3.4117326203208558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/>
      <c r="AB12" s="339">
        <f>SUM(AA12/R12)</f>
        <v>0</v>
      </c>
      <c r="AC12" s="338"/>
      <c r="AD12" s="339">
        <f>SUM(AC12/R12)</f>
        <v>0</v>
      </c>
      <c r="AE12" s="338"/>
      <c r="AF12" s="339">
        <f>SUM(AE12/R12)</f>
        <v>0</v>
      </c>
      <c r="AG12" s="338"/>
      <c r="AH12" s="339">
        <f>SUM(AG12/R12)</f>
        <v>0</v>
      </c>
      <c r="AI12" s="338"/>
      <c r="AJ12" s="339">
        <f>SUM(AI12/R12)</f>
        <v>0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1275988000</v>
      </c>
      <c r="AX12" s="341">
        <f t="shared" si="6"/>
        <v>318997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331110000</v>
      </c>
      <c r="J13" s="190">
        <f t="shared" ref="J13:J29" si="14">I13/R13</f>
        <v>110370</v>
      </c>
      <c r="K13" s="191">
        <f t="shared" ref="K13:L29" si="15">I13-G13</f>
        <v>-10918890000</v>
      </c>
      <c r="L13" s="190">
        <f t="shared" si="15"/>
        <v>-3639630</v>
      </c>
      <c r="M13" s="192">
        <f t="shared" ref="M13:M28" si="16">SUM(I13/G13*100)</f>
        <v>2.9432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/>
      <c r="AB13" s="339">
        <f>SUM(AA13/R13)</f>
        <v>0</v>
      </c>
      <c r="AC13" s="338"/>
      <c r="AD13" s="339">
        <f>SUM(AC13/R13)</f>
        <v>0</v>
      </c>
      <c r="AE13" s="338"/>
      <c r="AF13" s="339">
        <f>SUM(AE13/R13)</f>
        <v>0</v>
      </c>
      <c r="AG13" s="338"/>
      <c r="AH13" s="339">
        <f>SUM(AG13/R13)</f>
        <v>0</v>
      </c>
      <c r="AI13" s="338"/>
      <c r="AJ13" s="339">
        <f>SUM(AI13/R13)</f>
        <v>0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331110000</v>
      </c>
      <c r="AX13" s="341">
        <f t="shared" si="6"/>
        <v>110370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486000</v>
      </c>
      <c r="J15" s="190">
        <f t="shared" si="14"/>
        <v>162</v>
      </c>
      <c r="K15" s="191">
        <f t="shared" si="15"/>
        <v>-209514000</v>
      </c>
      <c r="L15" s="190">
        <f t="shared" si="15"/>
        <v>-69838</v>
      </c>
      <c r="M15" s="192">
        <f t="shared" si="16"/>
        <v>0.23142857142857146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/>
      <c r="AB15" s="344">
        <f>SUM(AA15/R15)</f>
        <v>0</v>
      </c>
      <c r="AC15" s="338"/>
      <c r="AD15" s="339">
        <f>SUM(AC15/R15)</f>
        <v>0</v>
      </c>
      <c r="AE15" s="338"/>
      <c r="AF15" s="339">
        <f>SUM(AE15/R15)</f>
        <v>0</v>
      </c>
      <c r="AG15" s="338"/>
      <c r="AH15" s="339">
        <f>SUM(AG15/R15)</f>
        <v>0</v>
      </c>
      <c r="AI15" s="338"/>
      <c r="AJ15" s="339">
        <f>SUM(AI15/R15)</f>
        <v>0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486000</v>
      </c>
      <c r="AX15" s="341">
        <f t="shared" si="6"/>
        <v>162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6815250</v>
      </c>
      <c r="J16" s="197">
        <f t="shared" si="14"/>
        <v>3029</v>
      </c>
      <c r="K16" s="198">
        <f t="shared" si="15"/>
        <v>-217183500</v>
      </c>
      <c r="L16" s="197">
        <f t="shared" si="15"/>
        <v>-96526</v>
      </c>
      <c r="M16" s="199">
        <f t="shared" si="16"/>
        <v>3.0425392998844858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/>
      <c r="AB16" s="344">
        <f>SUM(AA16/R16)</f>
        <v>0</v>
      </c>
      <c r="AC16" s="338"/>
      <c r="AD16" s="339">
        <f>SUM(AC16/R16)</f>
        <v>0</v>
      </c>
      <c r="AE16" s="338"/>
      <c r="AF16" s="339">
        <f>SUM(AE16/R16)</f>
        <v>0</v>
      </c>
      <c r="AG16" s="338"/>
      <c r="AH16" s="339">
        <f>SUM(AG16/R16)</f>
        <v>0</v>
      </c>
      <c r="AI16" s="338"/>
      <c r="AJ16" s="339">
        <f>SUM(AI16/R16)</f>
        <v>0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6815250</v>
      </c>
      <c r="AX16" s="356">
        <f t="shared" si="6"/>
        <v>3029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/>
      <c r="AB19" s="339">
        <f>SUM(AA19/R19)</f>
        <v>0</v>
      </c>
      <c r="AC19" s="338"/>
      <c r="AD19" s="339">
        <f>SUM(AC19/R19)</f>
        <v>0</v>
      </c>
      <c r="AE19" s="338"/>
      <c r="AF19" s="339">
        <f>SUM(AE19/R19)</f>
        <v>0</v>
      </c>
      <c r="AG19" s="338"/>
      <c r="AH19" s="339">
        <f>SUM(AG19/R19)</f>
        <v>0</v>
      </c>
      <c r="AI19" s="338"/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/>
      <c r="AB20" s="339">
        <f t="shared" ref="AB20:AB22" si="22">SUM(AA20/R20)</f>
        <v>0</v>
      </c>
      <c r="AC20" s="338"/>
      <c r="AD20" s="339">
        <f t="shared" ref="AD20:AD22" si="23">SUM(AC20/R20)</f>
        <v>0</v>
      </c>
      <c r="AE20" s="338"/>
      <c r="AF20" s="339">
        <f t="shared" ref="AF20:AF29" si="24">SUM(AE20/R20)</f>
        <v>0</v>
      </c>
      <c r="AG20" s="338"/>
      <c r="AH20" s="339">
        <f t="shared" ref="AH20:AH22" si="25">SUM(AG20/R20)</f>
        <v>0</v>
      </c>
      <c r="AI20" s="338"/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/>
      <c r="AB21" s="339">
        <f t="shared" si="22"/>
        <v>0</v>
      </c>
      <c r="AC21" s="338"/>
      <c r="AD21" s="339">
        <f t="shared" si="23"/>
        <v>0</v>
      </c>
      <c r="AE21" s="338"/>
      <c r="AF21" s="339">
        <f t="shared" si="24"/>
        <v>0</v>
      </c>
      <c r="AG21" s="338"/>
      <c r="AH21" s="339">
        <f t="shared" si="25"/>
        <v>0</v>
      </c>
      <c r="AI21" s="338"/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56197500</v>
      </c>
      <c r="J22" s="190">
        <f t="shared" si="14"/>
        <v>22479</v>
      </c>
      <c r="K22" s="191">
        <f t="shared" si="15"/>
        <v>-6104535000</v>
      </c>
      <c r="L22" s="190">
        <f t="shared" si="15"/>
        <v>-2441814</v>
      </c>
      <c r="M22" s="192">
        <f t="shared" si="16"/>
        <v>0.91218860744237806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/>
      <c r="AB22" s="339">
        <f t="shared" si="22"/>
        <v>0</v>
      </c>
      <c r="AC22" s="338"/>
      <c r="AD22" s="339">
        <f t="shared" si="23"/>
        <v>0</v>
      </c>
      <c r="AE22" s="338"/>
      <c r="AF22" s="339">
        <f t="shared" si="24"/>
        <v>0</v>
      </c>
      <c r="AG22" s="338"/>
      <c r="AH22" s="339">
        <f t="shared" si="25"/>
        <v>0</v>
      </c>
      <c r="AI22" s="338"/>
      <c r="AJ22" s="339">
        <f t="shared" si="26"/>
        <v>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56197500</v>
      </c>
      <c r="AX22" s="341">
        <f t="shared" si="19"/>
        <v>22479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93750000</v>
      </c>
      <c r="J24" s="190">
        <f t="shared" si="14"/>
        <v>15625</v>
      </c>
      <c r="K24" s="191">
        <f t="shared" si="15"/>
        <v>-5906250000</v>
      </c>
      <c r="L24" s="190">
        <f t="shared" si="15"/>
        <v>-984375</v>
      </c>
      <c r="M24" s="192">
        <f t="shared" si="16"/>
        <v>1.5625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/>
      <c r="AB24" s="344">
        <f>SUM(AA24/R24)</f>
        <v>0</v>
      </c>
      <c r="AC24" s="331"/>
      <c r="AD24" s="339">
        <f>SUM(AC24/R24)</f>
        <v>0</v>
      </c>
      <c r="AE24" s="331"/>
      <c r="AF24" s="339">
        <f t="shared" si="24"/>
        <v>0</v>
      </c>
      <c r="AG24" s="331"/>
      <c r="AH24" s="339">
        <f>SUM(AG24/R24)</f>
        <v>0</v>
      </c>
      <c r="AI24" s="331"/>
      <c r="AJ24" s="339">
        <f>SUM(AI24/R24)</f>
        <v>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93750000</v>
      </c>
      <c r="AX24" s="341">
        <f t="shared" si="19"/>
        <v>15625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333592500</v>
      </c>
      <c r="J25" s="190">
        <f t="shared" si="14"/>
        <v>44479</v>
      </c>
      <c r="K25" s="191">
        <f t="shared" si="15"/>
        <v>-13166407500</v>
      </c>
      <c r="L25" s="190">
        <f t="shared" si="15"/>
        <v>-1755521</v>
      </c>
      <c r="M25" s="192">
        <f t="shared" si="16"/>
        <v>2.4710555555555556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/>
      <c r="AB25" s="344">
        <f>SUM(AA25/R25)</f>
        <v>0</v>
      </c>
      <c r="AC25" s="331"/>
      <c r="AD25" s="339">
        <f>SUM(AC25/R25)</f>
        <v>0</v>
      </c>
      <c r="AE25" s="331"/>
      <c r="AF25" s="339">
        <f t="shared" si="24"/>
        <v>0</v>
      </c>
      <c r="AG25" s="331"/>
      <c r="AH25" s="339">
        <f>SUM(AG25/R25)</f>
        <v>0</v>
      </c>
      <c r="AI25" s="331"/>
      <c r="AJ25" s="339">
        <f>SUM(AI25/R25)</f>
        <v>0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333592500</v>
      </c>
      <c r="AX25" s="341">
        <f t="shared" si="19"/>
        <v>44479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1233000</v>
      </c>
      <c r="J27" s="190">
        <f t="shared" si="14"/>
        <v>274</v>
      </c>
      <c r="K27" s="191">
        <f t="shared" si="15"/>
        <v>-118017000</v>
      </c>
      <c r="L27" s="190">
        <f t="shared" si="15"/>
        <v>-26226</v>
      </c>
      <c r="M27" s="192">
        <f t="shared" si="16"/>
        <v>1.0339622641509434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/>
      <c r="AB27" s="344">
        <f>SUM(AA27/R27)</f>
        <v>0</v>
      </c>
      <c r="AC27" s="331"/>
      <c r="AD27" s="339">
        <f>SUM(AC27/R27)</f>
        <v>0</v>
      </c>
      <c r="AE27" s="331"/>
      <c r="AF27" s="339">
        <f t="shared" si="24"/>
        <v>0</v>
      </c>
      <c r="AG27" s="331"/>
      <c r="AH27" s="339">
        <f>SUM(AG27/R27)</f>
        <v>0</v>
      </c>
      <c r="AI27" s="331"/>
      <c r="AJ27" s="339">
        <f>SUM(AI27/R27)</f>
        <v>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1233000</v>
      </c>
      <c r="AX27" s="341">
        <f t="shared" si="19"/>
        <v>274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0</v>
      </c>
      <c r="J28" s="190">
        <f t="shared" si="14"/>
        <v>0</v>
      </c>
      <c r="K28" s="191">
        <f t="shared" si="15"/>
        <v>-67218750</v>
      </c>
      <c r="L28" s="190">
        <f t="shared" si="15"/>
        <v>-11950</v>
      </c>
      <c r="M28" s="192">
        <f t="shared" si="16"/>
        <v>0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/>
      <c r="AB28" s="344">
        <f t="shared" ref="AB28:AB29" si="34">SUM(AA28/R28)</f>
        <v>0</v>
      </c>
      <c r="AC28" s="331"/>
      <c r="AD28" s="339">
        <f>SUM(AC28/R28)</f>
        <v>0</v>
      </c>
      <c r="AE28" s="331"/>
      <c r="AF28" s="339">
        <f t="shared" si="24"/>
        <v>0</v>
      </c>
      <c r="AG28" s="331"/>
      <c r="AH28" s="339">
        <f t="shared" ref="AH28:AH29" si="35">SUM(AG28/R28)</f>
        <v>0</v>
      </c>
      <c r="AI28" s="331"/>
      <c r="AJ28" s="339">
        <f t="shared" ref="AJ28:AJ29" si="36">SUM(AI28/R28)</f>
        <v>0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0</v>
      </c>
      <c r="AX28" s="341">
        <f t="shared" si="19"/>
        <v>0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/>
      <c r="AB29" s="344">
        <f t="shared" si="34"/>
        <v>0</v>
      </c>
      <c r="AC29" s="331"/>
      <c r="AD29" s="339">
        <f>SUM(AC29/R29)</f>
        <v>0</v>
      </c>
      <c r="AE29" s="338"/>
      <c r="AF29" s="339">
        <f t="shared" si="24"/>
        <v>0</v>
      </c>
      <c r="AG29" s="338"/>
      <c r="AH29" s="339">
        <f t="shared" si="35"/>
        <v>0</v>
      </c>
      <c r="AI29" s="338"/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206130000</v>
      </c>
      <c r="J30" s="219">
        <f t="shared" si="40"/>
        <v>6288</v>
      </c>
      <c r="K30" s="218">
        <f>SUM(K32:K35)</f>
        <v>-5290170000</v>
      </c>
      <c r="L30" s="218">
        <f t="shared" si="40"/>
        <v>-153520.79999999999</v>
      </c>
      <c r="M30" s="220">
        <f>SUM(I30/G30*100)</f>
        <v>3.7503411385841385</v>
      </c>
      <c r="N30" s="6" t="s">
        <v>69</v>
      </c>
      <c r="O30" s="488">
        <f>SUM(G19:G29)</f>
        <v>25847201250</v>
      </c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0</v>
      </c>
      <c r="AB30" s="373">
        <f t="shared" ref="AB30:AD30" si="42">SUM(AB32:AB35)</f>
        <v>0</v>
      </c>
      <c r="AC30" s="373">
        <f>SUM(AC32:AC35)</f>
        <v>0</v>
      </c>
      <c r="AD30" s="373">
        <f t="shared" si="42"/>
        <v>0</v>
      </c>
      <c r="AE30" s="373">
        <f>SUM(AE32:AE35)</f>
        <v>0</v>
      </c>
      <c r="AF30" s="373">
        <f t="shared" ref="AF30:AH30" si="43">SUM(AF32:AF35)</f>
        <v>0</v>
      </c>
      <c r="AG30" s="373">
        <f>SUM(AG32:AG35)</f>
        <v>0</v>
      </c>
      <c r="AH30" s="373">
        <f t="shared" si="43"/>
        <v>0</v>
      </c>
      <c r="AI30" s="373">
        <f>SUM(AI32:AI35)</f>
        <v>0</v>
      </c>
      <c r="AJ30" s="373">
        <f t="shared" ref="AJ30:AV30" si="44">SUM(AJ32:AJ35)</f>
        <v>0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206130000</v>
      </c>
      <c r="AX30" s="375">
        <f t="shared" si="19"/>
        <v>6288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34450000</v>
      </c>
      <c r="J33" s="190">
        <f t="shared" ref="J33:J35" si="46">I33/R33</f>
        <v>3445</v>
      </c>
      <c r="K33" s="191">
        <f t="shared" ref="K33:L35" si="47">I33-G33</f>
        <v>-778050000</v>
      </c>
      <c r="L33" s="190">
        <f t="shared" si="47"/>
        <v>-77805</v>
      </c>
      <c r="M33" s="192">
        <f>SUM(I33/G33*100)</f>
        <v>4.24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/>
      <c r="AB33" s="339">
        <f>SUM(AA33/R33)</f>
        <v>0</v>
      </c>
      <c r="AC33" s="338"/>
      <c r="AD33" s="339">
        <f>SUM(AC33/R33)</f>
        <v>0</v>
      </c>
      <c r="AE33" s="338"/>
      <c r="AF33" s="339">
        <f t="shared" ref="AF33:AF35" si="48">SUM(AE33/R33)</f>
        <v>0</v>
      </c>
      <c r="AG33" s="338"/>
      <c r="AH33" s="339">
        <f>SUM(AG33/R33)</f>
        <v>0</v>
      </c>
      <c r="AI33" s="338"/>
      <c r="AJ33" s="339">
        <f>SUM(AI33/R33)</f>
        <v>0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34450000</v>
      </c>
      <c r="AX33" s="341">
        <f>Z33+AB33+AD33+AF33+AH33+AJ33+AL33+AN33+AP33+AR33+AT33+AV33</f>
        <v>3445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40680000</v>
      </c>
      <c r="J34" s="190">
        <f t="shared" si="46"/>
        <v>2712</v>
      </c>
      <c r="K34" s="191">
        <f t="shared" si="47"/>
        <v>-1084320000</v>
      </c>
      <c r="L34" s="190">
        <f t="shared" si="47"/>
        <v>-72288</v>
      </c>
      <c r="M34" s="192">
        <f t="shared" ref="M34:M35" si="52">SUM(I34/G34*100)</f>
        <v>3.6159999999999997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/>
      <c r="AB34" s="339">
        <f t="shared" ref="AB34:AB35" si="54">SUM(AA34/R34)</f>
        <v>0</v>
      </c>
      <c r="AC34" s="338"/>
      <c r="AD34" s="339">
        <f t="shared" ref="AD34:AD35" si="55">SUM(AC34/R34)</f>
        <v>0</v>
      </c>
      <c r="AE34" s="338"/>
      <c r="AF34" s="339">
        <f t="shared" si="48"/>
        <v>0</v>
      </c>
      <c r="AG34" s="338"/>
      <c r="AH34" s="339">
        <f t="shared" ref="AH34:AH35" si="56">SUM(AG34/R34)</f>
        <v>0</v>
      </c>
      <c r="AI34" s="338"/>
      <c r="AJ34" s="339">
        <f t="shared" ref="AJ34:AJ35" si="57">SUM(AI34/R34)</f>
        <v>0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40680000</v>
      </c>
      <c r="AX34" s="341">
        <f>Z34+AB34+AD34+AF34+AH34+AJ34+AL34+AN34+AP34+AR34+AT34+AV34</f>
        <v>2712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131000000</v>
      </c>
      <c r="J35" s="190">
        <f t="shared" si="46"/>
        <v>131</v>
      </c>
      <c r="K35" s="191">
        <f t="shared" si="47"/>
        <v>-3427800000</v>
      </c>
      <c r="L35" s="190">
        <f t="shared" si="47"/>
        <v>-3427.8</v>
      </c>
      <c r="M35" s="192">
        <f t="shared" si="52"/>
        <v>3.6810160728335393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/>
      <c r="AB35" s="339">
        <f t="shared" si="54"/>
        <v>0</v>
      </c>
      <c r="AC35" s="338"/>
      <c r="AD35" s="339">
        <f t="shared" si="55"/>
        <v>0</v>
      </c>
      <c r="AE35" s="338"/>
      <c r="AF35" s="339">
        <f t="shared" si="48"/>
        <v>0</v>
      </c>
      <c r="AG35" s="338"/>
      <c r="AH35" s="339">
        <f t="shared" si="56"/>
        <v>0</v>
      </c>
      <c r="AI35" s="338"/>
      <c r="AJ35" s="339">
        <f t="shared" si="57"/>
        <v>0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131000000</v>
      </c>
      <c r="AX35" s="341">
        <f>Z35+AB35+AD35+AF35+AH35+AJ35+AL35+AN35+AP35+AR35+AT35+AV35</f>
        <v>131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306614000</v>
      </c>
      <c r="J36" s="219">
        <f t="shared" si="61"/>
        <v>73803</v>
      </c>
      <c r="K36" s="218">
        <f t="shared" si="61"/>
        <v>-12197386000</v>
      </c>
      <c r="L36" s="218">
        <f t="shared" si="61"/>
        <v>-2945385</v>
      </c>
      <c r="M36" s="218">
        <f>SUM(I36/G36*100)</f>
        <v>2.4521273192578374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0</v>
      </c>
      <c r="AB36" s="373">
        <f t="shared" ref="AB36:AD36" si="63">SUM(AB38:AB43)</f>
        <v>0</v>
      </c>
      <c r="AC36" s="373">
        <f>SUM(AC38:AC43)</f>
        <v>0</v>
      </c>
      <c r="AD36" s="373">
        <f t="shared" si="63"/>
        <v>0</v>
      </c>
      <c r="AE36" s="373">
        <f>SUM(AE38:AE43)</f>
        <v>0</v>
      </c>
      <c r="AF36" s="373">
        <f t="shared" ref="AF36:AH36" si="64">SUM(AF38:AF43)</f>
        <v>0</v>
      </c>
      <c r="AG36" s="373">
        <f>SUM(AG38:AG43)</f>
        <v>0</v>
      </c>
      <c r="AH36" s="373">
        <f t="shared" si="64"/>
        <v>0</v>
      </c>
      <c r="AI36" s="373">
        <f>SUM(AI38:AI43)</f>
        <v>0</v>
      </c>
      <c r="AJ36" s="373">
        <f t="shared" ref="AJ36:AV36" si="65">SUM(AJ38:AJ43)</f>
        <v>0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306614000</v>
      </c>
      <c r="AX36" s="393">
        <f>Z36+AB36+AD36+AF36+AH36+AJ36+AL36+AN36+AP36+AR36+AT36+AV36</f>
        <v>73803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6615000</v>
      </c>
      <c r="J39" s="190">
        <f t="shared" ref="J39:J43" si="69">I39/R39</f>
        <v>441</v>
      </c>
      <c r="K39" s="191">
        <f t="shared" ref="K39:L43" si="70">I39-G39</f>
        <v>-353385000</v>
      </c>
      <c r="L39" s="190">
        <f t="shared" si="70"/>
        <v>-23559</v>
      </c>
      <c r="M39" s="192">
        <f>SUM(I39/G39*100)</f>
        <v>1.8374999999999999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/>
      <c r="AB39" s="398">
        <f>SUM(AA39/R39)</f>
        <v>0</v>
      </c>
      <c r="AC39" s="331"/>
      <c r="AD39" s="399">
        <f>SUM(AC39/R39)</f>
        <v>0</v>
      </c>
      <c r="AE39" s="331"/>
      <c r="AF39" s="399">
        <f t="shared" ref="AF39:AF43" si="72">SUM(AE39/R39)</f>
        <v>0</v>
      </c>
      <c r="AG39" s="331"/>
      <c r="AH39" s="399">
        <f>SUM(AG39/R39)</f>
        <v>0</v>
      </c>
      <c r="AI39" s="331"/>
      <c r="AJ39" s="399">
        <f>SUM(AI39/R39)</f>
        <v>0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6615000</v>
      </c>
      <c r="AX39" s="341">
        <f t="shared" si="67"/>
        <v>441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2825000</v>
      </c>
      <c r="J40" s="190">
        <f t="shared" si="69"/>
        <v>226</v>
      </c>
      <c r="K40" s="191">
        <f t="shared" si="70"/>
        <v>-41175000</v>
      </c>
      <c r="L40" s="190">
        <f t="shared" si="70"/>
        <v>-3294</v>
      </c>
      <c r="M40" s="192">
        <f t="shared" ref="M40:M43" si="76">SUM(I40/G40*100)</f>
        <v>6.4204545454545459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8"/>
      <c r="AB40" s="398">
        <f>SUM(AA40/R40)</f>
        <v>0</v>
      </c>
      <c r="AC40" s="338"/>
      <c r="AD40" s="339">
        <f t="shared" ref="AD40:AD43" si="77">SUM(AC40/R40)</f>
        <v>0</v>
      </c>
      <c r="AE40" s="338"/>
      <c r="AF40" s="339">
        <f t="shared" si="72"/>
        <v>0</v>
      </c>
      <c r="AG40" s="338"/>
      <c r="AH40" s="339">
        <f t="shared" ref="AH40:AH43" si="78">SUM(AG40/R40)</f>
        <v>0</v>
      </c>
      <c r="AI40" s="331"/>
      <c r="AJ40" s="339">
        <f t="shared" ref="AJ40:AJ43" si="79">SUM(AI40/R40)</f>
        <v>0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2825000</v>
      </c>
      <c r="AX40" s="341">
        <f t="shared" si="67"/>
        <v>226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163080000</v>
      </c>
      <c r="J41" s="190">
        <f t="shared" si="69"/>
        <v>27180</v>
      </c>
      <c r="K41" s="191">
        <f t="shared" si="70"/>
        <v>-6586920000</v>
      </c>
      <c r="L41" s="190">
        <f t="shared" si="70"/>
        <v>-1097820</v>
      </c>
      <c r="M41" s="192">
        <f t="shared" si="76"/>
        <v>2.4159999999999999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8"/>
      <c r="AB41" s="398">
        <f t="shared" ref="AB41:AB43" si="83">SUM(AA41/R41)</f>
        <v>0</v>
      </c>
      <c r="AC41" s="338"/>
      <c r="AD41" s="339">
        <f t="shared" si="77"/>
        <v>0</v>
      </c>
      <c r="AE41" s="338"/>
      <c r="AF41" s="339">
        <f t="shared" si="72"/>
        <v>0</v>
      </c>
      <c r="AG41" s="338"/>
      <c r="AH41" s="339">
        <f t="shared" si="78"/>
        <v>0</v>
      </c>
      <c r="AI41" s="331"/>
      <c r="AJ41" s="339">
        <f t="shared" si="79"/>
        <v>0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163080000</v>
      </c>
      <c r="AX41" s="341">
        <f t="shared" si="67"/>
        <v>27180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132207000</v>
      </c>
      <c r="J42" s="190">
        <f t="shared" si="69"/>
        <v>44069</v>
      </c>
      <c r="K42" s="191">
        <f t="shared" si="70"/>
        <v>-5092791000</v>
      </c>
      <c r="L42" s="190">
        <f t="shared" si="70"/>
        <v>-1697597</v>
      </c>
      <c r="M42" s="192">
        <f t="shared" si="76"/>
        <v>2.5302784804893705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8"/>
      <c r="AB42" s="398">
        <f t="shared" si="83"/>
        <v>0</v>
      </c>
      <c r="AC42" s="338"/>
      <c r="AD42" s="339">
        <f t="shared" si="77"/>
        <v>0</v>
      </c>
      <c r="AE42" s="338"/>
      <c r="AF42" s="339">
        <f t="shared" si="72"/>
        <v>0</v>
      </c>
      <c r="AG42" s="338"/>
      <c r="AH42" s="339">
        <f t="shared" si="78"/>
        <v>0</v>
      </c>
      <c r="AI42" s="331"/>
      <c r="AJ42" s="339">
        <f t="shared" si="79"/>
        <v>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132207000</v>
      </c>
      <c r="AX42" s="341">
        <f t="shared" si="67"/>
        <v>44069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1887000</v>
      </c>
      <c r="J43" s="190">
        <f t="shared" si="69"/>
        <v>1887</v>
      </c>
      <c r="K43" s="191">
        <f t="shared" si="70"/>
        <v>-123115000</v>
      </c>
      <c r="L43" s="190">
        <f t="shared" si="70"/>
        <v>-123115</v>
      </c>
      <c r="M43" s="192">
        <f t="shared" si="76"/>
        <v>1.5095758467864513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8"/>
      <c r="AB43" s="398">
        <f t="shared" si="83"/>
        <v>0</v>
      </c>
      <c r="AC43" s="405"/>
      <c r="AD43" s="406">
        <f t="shared" si="77"/>
        <v>0</v>
      </c>
      <c r="AE43" s="405"/>
      <c r="AF43" s="339">
        <f t="shared" si="72"/>
        <v>0</v>
      </c>
      <c r="AG43" s="338"/>
      <c r="AH43" s="339">
        <f t="shared" si="78"/>
        <v>0</v>
      </c>
      <c r="AI43" s="331"/>
      <c r="AJ43" s="339">
        <f t="shared" si="79"/>
        <v>0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1887000</v>
      </c>
      <c r="AX43" s="356">
        <f t="shared" si="67"/>
        <v>1887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57955000</v>
      </c>
      <c r="J44" s="257">
        <f t="shared" si="84"/>
        <v>5563</v>
      </c>
      <c r="K44" s="256">
        <f t="shared" si="84"/>
        <v>-3490545000</v>
      </c>
      <c r="L44" s="257">
        <f t="shared" si="84"/>
        <v>-373358</v>
      </c>
      <c r="M44" s="256">
        <f>SUM(I44/G44*100)</f>
        <v>1.6332253064675215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0</v>
      </c>
      <c r="AB44" s="408">
        <f t="shared" ref="AB44:AD44" si="86">SUM(AB46:AB66)</f>
        <v>0</v>
      </c>
      <c r="AC44" s="408">
        <f>SUM(AC46:AC66)</f>
        <v>0</v>
      </c>
      <c r="AD44" s="408">
        <f t="shared" si="86"/>
        <v>0</v>
      </c>
      <c r="AE44" s="408">
        <f>SUM(AE46:AE66)</f>
        <v>0</v>
      </c>
      <c r="AF44" s="408">
        <f t="shared" ref="AF44:AH44" si="87">SUM(AF46:AF66)</f>
        <v>0</v>
      </c>
      <c r="AG44" s="408">
        <f>SUM(AG46:AG66)</f>
        <v>0</v>
      </c>
      <c r="AH44" s="408">
        <f t="shared" si="87"/>
        <v>0</v>
      </c>
      <c r="AI44" s="408">
        <f>SUM(AI46:AI66)</f>
        <v>0</v>
      </c>
      <c r="AJ44" s="408">
        <f t="shared" ref="AJ44:AV44" si="88">SUM(AJ46:AJ66)</f>
        <v>0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57955000</v>
      </c>
      <c r="AX44" s="360">
        <f t="shared" si="67"/>
        <v>5563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/>
      <c r="AB47" s="414">
        <f>SUM(AA47/R47)</f>
        <v>0</v>
      </c>
      <c r="AC47" s="331"/>
      <c r="AD47" s="415">
        <f>SUM(AC47/R47)</f>
        <v>0</v>
      </c>
      <c r="AE47" s="331"/>
      <c r="AF47" s="339">
        <f t="shared" ref="AF47:AF66" si="93">SUM(AE47/R47)</f>
        <v>0</v>
      </c>
      <c r="AG47" s="331"/>
      <c r="AH47" s="339">
        <f t="shared" ref="AH47:AH66" si="94">SUM(AG47/R47)</f>
        <v>0</v>
      </c>
      <c r="AI47" s="331"/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/>
      <c r="AB48" s="414">
        <f t="shared" ref="AB48:AB66" si="102">SUM(AA48/R48)</f>
        <v>0</v>
      </c>
      <c r="AC48" s="331"/>
      <c r="AD48" s="399">
        <f t="shared" ref="AD48:AD66" si="103">SUM(AC48/R48)</f>
        <v>0</v>
      </c>
      <c r="AE48" s="331"/>
      <c r="AF48" s="339">
        <f t="shared" si="93"/>
        <v>0</v>
      </c>
      <c r="AG48" s="331"/>
      <c r="AH48" s="339">
        <f t="shared" si="94"/>
        <v>0</v>
      </c>
      <c r="AI48" s="331"/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/>
      <c r="AB49" s="414">
        <f t="shared" si="102"/>
        <v>0</v>
      </c>
      <c r="AC49" s="331"/>
      <c r="AD49" s="399">
        <f t="shared" si="103"/>
        <v>0</v>
      </c>
      <c r="AE49" s="331"/>
      <c r="AF49" s="339">
        <f t="shared" si="93"/>
        <v>0</v>
      </c>
      <c r="AG49" s="331"/>
      <c r="AH49" s="339">
        <f t="shared" si="94"/>
        <v>0</v>
      </c>
      <c r="AI49" s="331"/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/>
      <c r="AB50" s="414">
        <f t="shared" si="102"/>
        <v>0</v>
      </c>
      <c r="AC50" s="331"/>
      <c r="AD50" s="399">
        <f t="shared" si="103"/>
        <v>0</v>
      </c>
      <c r="AE50" s="331"/>
      <c r="AF50" s="339">
        <f t="shared" si="93"/>
        <v>0</v>
      </c>
      <c r="AG50" s="331"/>
      <c r="AH50" s="339">
        <f t="shared" si="94"/>
        <v>0</v>
      </c>
      <c r="AI50" s="331"/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0</v>
      </c>
      <c r="J51" s="190">
        <f t="shared" si="90"/>
        <v>0</v>
      </c>
      <c r="K51" s="191">
        <f t="shared" si="100"/>
        <v>-13500000</v>
      </c>
      <c r="L51" s="190">
        <f t="shared" si="91"/>
        <v>-18</v>
      </c>
      <c r="M51" s="192">
        <f t="shared" si="101"/>
        <v>0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/>
      <c r="AB51" s="414">
        <f t="shared" si="102"/>
        <v>0</v>
      </c>
      <c r="AC51" s="331"/>
      <c r="AD51" s="399">
        <f t="shared" si="103"/>
        <v>0</v>
      </c>
      <c r="AE51" s="331"/>
      <c r="AF51" s="339">
        <f t="shared" si="93"/>
        <v>0</v>
      </c>
      <c r="AG51" s="331"/>
      <c r="AH51" s="339">
        <f t="shared" si="94"/>
        <v>0</v>
      </c>
      <c r="AI51" s="331"/>
      <c r="AJ51" s="339">
        <f t="shared" si="104"/>
        <v>0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0</v>
      </c>
      <c r="AX51" s="341">
        <f t="shared" si="98"/>
        <v>0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/>
      <c r="AB52" s="414">
        <f t="shared" si="102"/>
        <v>0</v>
      </c>
      <c r="AC52" s="331"/>
      <c r="AD52" s="399">
        <f t="shared" si="103"/>
        <v>0</v>
      </c>
      <c r="AE52" s="331"/>
      <c r="AF52" s="339">
        <f t="shared" si="93"/>
        <v>0</v>
      </c>
      <c r="AG52" s="331"/>
      <c r="AH52" s="339">
        <f t="shared" si="94"/>
        <v>0</v>
      </c>
      <c r="AI52" s="331"/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0</v>
      </c>
      <c r="J53" s="190">
        <f t="shared" si="90"/>
        <v>0</v>
      </c>
      <c r="K53" s="191">
        <f t="shared" si="100"/>
        <v>-4250000</v>
      </c>
      <c r="L53" s="190">
        <f t="shared" si="91"/>
        <v>-17</v>
      </c>
      <c r="M53" s="192">
        <f t="shared" si="101"/>
        <v>0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/>
      <c r="AB53" s="414">
        <f t="shared" si="102"/>
        <v>0</v>
      </c>
      <c r="AC53" s="331"/>
      <c r="AD53" s="399">
        <f t="shared" si="103"/>
        <v>0</v>
      </c>
      <c r="AE53" s="331"/>
      <c r="AF53" s="339">
        <f t="shared" si="93"/>
        <v>0</v>
      </c>
      <c r="AG53" s="331"/>
      <c r="AH53" s="339">
        <f t="shared" si="94"/>
        <v>0</v>
      </c>
      <c r="AI53" s="331"/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0</v>
      </c>
      <c r="AX53" s="341">
        <f t="shared" si="98"/>
        <v>0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6500000</v>
      </c>
      <c r="J54" s="190">
        <f t="shared" si="90"/>
        <v>3250</v>
      </c>
      <c r="K54" s="191">
        <f t="shared" si="100"/>
        <v>-693500000</v>
      </c>
      <c r="L54" s="190">
        <f t="shared" si="91"/>
        <v>-346750</v>
      </c>
      <c r="M54" s="192">
        <f t="shared" si="101"/>
        <v>0.9285714285714286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/>
      <c r="AB54" s="414">
        <f t="shared" si="102"/>
        <v>0</v>
      </c>
      <c r="AC54" s="331"/>
      <c r="AD54" s="399">
        <f t="shared" si="103"/>
        <v>0</v>
      </c>
      <c r="AE54" s="331"/>
      <c r="AF54" s="339">
        <f t="shared" si="93"/>
        <v>0</v>
      </c>
      <c r="AG54" s="331"/>
      <c r="AH54" s="339">
        <f t="shared" si="94"/>
        <v>0</v>
      </c>
      <c r="AI54" s="331"/>
      <c r="AJ54" s="339">
        <f t="shared" si="104"/>
        <v>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6500000</v>
      </c>
      <c r="AX54" s="341">
        <f t="shared" si="98"/>
        <v>3250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200000</v>
      </c>
      <c r="J55" s="190">
        <f t="shared" si="90"/>
        <v>2</v>
      </c>
      <c r="K55" s="191">
        <f t="shared" si="100"/>
        <v>-14800000</v>
      </c>
      <c r="L55" s="190">
        <f t="shared" si="91"/>
        <v>-148</v>
      </c>
      <c r="M55" s="192">
        <f t="shared" si="101"/>
        <v>1.3333333333333335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/>
      <c r="AB55" s="414">
        <f t="shared" si="102"/>
        <v>0</v>
      </c>
      <c r="AC55" s="331"/>
      <c r="AD55" s="399">
        <f t="shared" si="103"/>
        <v>0</v>
      </c>
      <c r="AE55" s="331"/>
      <c r="AF55" s="339">
        <f t="shared" si="93"/>
        <v>0</v>
      </c>
      <c r="AG55" s="331"/>
      <c r="AH55" s="339">
        <f t="shared" si="94"/>
        <v>0</v>
      </c>
      <c r="AI55" s="331"/>
      <c r="AJ55" s="339">
        <f t="shared" si="104"/>
        <v>0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200000</v>
      </c>
      <c r="AX55" s="341">
        <f t="shared" si="98"/>
        <v>2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3100000</v>
      </c>
      <c r="J56" s="190">
        <f t="shared" si="90"/>
        <v>31</v>
      </c>
      <c r="K56" s="191">
        <f t="shared" si="100"/>
        <v>-171900000</v>
      </c>
      <c r="L56" s="190">
        <f t="shared" si="91"/>
        <v>-1719</v>
      </c>
      <c r="M56" s="192">
        <f t="shared" si="101"/>
        <v>1.7714285714285714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/>
      <c r="AB56" s="414">
        <f t="shared" si="102"/>
        <v>0</v>
      </c>
      <c r="AC56" s="331"/>
      <c r="AD56" s="399">
        <f t="shared" si="103"/>
        <v>0</v>
      </c>
      <c r="AE56" s="331"/>
      <c r="AF56" s="339">
        <f t="shared" si="93"/>
        <v>0</v>
      </c>
      <c r="AG56" s="331"/>
      <c r="AH56" s="339">
        <f t="shared" si="94"/>
        <v>0</v>
      </c>
      <c r="AI56" s="331"/>
      <c r="AJ56" s="339">
        <f t="shared" si="104"/>
        <v>0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3100000</v>
      </c>
      <c r="AX56" s="341">
        <f t="shared" si="98"/>
        <v>31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24250000</v>
      </c>
      <c r="J57" s="190">
        <f t="shared" si="90"/>
        <v>97</v>
      </c>
      <c r="K57" s="191">
        <f t="shared" si="100"/>
        <v>-1350750000</v>
      </c>
      <c r="L57" s="190">
        <f t="shared" si="91"/>
        <v>-5403</v>
      </c>
      <c r="M57" s="192">
        <f t="shared" si="101"/>
        <v>1.7636363636363637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/>
      <c r="AB57" s="414">
        <f t="shared" si="102"/>
        <v>0</v>
      </c>
      <c r="AC57" s="331"/>
      <c r="AD57" s="399">
        <f t="shared" si="103"/>
        <v>0</v>
      </c>
      <c r="AE57" s="331"/>
      <c r="AF57" s="339">
        <f t="shared" si="93"/>
        <v>0</v>
      </c>
      <c r="AG57" s="331"/>
      <c r="AH57" s="339">
        <f t="shared" si="94"/>
        <v>0</v>
      </c>
      <c r="AI57" s="331"/>
      <c r="AJ57" s="339">
        <f t="shared" si="104"/>
        <v>0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24250000</v>
      </c>
      <c r="AX57" s="341">
        <f t="shared" si="98"/>
        <v>97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/>
      <c r="AB58" s="414">
        <f t="shared" si="102"/>
        <v>0</v>
      </c>
      <c r="AC58" s="331"/>
      <c r="AD58" s="399">
        <f t="shared" si="103"/>
        <v>0</v>
      </c>
      <c r="AE58" s="331"/>
      <c r="AF58" s="339">
        <f t="shared" si="93"/>
        <v>0</v>
      </c>
      <c r="AG58" s="331"/>
      <c r="AH58" s="339">
        <f t="shared" si="94"/>
        <v>0</v>
      </c>
      <c r="AI58" s="331"/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1500000</v>
      </c>
      <c r="J59" s="190">
        <f t="shared" si="90"/>
        <v>2</v>
      </c>
      <c r="K59" s="191">
        <f t="shared" si="100"/>
        <v>-362250000</v>
      </c>
      <c r="L59" s="190">
        <f t="shared" si="91"/>
        <v>-483</v>
      </c>
      <c r="M59" s="192">
        <f t="shared" si="101"/>
        <v>0.41237113402061859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/>
      <c r="AB59" s="414">
        <f t="shared" si="102"/>
        <v>0</v>
      </c>
      <c r="AC59" s="331"/>
      <c r="AD59" s="399">
        <f t="shared" si="103"/>
        <v>0</v>
      </c>
      <c r="AE59" s="331"/>
      <c r="AF59" s="339">
        <f t="shared" si="93"/>
        <v>0</v>
      </c>
      <c r="AG59" s="331"/>
      <c r="AH59" s="339">
        <f t="shared" si="94"/>
        <v>0</v>
      </c>
      <c r="AI59" s="331"/>
      <c r="AJ59" s="339">
        <f t="shared" si="104"/>
        <v>0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1500000</v>
      </c>
      <c r="AX59" s="341">
        <f t="shared" si="98"/>
        <v>2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1000000</v>
      </c>
      <c r="J60" s="190">
        <f t="shared" si="90"/>
        <v>1</v>
      </c>
      <c r="K60" s="191">
        <f t="shared" si="100"/>
        <v>-386000000</v>
      </c>
      <c r="L60" s="190">
        <f t="shared" si="91"/>
        <v>-386</v>
      </c>
      <c r="M60" s="192">
        <f t="shared" si="101"/>
        <v>0.2583979328165375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/>
      <c r="AB60" s="414">
        <f t="shared" si="102"/>
        <v>0</v>
      </c>
      <c r="AC60" s="331"/>
      <c r="AD60" s="399">
        <f t="shared" si="103"/>
        <v>0</v>
      </c>
      <c r="AE60" s="331"/>
      <c r="AF60" s="339">
        <f t="shared" si="93"/>
        <v>0</v>
      </c>
      <c r="AG60" s="331"/>
      <c r="AH60" s="339">
        <f t="shared" si="94"/>
        <v>0</v>
      </c>
      <c r="AI60" s="331"/>
      <c r="AJ60" s="339">
        <f t="shared" si="104"/>
        <v>0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1000000</v>
      </c>
      <c r="AX60" s="341">
        <f t="shared" si="98"/>
        <v>1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900000</v>
      </c>
      <c r="J61" s="190">
        <f t="shared" si="90"/>
        <v>9</v>
      </c>
      <c r="K61" s="191">
        <f t="shared" si="100"/>
        <v>-89100000</v>
      </c>
      <c r="L61" s="190">
        <f t="shared" si="91"/>
        <v>-891</v>
      </c>
      <c r="M61" s="192">
        <f t="shared" si="101"/>
        <v>1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/>
      <c r="AB61" s="414">
        <f t="shared" si="102"/>
        <v>0</v>
      </c>
      <c r="AC61" s="331"/>
      <c r="AD61" s="399">
        <f t="shared" si="103"/>
        <v>0</v>
      </c>
      <c r="AE61" s="331"/>
      <c r="AF61" s="339">
        <f t="shared" si="93"/>
        <v>0</v>
      </c>
      <c r="AG61" s="331"/>
      <c r="AH61" s="339">
        <f t="shared" si="94"/>
        <v>0</v>
      </c>
      <c r="AI61" s="331"/>
      <c r="AJ61" s="339">
        <f t="shared" si="104"/>
        <v>0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900000</v>
      </c>
      <c r="AX61" s="341">
        <f t="shared" si="98"/>
        <v>9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13950000</v>
      </c>
      <c r="J62" s="190">
        <f t="shared" si="90"/>
        <v>930</v>
      </c>
      <c r="K62" s="191">
        <f t="shared" si="100"/>
        <v>-266100000</v>
      </c>
      <c r="L62" s="190">
        <f t="shared" si="91"/>
        <v>-17740</v>
      </c>
      <c r="M62" s="192">
        <f t="shared" si="101"/>
        <v>4.9812533476164971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/>
      <c r="AB62" s="414">
        <f t="shared" si="102"/>
        <v>0</v>
      </c>
      <c r="AC62" s="331"/>
      <c r="AD62" s="399">
        <f t="shared" si="103"/>
        <v>0</v>
      </c>
      <c r="AE62" s="331"/>
      <c r="AF62" s="339">
        <f t="shared" si="93"/>
        <v>0</v>
      </c>
      <c r="AG62" s="331"/>
      <c r="AH62" s="339">
        <f t="shared" si="94"/>
        <v>0</v>
      </c>
      <c r="AI62" s="331"/>
      <c r="AJ62" s="339">
        <f t="shared" si="104"/>
        <v>0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13950000</v>
      </c>
      <c r="AX62" s="341">
        <f t="shared" si="98"/>
        <v>930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6180000</v>
      </c>
      <c r="J63" s="190">
        <f t="shared" si="90"/>
        <v>1236</v>
      </c>
      <c r="K63" s="191">
        <f t="shared" si="100"/>
        <v>6180000</v>
      </c>
      <c r="L63" s="190">
        <f t="shared" si="91"/>
        <v>1236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/>
      <c r="AB63" s="414">
        <f t="shared" si="102"/>
        <v>0</v>
      </c>
      <c r="AC63" s="331"/>
      <c r="AD63" s="399">
        <f t="shared" si="103"/>
        <v>0</v>
      </c>
      <c r="AE63" s="331"/>
      <c r="AF63" s="339">
        <f t="shared" si="93"/>
        <v>0</v>
      </c>
      <c r="AG63" s="331"/>
      <c r="AH63" s="339">
        <f t="shared" si="94"/>
        <v>0</v>
      </c>
      <c r="AI63" s="331"/>
      <c r="AJ63" s="339">
        <f t="shared" si="104"/>
        <v>0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6180000</v>
      </c>
      <c r="AX63" s="341">
        <f t="shared" si="98"/>
        <v>1236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/>
      <c r="AB64" s="414">
        <f t="shared" si="102"/>
        <v>0</v>
      </c>
      <c r="AC64" s="331"/>
      <c r="AD64" s="399">
        <f t="shared" si="103"/>
        <v>0</v>
      </c>
      <c r="AE64" s="331"/>
      <c r="AF64" s="339">
        <f t="shared" si="93"/>
        <v>0</v>
      </c>
      <c r="AG64" s="331"/>
      <c r="AH64" s="339">
        <f t="shared" si="94"/>
        <v>0</v>
      </c>
      <c r="AI64" s="331"/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375000</v>
      </c>
      <c r="J65" s="190">
        <f t="shared" si="90"/>
        <v>5</v>
      </c>
      <c r="K65" s="191">
        <f t="shared" si="100"/>
        <v>-19575000</v>
      </c>
      <c r="L65" s="190">
        <f t="shared" si="91"/>
        <v>-261</v>
      </c>
      <c r="M65" s="192">
        <f t="shared" si="101"/>
        <v>1.8796992481203008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/>
      <c r="AB65" s="414">
        <f t="shared" si="102"/>
        <v>0</v>
      </c>
      <c r="AC65" s="331"/>
      <c r="AD65" s="423">
        <f t="shared" si="103"/>
        <v>0</v>
      </c>
      <c r="AE65" s="331"/>
      <c r="AF65" s="339">
        <f t="shared" si="93"/>
        <v>0</v>
      </c>
      <c r="AG65" s="331"/>
      <c r="AH65" s="339">
        <f t="shared" si="94"/>
        <v>0</v>
      </c>
      <c r="AI65" s="331"/>
      <c r="AJ65" s="339">
        <f t="shared" si="104"/>
        <v>0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375000</v>
      </c>
      <c r="AX65" s="341">
        <f t="shared" si="98"/>
        <v>5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/>
      <c r="AB66" s="414">
        <f t="shared" si="102"/>
        <v>0</v>
      </c>
      <c r="AC66" s="331"/>
      <c r="AD66" s="423">
        <f t="shared" si="103"/>
        <v>0</v>
      </c>
      <c r="AE66" s="331"/>
      <c r="AF66" s="339">
        <f t="shared" si="93"/>
        <v>0</v>
      </c>
      <c r="AG66" s="331"/>
      <c r="AH66" s="339">
        <f t="shared" si="94"/>
        <v>0</v>
      </c>
      <c r="AI66" s="331"/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26800000</v>
      </c>
      <c r="J67" s="277"/>
      <c r="K67" s="277">
        <f>I67-G67</f>
        <v>-4973200000</v>
      </c>
      <c r="L67" s="278"/>
      <c r="M67" s="279">
        <f>SUM(I67/G67*100)</f>
        <v>0.53600000000000003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/>
      <c r="AF67" s="429"/>
      <c r="AG67" s="428"/>
      <c r="AH67" s="429"/>
      <c r="AI67" s="428"/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26800000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3038392</v>
      </c>
      <c r="J68" s="282"/>
      <c r="K68" s="277">
        <f>I68-G68</f>
        <v>-236961608</v>
      </c>
      <c r="L68" s="281"/>
      <c r="M68" s="279">
        <f>SUM(I68/G68*100)</f>
        <v>1.2659966666666667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/>
      <c r="AB68" s="429"/>
      <c r="AC68" s="428"/>
      <c r="AD68" s="429"/>
      <c r="AE68" s="428"/>
      <c r="AF68" s="429"/>
      <c r="AG68" s="428"/>
      <c r="AH68" s="429"/>
      <c r="AI68" s="428"/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3038392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78413240</v>
      </c>
      <c r="J69" s="286"/>
      <c r="K69" s="277">
        <f>I69-G69</f>
        <v>-521586760</v>
      </c>
      <c r="L69" s="285"/>
      <c r="M69" s="279">
        <f>SUM(I69/G69*100)</f>
        <v>13.068873333333334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/>
      <c r="AB69" s="429"/>
      <c r="AC69" s="428"/>
      <c r="AD69" s="429"/>
      <c r="AE69" s="428"/>
      <c r="AF69" s="429"/>
      <c r="AG69" s="428"/>
      <c r="AH69" s="429"/>
      <c r="AI69" s="428"/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78413240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2778122882</v>
      </c>
      <c r="J70" s="287"/>
      <c r="K70" s="287">
        <f>K9+K67+K68+K69</f>
        <v>-99541877118</v>
      </c>
      <c r="L70" s="287"/>
      <c r="M70" s="287">
        <f>SUM(I70/G70*100)</f>
        <v>2.715131823690383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0</v>
      </c>
      <c r="AB70" s="437">
        <f t="shared" ref="AB70:AD70" si="111">AB9+AB67+AB68+AB69</f>
        <v>0</v>
      </c>
      <c r="AC70" s="437">
        <f>AC9+AC67+AC68+AC69</f>
        <v>0</v>
      </c>
      <c r="AD70" s="437">
        <f t="shared" si="111"/>
        <v>0</v>
      </c>
      <c r="AE70" s="437">
        <f>AE9+AE67+AE68+AE69</f>
        <v>0</v>
      </c>
      <c r="AF70" s="438">
        <f t="shared" ref="AF70:AH70" si="112">AF9+AF67+AF68+AF69</f>
        <v>0</v>
      </c>
      <c r="AG70" s="437">
        <f>AG9+AG67+AG68+AG69</f>
        <v>0</v>
      </c>
      <c r="AH70" s="437">
        <f t="shared" si="112"/>
        <v>0</v>
      </c>
      <c r="AI70" s="437">
        <f>AI9+AI67+AI68+AI69</f>
        <v>0</v>
      </c>
      <c r="AJ70" s="437">
        <f t="shared" ref="AJ70:AV70" si="113">AJ9+AJ67+AJ68+AJ69</f>
        <v>0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2778122882</v>
      </c>
      <c r="AX70" s="440">
        <f>Z70+AB70+AD70+AF70+AH70+AJ70+AL70+AN70+AP70+AR70+AT70+AV70</f>
        <v>601069</v>
      </c>
      <c r="AY70" s="5"/>
      <c r="BB70" s="1"/>
      <c r="BC70" s="1"/>
      <c r="BD70" s="1"/>
      <c r="BE70" s="1"/>
      <c r="BF70" s="1"/>
      <c r="BG70" s="1"/>
    </row>
    <row r="71" spans="1:59" s="4" customFormat="1" x14ac:dyDescent="0.25">
      <c r="A71" s="299"/>
      <c r="B71" s="299"/>
      <c r="C71" s="299"/>
      <c r="D71" s="299"/>
      <c r="E71" s="299"/>
      <c r="F71" s="299"/>
      <c r="G71" s="300"/>
      <c r="H71" s="288"/>
      <c r="I71" s="300"/>
      <c r="J71" s="288"/>
      <c r="K71" s="300"/>
      <c r="L71" s="288"/>
      <c r="M71" s="28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BB71" s="1"/>
      <c r="BC71" s="1"/>
      <c r="BD71" s="1"/>
      <c r="BE71" s="1"/>
      <c r="BF71" s="1"/>
      <c r="BG71" s="1"/>
    </row>
    <row r="72" spans="1:59" s="4" customFormat="1" x14ac:dyDescent="0.25">
      <c r="A72" s="288"/>
      <c r="B72" s="288"/>
      <c r="C72" s="301"/>
      <c r="D72" s="301"/>
      <c r="E72" s="301"/>
      <c r="F72" s="288"/>
      <c r="G72" s="288"/>
      <c r="H72" s="288"/>
      <c r="I72" s="288"/>
      <c r="J72" s="676" t="s">
        <v>231</v>
      </c>
      <c r="K72" s="676"/>
      <c r="L72" s="676"/>
      <c r="M72" s="676"/>
      <c r="T72" s="21"/>
      <c r="U72" s="22"/>
      <c r="V72" s="22"/>
      <c r="W72" s="22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BB72" s="1"/>
      <c r="BC72" s="1"/>
      <c r="BD72" s="1"/>
      <c r="BE72" s="1"/>
      <c r="BF72" s="1"/>
      <c r="BG72" s="1"/>
    </row>
    <row r="73" spans="1:59" s="4" customFormat="1" x14ac:dyDescent="0.25">
      <c r="A73" s="288"/>
      <c r="B73" s="288"/>
      <c r="C73" s="301"/>
      <c r="D73" s="301"/>
      <c r="E73" s="301"/>
      <c r="F73" s="288"/>
      <c r="G73" s="302"/>
      <c r="H73" s="288"/>
      <c r="I73" s="288"/>
      <c r="J73" s="676" t="s">
        <v>201</v>
      </c>
      <c r="K73" s="676"/>
      <c r="L73" s="676"/>
      <c r="M73" s="676"/>
      <c r="T73" s="21"/>
      <c r="U73" s="22"/>
      <c r="V73" s="22"/>
      <c r="W73" s="22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M73" s="6"/>
      <c r="BB73" s="1"/>
      <c r="BC73" s="1"/>
      <c r="BD73" s="1"/>
      <c r="BE73" s="1"/>
      <c r="BF73" s="1"/>
      <c r="BG73" s="1"/>
    </row>
    <row r="74" spans="1:59" s="4" customFormat="1" x14ac:dyDescent="0.25">
      <c r="A74" s="288"/>
      <c r="B74" s="288"/>
      <c r="C74" s="289"/>
      <c r="D74" s="289"/>
      <c r="E74" s="289"/>
      <c r="F74" s="288"/>
      <c r="G74" s="288"/>
      <c r="H74" s="288"/>
      <c r="I74" s="302"/>
      <c r="J74" s="676" t="s">
        <v>20</v>
      </c>
      <c r="K74" s="676"/>
      <c r="L74" s="676"/>
      <c r="M74" s="676"/>
      <c r="T74" s="21"/>
      <c r="U74" s="23"/>
      <c r="V74" s="23"/>
      <c r="W74" s="23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BB74" s="1"/>
      <c r="BC74" s="1"/>
      <c r="BD74" s="1"/>
      <c r="BE74" s="1"/>
      <c r="BF74" s="1"/>
      <c r="BG74" s="1"/>
    </row>
    <row r="75" spans="1:59" s="4" customFormat="1" x14ac:dyDescent="0.25">
      <c r="A75" s="288"/>
      <c r="B75" s="288"/>
      <c r="C75" s="289"/>
      <c r="D75" s="289"/>
      <c r="E75" s="289"/>
      <c r="F75" s="288"/>
      <c r="G75" s="288"/>
      <c r="H75" s="288"/>
      <c r="I75" s="288"/>
      <c r="J75" s="676" t="s">
        <v>53</v>
      </c>
      <c r="K75" s="676"/>
      <c r="L75" s="676"/>
      <c r="M75" s="676"/>
      <c r="T75" s="21"/>
      <c r="U75" s="23"/>
      <c r="V75" s="23"/>
      <c r="W75" s="23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BB75" s="1"/>
      <c r="BC75" s="1"/>
      <c r="BD75" s="1"/>
      <c r="BE75" s="1"/>
      <c r="BF75" s="1"/>
      <c r="BG75" s="1"/>
    </row>
    <row r="76" spans="1:59" s="4" customFormat="1" x14ac:dyDescent="0.25">
      <c r="A76" s="288"/>
      <c r="B76" s="288"/>
      <c r="C76" s="289"/>
      <c r="D76" s="289"/>
      <c r="E76" s="289"/>
      <c r="F76" s="288"/>
      <c r="G76" s="288"/>
      <c r="H76" s="288"/>
      <c r="I76" s="288"/>
      <c r="J76" s="303"/>
      <c r="K76" s="677" t="s">
        <v>54</v>
      </c>
      <c r="L76" s="677"/>
      <c r="M76" s="303"/>
      <c r="T76" s="21"/>
      <c r="U76" s="23"/>
      <c r="V76" s="23"/>
      <c r="W76" s="23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BB76" s="1"/>
      <c r="BC76" s="1"/>
      <c r="BD76" s="1"/>
      <c r="BE76" s="1"/>
      <c r="BF76" s="1"/>
      <c r="BG76" s="1"/>
    </row>
    <row r="77" spans="1:59" s="4" customFormat="1" x14ac:dyDescent="0.25">
      <c r="A77" s="288"/>
      <c r="B77" s="288"/>
      <c r="C77" s="289"/>
      <c r="D77" s="289"/>
      <c r="E77" s="289"/>
      <c r="F77" s="288"/>
      <c r="G77" s="288"/>
      <c r="H77" s="288"/>
      <c r="I77" s="288"/>
      <c r="J77" s="303"/>
      <c r="K77" s="303"/>
      <c r="L77" s="303"/>
      <c r="M77" s="303"/>
      <c r="T77" s="21"/>
      <c r="U77" s="23"/>
      <c r="V77" s="23"/>
      <c r="W77" s="23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BB77" s="1"/>
      <c r="BC77" s="1"/>
      <c r="BD77" s="1"/>
      <c r="BE77" s="1"/>
      <c r="BF77" s="1"/>
      <c r="BG77" s="1"/>
    </row>
    <row r="78" spans="1:59" s="4" customFormat="1" x14ac:dyDescent="0.25">
      <c r="A78" s="288"/>
      <c r="B78" s="288"/>
      <c r="C78" s="289"/>
      <c r="D78" s="289"/>
      <c r="E78" s="289"/>
      <c r="F78" s="288"/>
      <c r="G78" s="288"/>
      <c r="H78" s="288"/>
      <c r="I78" s="288"/>
      <c r="J78" s="303"/>
      <c r="K78" s="303"/>
      <c r="L78" s="303"/>
      <c r="M78" s="303"/>
      <c r="T78" s="21"/>
      <c r="U78" s="23"/>
      <c r="V78" s="23"/>
      <c r="W78" s="23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BB78" s="1"/>
      <c r="BC78" s="1"/>
      <c r="BD78" s="1"/>
      <c r="BE78" s="1"/>
      <c r="BF78" s="1"/>
      <c r="BG78" s="1"/>
    </row>
    <row r="79" spans="1:59" s="4" customFormat="1" ht="15.6" customHeight="1" x14ac:dyDescent="0.25">
      <c r="A79" s="288"/>
      <c r="B79" s="288"/>
      <c r="C79" s="289"/>
      <c r="D79" s="289"/>
      <c r="E79" s="289"/>
      <c r="F79" s="288"/>
      <c r="G79" s="288"/>
      <c r="H79" s="288"/>
      <c r="I79" s="288"/>
      <c r="J79" s="676" t="s">
        <v>198</v>
      </c>
      <c r="K79" s="676"/>
      <c r="L79" s="676"/>
      <c r="M79" s="676"/>
      <c r="T79" s="21"/>
      <c r="U79" s="23"/>
      <c r="V79" s="23"/>
      <c r="W79" s="23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BB79" s="1"/>
      <c r="BC79" s="1"/>
      <c r="BD79" s="1"/>
      <c r="BE79" s="1"/>
      <c r="BF79" s="1"/>
      <c r="BG79" s="1"/>
    </row>
    <row r="80" spans="1:59" s="4" customFormat="1" ht="15.6" customHeight="1" x14ac:dyDescent="0.25">
      <c r="A80" s="288"/>
      <c r="B80" s="288"/>
      <c r="C80" s="288"/>
      <c r="D80" s="288"/>
      <c r="E80" s="288"/>
      <c r="F80" s="288"/>
      <c r="G80" s="288"/>
      <c r="H80" s="288"/>
      <c r="I80" s="288"/>
      <c r="J80" s="676" t="s">
        <v>199</v>
      </c>
      <c r="K80" s="676"/>
      <c r="L80" s="676"/>
      <c r="M80" s="676"/>
      <c r="T80" s="21"/>
      <c r="U80" s="21"/>
      <c r="V80" s="21"/>
      <c r="W80" s="2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BB80" s="1"/>
      <c r="BC80" s="1"/>
      <c r="BD80" s="1"/>
      <c r="BE80" s="1"/>
      <c r="BF80" s="1"/>
      <c r="BG80" s="1"/>
    </row>
    <row r="81" spans="1:13" x14ac:dyDescent="0.25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</row>
    <row r="82" spans="1:13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3:M73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2:M72"/>
    <mergeCell ref="J74:M74"/>
    <mergeCell ref="J75:M75"/>
    <mergeCell ref="K76:L76"/>
    <mergeCell ref="J79:M79"/>
    <mergeCell ref="J80:M80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6313-B404-4A19-BE68-8FD95DA11BA8}">
  <dimension ref="A1:BG82"/>
  <sheetViews>
    <sheetView showOutlineSymbols="0" zoomScale="110" zoomScaleNormal="110" workbookViewId="0">
      <selection activeCell="A2" sqref="A2:M2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6.664062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218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3662588750</v>
      </c>
      <c r="J9" s="165">
        <f t="shared" si="0"/>
        <v>804471</v>
      </c>
      <c r="K9" s="164">
        <f>SUM(K10+K30+K36+K44)</f>
        <v>-92817411250</v>
      </c>
      <c r="L9" s="165">
        <f t="shared" si="0"/>
        <v>-21325744.800000001</v>
      </c>
      <c r="M9" s="166">
        <f>SUM(I9/G9*100)</f>
        <v>3.7962155368988393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0</v>
      </c>
      <c r="AD9" s="312">
        <f t="shared" si="2"/>
        <v>0</v>
      </c>
      <c r="AE9" s="312">
        <f>AE10+AE30+AE36+AE44</f>
        <v>0</v>
      </c>
      <c r="AF9" s="313">
        <f t="shared" ref="AF9:AH9" si="3">AF10+AF30+AF36+AF44</f>
        <v>0</v>
      </c>
      <c r="AG9" s="312">
        <f>AG10+AG30+AG36+AG44</f>
        <v>0</v>
      </c>
      <c r="AH9" s="312">
        <f t="shared" si="3"/>
        <v>0</v>
      </c>
      <c r="AI9" s="312">
        <f>AI10+AI30+AI36+AI44</f>
        <v>0</v>
      </c>
      <c r="AJ9" s="312">
        <f t="shared" ref="AJ9:AV9" si="4">AJ10+AJ30+AJ36+AJ44</f>
        <v>0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3662588750</v>
      </c>
      <c r="AX9" s="315">
        <f t="shared" ref="AX9:AX16" si="6">Z9+AB9+AD9+AF9+AH9+AJ9+AL9+AN9+AP9+AR9+AT9+AV9</f>
        <v>804471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2801032250</v>
      </c>
      <c r="J10" s="171">
        <f t="shared" si="7"/>
        <v>685238</v>
      </c>
      <c r="K10" s="170">
        <f>SUM(K12:K29)</f>
        <v>-72130167750</v>
      </c>
      <c r="L10" s="171">
        <f t="shared" si="7"/>
        <v>-17887060</v>
      </c>
      <c r="M10" s="170">
        <f>SUM(I10/G10*100)</f>
        <v>3.7381387859796722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0</v>
      </c>
      <c r="AD10" s="320">
        <f t="shared" si="9"/>
        <v>0</v>
      </c>
      <c r="AE10" s="320">
        <f>SUM(AE12:AE29)</f>
        <v>0</v>
      </c>
      <c r="AF10" s="321">
        <f t="shared" ref="AF10:AH10" si="10">SUM(AF12:AF29)</f>
        <v>0</v>
      </c>
      <c r="AG10" s="320">
        <f>SUM(AG12:AG29)</f>
        <v>0</v>
      </c>
      <c r="AH10" s="320">
        <f t="shared" si="10"/>
        <v>0</v>
      </c>
      <c r="AI10" s="320">
        <f>SUM(AI12:AI29)</f>
        <v>0</v>
      </c>
      <c r="AJ10" s="320">
        <f t="shared" ref="AJ10:AV10" si="11">SUM(AJ12:AJ29)</f>
        <v>0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2801032250</v>
      </c>
      <c r="AX10" s="323">
        <f t="shared" si="6"/>
        <v>685238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1710084000</v>
      </c>
      <c r="J12" s="184">
        <f>I12/R12</f>
        <v>427521</v>
      </c>
      <c r="K12" s="185">
        <f>I12-G12</f>
        <v>-35689916000</v>
      </c>
      <c r="L12" s="184">
        <f>J12-H12</f>
        <v>-8922479</v>
      </c>
      <c r="M12" s="186">
        <f>SUM(I12/G12*100)</f>
        <v>4.5724171122994655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/>
      <c r="AD12" s="339">
        <f>SUM(AC12/R12)</f>
        <v>0</v>
      </c>
      <c r="AE12" s="338"/>
      <c r="AF12" s="339">
        <f>SUM(AE12/R12)</f>
        <v>0</v>
      </c>
      <c r="AG12" s="338"/>
      <c r="AH12" s="339">
        <f>SUM(AG12/R12)</f>
        <v>0</v>
      </c>
      <c r="AI12" s="338"/>
      <c r="AJ12" s="339">
        <f>SUM(AI12/R12)</f>
        <v>0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1710084000</v>
      </c>
      <c r="AX12" s="341">
        <f t="shared" si="6"/>
        <v>427521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416523000</v>
      </c>
      <c r="J13" s="190">
        <f t="shared" ref="J13:J29" si="14">I13/R13</f>
        <v>138841</v>
      </c>
      <c r="K13" s="191">
        <f t="shared" ref="K13:L29" si="15">I13-G13</f>
        <v>-10833477000</v>
      </c>
      <c r="L13" s="190">
        <f t="shared" si="15"/>
        <v>-3611159</v>
      </c>
      <c r="M13" s="192">
        <f t="shared" ref="M13:M28" si="16">SUM(I13/G13*100)</f>
        <v>3.7024266666666668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/>
      <c r="AD13" s="339">
        <f>SUM(AC13/R13)</f>
        <v>0</v>
      </c>
      <c r="AE13" s="338"/>
      <c r="AF13" s="339">
        <f>SUM(AE13/R13)</f>
        <v>0</v>
      </c>
      <c r="AG13" s="338"/>
      <c r="AH13" s="339">
        <f>SUM(AG13/R13)</f>
        <v>0</v>
      </c>
      <c r="AI13" s="338"/>
      <c r="AJ13" s="339">
        <f>SUM(AI13/R13)</f>
        <v>0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416523000</v>
      </c>
      <c r="AX13" s="341">
        <f t="shared" si="6"/>
        <v>138841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3384000</v>
      </c>
      <c r="J15" s="190">
        <f t="shared" si="14"/>
        <v>1128</v>
      </c>
      <c r="K15" s="191">
        <f t="shared" si="15"/>
        <v>-206616000</v>
      </c>
      <c r="L15" s="190">
        <f t="shared" si="15"/>
        <v>-68872</v>
      </c>
      <c r="M15" s="192">
        <f t="shared" si="16"/>
        <v>1.6114285714285712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/>
      <c r="AD15" s="339">
        <f>SUM(AC15/R15)</f>
        <v>0</v>
      </c>
      <c r="AE15" s="338"/>
      <c r="AF15" s="339">
        <f>SUM(AE15/R15)</f>
        <v>0</v>
      </c>
      <c r="AG15" s="338"/>
      <c r="AH15" s="339">
        <f>SUM(AG15/R15)</f>
        <v>0</v>
      </c>
      <c r="AI15" s="338"/>
      <c r="AJ15" s="339">
        <f>SUM(AI15/R15)</f>
        <v>0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3384000</v>
      </c>
      <c r="AX15" s="341">
        <f t="shared" si="6"/>
        <v>1128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9416250</v>
      </c>
      <c r="J16" s="197">
        <f t="shared" si="14"/>
        <v>4185</v>
      </c>
      <c r="K16" s="198">
        <f t="shared" si="15"/>
        <v>-214582500</v>
      </c>
      <c r="L16" s="197">
        <f t="shared" si="15"/>
        <v>-95370</v>
      </c>
      <c r="M16" s="199">
        <f t="shared" si="16"/>
        <v>4.2037064938978457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/>
      <c r="AD16" s="339">
        <f>SUM(AC16/R16)</f>
        <v>0</v>
      </c>
      <c r="AE16" s="338"/>
      <c r="AF16" s="339">
        <f>SUM(AE16/R16)</f>
        <v>0</v>
      </c>
      <c r="AG16" s="338"/>
      <c r="AH16" s="339">
        <f>SUM(AG16/R16)</f>
        <v>0</v>
      </c>
      <c r="AI16" s="338"/>
      <c r="AJ16" s="339">
        <f>SUM(AI16/R16)</f>
        <v>0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9416250</v>
      </c>
      <c r="AX16" s="356">
        <f t="shared" si="6"/>
        <v>4185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/>
      <c r="AD19" s="339">
        <f>SUM(AC19/R19)</f>
        <v>0</v>
      </c>
      <c r="AE19" s="338"/>
      <c r="AF19" s="339">
        <f>SUM(AE19/R19)</f>
        <v>0</v>
      </c>
      <c r="AG19" s="338"/>
      <c r="AH19" s="339">
        <f>SUM(AG19/R19)</f>
        <v>0</v>
      </c>
      <c r="AI19" s="338"/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/>
      <c r="AD20" s="339">
        <f t="shared" ref="AD20:AD22" si="23">SUM(AC20/R20)</f>
        <v>0</v>
      </c>
      <c r="AE20" s="338"/>
      <c r="AF20" s="339">
        <f t="shared" ref="AF20:AF29" si="24">SUM(AE20/R20)</f>
        <v>0</v>
      </c>
      <c r="AG20" s="338"/>
      <c r="AH20" s="339">
        <f t="shared" ref="AH20:AH22" si="25">SUM(AG20/R20)</f>
        <v>0</v>
      </c>
      <c r="AI20" s="338"/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/>
      <c r="AD21" s="339">
        <f t="shared" si="23"/>
        <v>0</v>
      </c>
      <c r="AE21" s="338"/>
      <c r="AF21" s="339">
        <f t="shared" si="24"/>
        <v>0</v>
      </c>
      <c r="AG21" s="338"/>
      <c r="AH21" s="339">
        <f t="shared" si="25"/>
        <v>0</v>
      </c>
      <c r="AI21" s="338"/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79115000</v>
      </c>
      <c r="J22" s="190">
        <f t="shared" si="14"/>
        <v>31646</v>
      </c>
      <c r="K22" s="191">
        <f t="shared" si="15"/>
        <v>-6081617500</v>
      </c>
      <c r="L22" s="190">
        <f t="shared" si="15"/>
        <v>-2432647</v>
      </c>
      <c r="M22" s="192">
        <f t="shared" si="16"/>
        <v>1.2841817105352327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/>
      <c r="AD22" s="339">
        <f t="shared" si="23"/>
        <v>0</v>
      </c>
      <c r="AE22" s="338"/>
      <c r="AF22" s="339">
        <f t="shared" si="24"/>
        <v>0</v>
      </c>
      <c r="AG22" s="338"/>
      <c r="AH22" s="339">
        <f t="shared" si="25"/>
        <v>0</v>
      </c>
      <c r="AI22" s="338"/>
      <c r="AJ22" s="339">
        <f t="shared" si="26"/>
        <v>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79115000</v>
      </c>
      <c r="AX22" s="341">
        <f t="shared" si="19"/>
        <v>31646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122166000</v>
      </c>
      <c r="J24" s="190">
        <f t="shared" si="14"/>
        <v>20361</v>
      </c>
      <c r="K24" s="191">
        <f t="shared" si="15"/>
        <v>-5877834000</v>
      </c>
      <c r="L24" s="190">
        <f t="shared" si="15"/>
        <v>-979639</v>
      </c>
      <c r="M24" s="192">
        <f t="shared" si="16"/>
        <v>2.0361000000000002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/>
      <c r="AD24" s="339">
        <f>SUM(AC24/R24)</f>
        <v>0</v>
      </c>
      <c r="AE24" s="331"/>
      <c r="AF24" s="339">
        <f t="shared" si="24"/>
        <v>0</v>
      </c>
      <c r="AG24" s="331"/>
      <c r="AH24" s="339">
        <f>SUM(AG24/R24)</f>
        <v>0</v>
      </c>
      <c r="AI24" s="331"/>
      <c r="AJ24" s="339">
        <f>SUM(AI24/R24)</f>
        <v>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122166000</v>
      </c>
      <c r="AX24" s="341">
        <f t="shared" si="19"/>
        <v>20361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458355000</v>
      </c>
      <c r="J25" s="190">
        <f t="shared" si="14"/>
        <v>61114</v>
      </c>
      <c r="K25" s="191">
        <f t="shared" si="15"/>
        <v>-13041645000</v>
      </c>
      <c r="L25" s="190">
        <f t="shared" si="15"/>
        <v>-1738886</v>
      </c>
      <c r="M25" s="192">
        <f t="shared" si="16"/>
        <v>3.3952222222222224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/>
      <c r="AD25" s="339">
        <f>SUM(AC25/R25)</f>
        <v>0</v>
      </c>
      <c r="AE25" s="331"/>
      <c r="AF25" s="339">
        <f t="shared" si="24"/>
        <v>0</v>
      </c>
      <c r="AG25" s="331"/>
      <c r="AH25" s="339">
        <f>SUM(AG25/R25)</f>
        <v>0</v>
      </c>
      <c r="AI25" s="331"/>
      <c r="AJ25" s="339">
        <f>SUM(AI25/R25)</f>
        <v>0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458355000</v>
      </c>
      <c r="AX25" s="341">
        <f t="shared" si="19"/>
        <v>61114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1989000</v>
      </c>
      <c r="J27" s="190">
        <f t="shared" si="14"/>
        <v>442</v>
      </c>
      <c r="K27" s="191">
        <f t="shared" si="15"/>
        <v>-117261000</v>
      </c>
      <c r="L27" s="190">
        <f t="shared" si="15"/>
        <v>-26058</v>
      </c>
      <c r="M27" s="192">
        <f t="shared" si="16"/>
        <v>1.6679245283018869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/>
      <c r="AD27" s="339">
        <f>SUM(AC27/R27)</f>
        <v>0</v>
      </c>
      <c r="AE27" s="331"/>
      <c r="AF27" s="339">
        <f t="shared" si="24"/>
        <v>0</v>
      </c>
      <c r="AG27" s="331"/>
      <c r="AH27" s="339">
        <f>SUM(AG27/R27)</f>
        <v>0</v>
      </c>
      <c r="AI27" s="331"/>
      <c r="AJ27" s="339">
        <f>SUM(AI27/R27)</f>
        <v>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1989000</v>
      </c>
      <c r="AX27" s="341">
        <f t="shared" si="19"/>
        <v>442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0</v>
      </c>
      <c r="J28" s="190">
        <f t="shared" si="14"/>
        <v>0</v>
      </c>
      <c r="K28" s="191">
        <f t="shared" si="15"/>
        <v>-67218750</v>
      </c>
      <c r="L28" s="190">
        <f t="shared" si="15"/>
        <v>-11950</v>
      </c>
      <c r="M28" s="192">
        <f t="shared" si="16"/>
        <v>0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/>
      <c r="AD28" s="339">
        <f>SUM(AC28/R28)</f>
        <v>0</v>
      </c>
      <c r="AE28" s="331"/>
      <c r="AF28" s="339">
        <f t="shared" si="24"/>
        <v>0</v>
      </c>
      <c r="AG28" s="331"/>
      <c r="AH28" s="339">
        <f t="shared" ref="AH28:AH29" si="35">SUM(AG28/R28)</f>
        <v>0</v>
      </c>
      <c r="AI28" s="331"/>
      <c r="AJ28" s="339">
        <f t="shared" ref="AJ28:AJ29" si="36">SUM(AI28/R28)</f>
        <v>0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0</v>
      </c>
      <c r="AX28" s="341">
        <f t="shared" si="19"/>
        <v>0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/>
      <c r="AD29" s="339">
        <f>SUM(AC29/R29)</f>
        <v>0</v>
      </c>
      <c r="AE29" s="338"/>
      <c r="AF29" s="339">
        <f t="shared" si="24"/>
        <v>0</v>
      </c>
      <c r="AG29" s="338"/>
      <c r="AH29" s="339">
        <f t="shared" si="35"/>
        <v>0</v>
      </c>
      <c r="AI29" s="338"/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347775000</v>
      </c>
      <c r="J30" s="219">
        <f t="shared" si="40"/>
        <v>9283</v>
      </c>
      <c r="K30" s="218">
        <f>SUM(K32:K35)</f>
        <v>-5148525000</v>
      </c>
      <c r="L30" s="218">
        <f t="shared" si="40"/>
        <v>-150525.79999999999</v>
      </c>
      <c r="M30" s="220">
        <f>SUM(I30/G30*100)</f>
        <v>6.3274384585994214</v>
      </c>
      <c r="N30" s="6" t="s">
        <v>69</v>
      </c>
      <c r="O30" s="488">
        <f>SUM(G19:G29)</f>
        <v>25847201250</v>
      </c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0</v>
      </c>
      <c r="AD30" s="373">
        <f t="shared" si="42"/>
        <v>0</v>
      </c>
      <c r="AE30" s="373">
        <f>SUM(AE32:AE35)</f>
        <v>0</v>
      </c>
      <c r="AF30" s="373">
        <f t="shared" ref="AF30:AH30" si="43">SUM(AF32:AF35)</f>
        <v>0</v>
      </c>
      <c r="AG30" s="373">
        <f>SUM(AG32:AG35)</f>
        <v>0</v>
      </c>
      <c r="AH30" s="373">
        <f t="shared" si="43"/>
        <v>0</v>
      </c>
      <c r="AI30" s="373">
        <f>SUM(AI32:AI35)</f>
        <v>0</v>
      </c>
      <c r="AJ30" s="373">
        <f t="shared" ref="AJ30:AV30" si="44">SUM(AJ32:AJ35)</f>
        <v>0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347775000</v>
      </c>
      <c r="AX30" s="375">
        <f t="shared" si="19"/>
        <v>9283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49830000</v>
      </c>
      <c r="J33" s="190">
        <f t="shared" ref="J33:J35" si="46">I33/R33</f>
        <v>4983</v>
      </c>
      <c r="K33" s="191">
        <f t="shared" ref="K33:L35" si="47">I33-G33</f>
        <v>-762670000</v>
      </c>
      <c r="L33" s="190">
        <f t="shared" si="47"/>
        <v>-76267</v>
      </c>
      <c r="M33" s="192">
        <f>SUM(I33/G33*100)</f>
        <v>6.1329230769230767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/>
      <c r="AD33" s="339">
        <f>SUM(AC33/R33)</f>
        <v>0</v>
      </c>
      <c r="AE33" s="338"/>
      <c r="AF33" s="339">
        <f t="shared" ref="AF33:AF35" si="48">SUM(AE33/R33)</f>
        <v>0</v>
      </c>
      <c r="AG33" s="338"/>
      <c r="AH33" s="339">
        <f>SUM(AG33/R33)</f>
        <v>0</v>
      </c>
      <c r="AI33" s="338"/>
      <c r="AJ33" s="339">
        <f>SUM(AI33/R33)</f>
        <v>0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49830000</v>
      </c>
      <c r="AX33" s="341">
        <f>Z33+AB33+AD33+AF33+AH33+AJ33+AL33+AN33+AP33+AR33+AT33+AV33</f>
        <v>4983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60945000</v>
      </c>
      <c r="J34" s="190">
        <f t="shared" si="46"/>
        <v>4063</v>
      </c>
      <c r="K34" s="191">
        <f t="shared" si="47"/>
        <v>-1064055000</v>
      </c>
      <c r="L34" s="190">
        <f t="shared" si="47"/>
        <v>-70937</v>
      </c>
      <c r="M34" s="192">
        <f t="shared" ref="M34:M35" si="52">SUM(I34/G34*100)</f>
        <v>5.4173333333333327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/>
      <c r="AD34" s="339">
        <f t="shared" ref="AD34:AD35" si="55">SUM(AC34/R34)</f>
        <v>0</v>
      </c>
      <c r="AE34" s="338"/>
      <c r="AF34" s="339">
        <f t="shared" si="48"/>
        <v>0</v>
      </c>
      <c r="AG34" s="338"/>
      <c r="AH34" s="339">
        <f t="shared" ref="AH34:AH35" si="56">SUM(AG34/R34)</f>
        <v>0</v>
      </c>
      <c r="AI34" s="338"/>
      <c r="AJ34" s="339">
        <f t="shared" ref="AJ34:AJ35" si="57">SUM(AI34/R34)</f>
        <v>0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60945000</v>
      </c>
      <c r="AX34" s="341">
        <f>Z34+AB34+AD34+AF34+AH34+AJ34+AL34+AN34+AP34+AR34+AT34+AV34</f>
        <v>4063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237000000</v>
      </c>
      <c r="J35" s="190">
        <f t="shared" si="46"/>
        <v>237</v>
      </c>
      <c r="K35" s="191">
        <f t="shared" si="47"/>
        <v>-3321800000</v>
      </c>
      <c r="L35" s="190">
        <f t="shared" si="47"/>
        <v>-3321.8</v>
      </c>
      <c r="M35" s="192">
        <f t="shared" si="52"/>
        <v>6.6595481623018999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/>
      <c r="AD35" s="339">
        <f t="shared" si="55"/>
        <v>0</v>
      </c>
      <c r="AE35" s="338"/>
      <c r="AF35" s="339">
        <f t="shared" si="48"/>
        <v>0</v>
      </c>
      <c r="AG35" s="338"/>
      <c r="AH35" s="339">
        <f t="shared" si="56"/>
        <v>0</v>
      </c>
      <c r="AI35" s="338"/>
      <c r="AJ35" s="339">
        <f t="shared" si="57"/>
        <v>0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237000000</v>
      </c>
      <c r="AX35" s="341">
        <f>Z35+AB35+AD35+AF35+AH35+AJ35+AL35+AN35+AP35+AR35+AT35+AV35</f>
        <v>237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427691500</v>
      </c>
      <c r="J36" s="219">
        <f t="shared" si="61"/>
        <v>102787</v>
      </c>
      <c r="K36" s="218">
        <f t="shared" si="61"/>
        <v>-12076308500</v>
      </c>
      <c r="L36" s="218">
        <f t="shared" si="61"/>
        <v>-2916401</v>
      </c>
      <c r="M36" s="218">
        <f>SUM(I36/G36*100)</f>
        <v>3.4204374600127956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0</v>
      </c>
      <c r="AD36" s="373">
        <f t="shared" si="63"/>
        <v>0</v>
      </c>
      <c r="AE36" s="373">
        <f>SUM(AE38:AE43)</f>
        <v>0</v>
      </c>
      <c r="AF36" s="373">
        <f t="shared" ref="AF36:AH36" si="64">SUM(AF38:AF43)</f>
        <v>0</v>
      </c>
      <c r="AG36" s="373">
        <f>SUM(AG38:AG43)</f>
        <v>0</v>
      </c>
      <c r="AH36" s="373">
        <f t="shared" si="64"/>
        <v>0</v>
      </c>
      <c r="AI36" s="373">
        <f>SUM(AI38:AI43)</f>
        <v>0</v>
      </c>
      <c r="AJ36" s="373">
        <f t="shared" ref="AJ36:AV36" si="65">SUM(AJ38:AJ43)</f>
        <v>0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427691500</v>
      </c>
      <c r="AX36" s="393">
        <f>Z36+AB36+AD36+AF36+AH36+AJ36+AL36+AN36+AP36+AR36+AT36+AV36</f>
        <v>102787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10665000</v>
      </c>
      <c r="J39" s="190">
        <f t="shared" ref="J39:J43" si="69">I39/R39</f>
        <v>711</v>
      </c>
      <c r="K39" s="191">
        <f t="shared" ref="K39:L43" si="70">I39-G39</f>
        <v>-349335000</v>
      </c>
      <c r="L39" s="190">
        <f t="shared" si="70"/>
        <v>-23289</v>
      </c>
      <c r="M39" s="192">
        <f>SUM(I39/G39*100)</f>
        <v>2.9624999999999999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/>
      <c r="AD39" s="399">
        <f>SUM(AC39/R39)</f>
        <v>0</v>
      </c>
      <c r="AE39" s="331"/>
      <c r="AF39" s="399">
        <f t="shared" ref="AF39:AF43" si="72">SUM(AE39/R39)</f>
        <v>0</v>
      </c>
      <c r="AG39" s="331"/>
      <c r="AH39" s="399">
        <f>SUM(AG39/R39)</f>
        <v>0</v>
      </c>
      <c r="AI39" s="331"/>
      <c r="AJ39" s="399">
        <f>SUM(AI39/R39)</f>
        <v>0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10665000</v>
      </c>
      <c r="AX39" s="341">
        <f t="shared" si="67"/>
        <v>711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4262500</v>
      </c>
      <c r="J40" s="190">
        <f t="shared" si="69"/>
        <v>341</v>
      </c>
      <c r="K40" s="191">
        <f t="shared" si="70"/>
        <v>-39737500</v>
      </c>
      <c r="L40" s="190">
        <f t="shared" si="70"/>
        <v>-3179</v>
      </c>
      <c r="M40" s="192">
        <f t="shared" ref="M40:M43" si="76">SUM(I40/G40*100)</f>
        <v>9.6875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8"/>
      <c r="AD40" s="339">
        <f t="shared" ref="AD40:AD43" si="77">SUM(AC40/R40)</f>
        <v>0</v>
      </c>
      <c r="AE40" s="338"/>
      <c r="AF40" s="339">
        <f t="shared" si="72"/>
        <v>0</v>
      </c>
      <c r="AG40" s="338"/>
      <c r="AH40" s="339">
        <f t="shared" ref="AH40:AH43" si="78">SUM(AG40/R40)</f>
        <v>0</v>
      </c>
      <c r="AI40" s="331"/>
      <c r="AJ40" s="339">
        <f t="shared" ref="AJ40:AJ43" si="79">SUM(AI40/R40)</f>
        <v>0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4262500</v>
      </c>
      <c r="AX40" s="341">
        <f t="shared" si="67"/>
        <v>341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226662000</v>
      </c>
      <c r="J41" s="190">
        <f t="shared" si="69"/>
        <v>37777</v>
      </c>
      <c r="K41" s="191">
        <f t="shared" si="70"/>
        <v>-6523338000</v>
      </c>
      <c r="L41" s="190">
        <f t="shared" si="70"/>
        <v>-1087223</v>
      </c>
      <c r="M41" s="192">
        <f t="shared" si="76"/>
        <v>3.3579555555555558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8"/>
      <c r="AD41" s="339">
        <f t="shared" si="77"/>
        <v>0</v>
      </c>
      <c r="AE41" s="338"/>
      <c r="AF41" s="339">
        <f t="shared" si="72"/>
        <v>0</v>
      </c>
      <c r="AG41" s="338"/>
      <c r="AH41" s="339">
        <f t="shared" si="78"/>
        <v>0</v>
      </c>
      <c r="AI41" s="331"/>
      <c r="AJ41" s="339">
        <f t="shared" si="79"/>
        <v>0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226662000</v>
      </c>
      <c r="AX41" s="341">
        <f t="shared" si="67"/>
        <v>37777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183216000</v>
      </c>
      <c r="J42" s="190">
        <f t="shared" si="69"/>
        <v>61072</v>
      </c>
      <c r="K42" s="191">
        <f t="shared" si="70"/>
        <v>-5041782000</v>
      </c>
      <c r="L42" s="190">
        <f t="shared" si="70"/>
        <v>-1680594</v>
      </c>
      <c r="M42" s="192">
        <f t="shared" si="76"/>
        <v>3.506527658001017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8"/>
      <c r="AD42" s="339">
        <f t="shared" si="77"/>
        <v>0</v>
      </c>
      <c r="AE42" s="338"/>
      <c r="AF42" s="339">
        <f t="shared" si="72"/>
        <v>0</v>
      </c>
      <c r="AG42" s="338"/>
      <c r="AH42" s="339">
        <f t="shared" si="78"/>
        <v>0</v>
      </c>
      <c r="AI42" s="331"/>
      <c r="AJ42" s="339">
        <f t="shared" si="79"/>
        <v>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183216000</v>
      </c>
      <c r="AX42" s="341">
        <f t="shared" si="67"/>
        <v>61072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2886000</v>
      </c>
      <c r="J43" s="190">
        <f t="shared" si="69"/>
        <v>2886</v>
      </c>
      <c r="K43" s="191">
        <f t="shared" si="70"/>
        <v>-122116000</v>
      </c>
      <c r="L43" s="190">
        <f t="shared" si="70"/>
        <v>-122116</v>
      </c>
      <c r="M43" s="192">
        <f t="shared" si="76"/>
        <v>2.3087630597910436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405"/>
      <c r="AD43" s="406">
        <f t="shared" si="77"/>
        <v>0</v>
      </c>
      <c r="AE43" s="405"/>
      <c r="AF43" s="339">
        <f t="shared" si="72"/>
        <v>0</v>
      </c>
      <c r="AG43" s="338"/>
      <c r="AH43" s="339">
        <f t="shared" si="78"/>
        <v>0</v>
      </c>
      <c r="AI43" s="331"/>
      <c r="AJ43" s="339">
        <f t="shared" si="79"/>
        <v>0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2886000</v>
      </c>
      <c r="AX43" s="356">
        <f t="shared" si="67"/>
        <v>2886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86090000</v>
      </c>
      <c r="J44" s="257">
        <f t="shared" si="84"/>
        <v>7163</v>
      </c>
      <c r="K44" s="256">
        <f t="shared" si="84"/>
        <v>-3462410000</v>
      </c>
      <c r="L44" s="257">
        <f t="shared" si="84"/>
        <v>-371758</v>
      </c>
      <c r="M44" s="256">
        <f>SUM(I44/G44*100)</f>
        <v>2.4260955333239398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0</v>
      </c>
      <c r="AD44" s="408">
        <f t="shared" si="86"/>
        <v>0</v>
      </c>
      <c r="AE44" s="408">
        <f>SUM(AE46:AE66)</f>
        <v>0</v>
      </c>
      <c r="AF44" s="408">
        <f t="shared" ref="AF44:AH44" si="87">SUM(AF46:AF66)</f>
        <v>0</v>
      </c>
      <c r="AG44" s="408">
        <f>SUM(AG46:AG66)</f>
        <v>0</v>
      </c>
      <c r="AH44" s="408">
        <f t="shared" si="87"/>
        <v>0</v>
      </c>
      <c r="AI44" s="408">
        <f>SUM(AI46:AI66)</f>
        <v>0</v>
      </c>
      <c r="AJ44" s="408">
        <f t="shared" ref="AJ44:AV44" si="88">SUM(AJ46:AJ66)</f>
        <v>0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86090000</v>
      </c>
      <c r="AX44" s="360">
        <f t="shared" si="67"/>
        <v>7163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/>
      <c r="AD47" s="415">
        <f>SUM(AC47/R47)</f>
        <v>0</v>
      </c>
      <c r="AE47" s="331"/>
      <c r="AF47" s="339">
        <f t="shared" ref="AF47:AF66" si="93">SUM(AE47/R47)</f>
        <v>0</v>
      </c>
      <c r="AG47" s="331"/>
      <c r="AH47" s="339">
        <f t="shared" ref="AH47:AH66" si="94">SUM(AG47/R47)</f>
        <v>0</v>
      </c>
      <c r="AI47" s="331"/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/>
      <c r="AD48" s="399">
        <f t="shared" ref="AD48:AD66" si="103">SUM(AC48/R48)</f>
        <v>0</v>
      </c>
      <c r="AE48" s="331"/>
      <c r="AF48" s="339">
        <f t="shared" si="93"/>
        <v>0</v>
      </c>
      <c r="AG48" s="331"/>
      <c r="AH48" s="339">
        <f t="shared" si="94"/>
        <v>0</v>
      </c>
      <c r="AI48" s="331"/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/>
      <c r="AD49" s="399">
        <f t="shared" si="103"/>
        <v>0</v>
      </c>
      <c r="AE49" s="331"/>
      <c r="AF49" s="339">
        <f t="shared" si="93"/>
        <v>0</v>
      </c>
      <c r="AG49" s="331"/>
      <c r="AH49" s="339">
        <f t="shared" si="94"/>
        <v>0</v>
      </c>
      <c r="AI49" s="331"/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/>
      <c r="AD50" s="399">
        <f t="shared" si="103"/>
        <v>0</v>
      </c>
      <c r="AE50" s="331"/>
      <c r="AF50" s="339">
        <f t="shared" si="93"/>
        <v>0</v>
      </c>
      <c r="AG50" s="331"/>
      <c r="AH50" s="339">
        <f t="shared" si="94"/>
        <v>0</v>
      </c>
      <c r="AI50" s="331"/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0</v>
      </c>
      <c r="J51" s="190">
        <f t="shared" si="90"/>
        <v>0</v>
      </c>
      <c r="K51" s="191">
        <f t="shared" si="100"/>
        <v>-13500000</v>
      </c>
      <c r="L51" s="190">
        <f t="shared" si="91"/>
        <v>-18</v>
      </c>
      <c r="M51" s="192">
        <f t="shared" si="101"/>
        <v>0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/>
      <c r="AD51" s="399">
        <f t="shared" si="103"/>
        <v>0</v>
      </c>
      <c r="AE51" s="331"/>
      <c r="AF51" s="339">
        <f t="shared" si="93"/>
        <v>0</v>
      </c>
      <c r="AG51" s="331"/>
      <c r="AH51" s="339">
        <f t="shared" si="94"/>
        <v>0</v>
      </c>
      <c r="AI51" s="331"/>
      <c r="AJ51" s="339">
        <f t="shared" si="104"/>
        <v>0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0</v>
      </c>
      <c r="AX51" s="341">
        <f t="shared" si="98"/>
        <v>0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/>
      <c r="AD52" s="399">
        <f t="shared" si="103"/>
        <v>0</v>
      </c>
      <c r="AE52" s="331"/>
      <c r="AF52" s="339">
        <f t="shared" si="93"/>
        <v>0</v>
      </c>
      <c r="AG52" s="331"/>
      <c r="AH52" s="339">
        <f t="shared" si="94"/>
        <v>0</v>
      </c>
      <c r="AI52" s="331"/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0</v>
      </c>
      <c r="J53" s="190">
        <f t="shared" si="90"/>
        <v>0</v>
      </c>
      <c r="K53" s="191">
        <f t="shared" si="100"/>
        <v>-4250000</v>
      </c>
      <c r="L53" s="190">
        <f t="shared" si="91"/>
        <v>-17</v>
      </c>
      <c r="M53" s="192">
        <f t="shared" si="101"/>
        <v>0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/>
      <c r="AD53" s="399">
        <f t="shared" si="103"/>
        <v>0</v>
      </c>
      <c r="AE53" s="331"/>
      <c r="AF53" s="339">
        <f t="shared" si="93"/>
        <v>0</v>
      </c>
      <c r="AG53" s="331"/>
      <c r="AH53" s="339">
        <f t="shared" si="94"/>
        <v>0</v>
      </c>
      <c r="AI53" s="331"/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0</v>
      </c>
      <c r="AX53" s="341">
        <f t="shared" si="98"/>
        <v>0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7600000</v>
      </c>
      <c r="J54" s="190">
        <f t="shared" si="90"/>
        <v>3800</v>
      </c>
      <c r="K54" s="191">
        <f t="shared" si="100"/>
        <v>-692400000</v>
      </c>
      <c r="L54" s="190">
        <f t="shared" si="91"/>
        <v>-346200</v>
      </c>
      <c r="M54" s="192">
        <f t="shared" si="101"/>
        <v>1.0857142857142856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/>
      <c r="AD54" s="399">
        <f t="shared" si="103"/>
        <v>0</v>
      </c>
      <c r="AE54" s="331"/>
      <c r="AF54" s="339">
        <f t="shared" si="93"/>
        <v>0</v>
      </c>
      <c r="AG54" s="331"/>
      <c r="AH54" s="339">
        <f t="shared" si="94"/>
        <v>0</v>
      </c>
      <c r="AI54" s="331"/>
      <c r="AJ54" s="339">
        <f t="shared" si="104"/>
        <v>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7600000</v>
      </c>
      <c r="AX54" s="341">
        <f t="shared" si="98"/>
        <v>3800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200000</v>
      </c>
      <c r="J55" s="190">
        <f t="shared" si="90"/>
        <v>2</v>
      </c>
      <c r="K55" s="191">
        <f t="shared" si="100"/>
        <v>-14800000</v>
      </c>
      <c r="L55" s="190">
        <f t="shared" si="91"/>
        <v>-148</v>
      </c>
      <c r="M55" s="192">
        <f t="shared" si="101"/>
        <v>1.3333333333333335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/>
      <c r="AD55" s="399">
        <f t="shared" si="103"/>
        <v>0</v>
      </c>
      <c r="AE55" s="331"/>
      <c r="AF55" s="339">
        <f t="shared" si="93"/>
        <v>0</v>
      </c>
      <c r="AG55" s="331"/>
      <c r="AH55" s="339">
        <f t="shared" si="94"/>
        <v>0</v>
      </c>
      <c r="AI55" s="331"/>
      <c r="AJ55" s="339">
        <f t="shared" si="104"/>
        <v>0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200000</v>
      </c>
      <c r="AX55" s="341">
        <f t="shared" si="98"/>
        <v>2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7600000</v>
      </c>
      <c r="J56" s="190">
        <f t="shared" si="90"/>
        <v>76</v>
      </c>
      <c r="K56" s="191">
        <f t="shared" si="100"/>
        <v>-167400000</v>
      </c>
      <c r="L56" s="190">
        <f t="shared" si="91"/>
        <v>-1674</v>
      </c>
      <c r="M56" s="192">
        <f t="shared" si="101"/>
        <v>4.3428571428571425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/>
      <c r="AD56" s="399">
        <f t="shared" si="103"/>
        <v>0</v>
      </c>
      <c r="AE56" s="331"/>
      <c r="AF56" s="339">
        <f t="shared" si="93"/>
        <v>0</v>
      </c>
      <c r="AG56" s="331"/>
      <c r="AH56" s="339">
        <f t="shared" si="94"/>
        <v>0</v>
      </c>
      <c r="AI56" s="331"/>
      <c r="AJ56" s="339">
        <f t="shared" si="104"/>
        <v>0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7600000</v>
      </c>
      <c r="AX56" s="341">
        <f t="shared" si="98"/>
        <v>76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31750000</v>
      </c>
      <c r="J57" s="190">
        <f t="shared" si="90"/>
        <v>127</v>
      </c>
      <c r="K57" s="191">
        <f t="shared" si="100"/>
        <v>-1343250000</v>
      </c>
      <c r="L57" s="190">
        <f t="shared" si="91"/>
        <v>-5373</v>
      </c>
      <c r="M57" s="192">
        <f t="shared" si="101"/>
        <v>2.3090909090909091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/>
      <c r="AD57" s="399">
        <f t="shared" si="103"/>
        <v>0</v>
      </c>
      <c r="AE57" s="331"/>
      <c r="AF57" s="339">
        <f t="shared" si="93"/>
        <v>0</v>
      </c>
      <c r="AG57" s="331"/>
      <c r="AH57" s="339">
        <f t="shared" si="94"/>
        <v>0</v>
      </c>
      <c r="AI57" s="331"/>
      <c r="AJ57" s="339">
        <f t="shared" si="104"/>
        <v>0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31750000</v>
      </c>
      <c r="AX57" s="341">
        <f t="shared" si="98"/>
        <v>127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/>
      <c r="AD58" s="399">
        <f t="shared" si="103"/>
        <v>0</v>
      </c>
      <c r="AE58" s="331"/>
      <c r="AF58" s="339">
        <f t="shared" si="93"/>
        <v>0</v>
      </c>
      <c r="AG58" s="331"/>
      <c r="AH58" s="339">
        <f t="shared" si="94"/>
        <v>0</v>
      </c>
      <c r="AI58" s="331"/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3000000</v>
      </c>
      <c r="J59" s="190">
        <f t="shared" si="90"/>
        <v>4</v>
      </c>
      <c r="K59" s="191">
        <f t="shared" si="100"/>
        <v>-360750000</v>
      </c>
      <c r="L59" s="190">
        <f t="shared" si="91"/>
        <v>-481</v>
      </c>
      <c r="M59" s="192">
        <f t="shared" si="101"/>
        <v>0.82474226804123718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/>
      <c r="AD59" s="399">
        <f t="shared" si="103"/>
        <v>0</v>
      </c>
      <c r="AE59" s="331"/>
      <c r="AF59" s="339">
        <f t="shared" si="93"/>
        <v>0</v>
      </c>
      <c r="AG59" s="331"/>
      <c r="AH59" s="339">
        <f t="shared" si="94"/>
        <v>0</v>
      </c>
      <c r="AI59" s="331"/>
      <c r="AJ59" s="339">
        <f t="shared" si="104"/>
        <v>0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3000000</v>
      </c>
      <c r="AX59" s="341">
        <f t="shared" si="98"/>
        <v>4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3000000</v>
      </c>
      <c r="J60" s="190">
        <f t="shared" si="90"/>
        <v>3</v>
      </c>
      <c r="K60" s="191">
        <f t="shared" si="100"/>
        <v>-384000000</v>
      </c>
      <c r="L60" s="190">
        <f t="shared" si="91"/>
        <v>-384</v>
      </c>
      <c r="M60" s="192">
        <f t="shared" si="101"/>
        <v>0.77519379844961245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/>
      <c r="AD60" s="399">
        <f t="shared" si="103"/>
        <v>0</v>
      </c>
      <c r="AE60" s="331"/>
      <c r="AF60" s="339">
        <f t="shared" si="93"/>
        <v>0</v>
      </c>
      <c r="AG60" s="331"/>
      <c r="AH60" s="339">
        <f t="shared" si="94"/>
        <v>0</v>
      </c>
      <c r="AI60" s="331"/>
      <c r="AJ60" s="339">
        <f t="shared" si="104"/>
        <v>0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3000000</v>
      </c>
      <c r="AX60" s="341">
        <f t="shared" si="98"/>
        <v>3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1100000</v>
      </c>
      <c r="J61" s="190">
        <f t="shared" si="90"/>
        <v>11</v>
      </c>
      <c r="K61" s="191">
        <f t="shared" si="100"/>
        <v>-88900000</v>
      </c>
      <c r="L61" s="190">
        <f t="shared" si="91"/>
        <v>-889</v>
      </c>
      <c r="M61" s="192">
        <f t="shared" si="101"/>
        <v>1.2222222222222223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/>
      <c r="AD61" s="399">
        <f t="shared" si="103"/>
        <v>0</v>
      </c>
      <c r="AE61" s="331"/>
      <c r="AF61" s="339">
        <f t="shared" si="93"/>
        <v>0</v>
      </c>
      <c r="AG61" s="331"/>
      <c r="AH61" s="339">
        <f t="shared" si="94"/>
        <v>0</v>
      </c>
      <c r="AI61" s="331"/>
      <c r="AJ61" s="339">
        <f t="shared" si="104"/>
        <v>0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1100000</v>
      </c>
      <c r="AX61" s="341">
        <f t="shared" si="98"/>
        <v>11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22845000</v>
      </c>
      <c r="J62" s="190">
        <f t="shared" si="90"/>
        <v>1523</v>
      </c>
      <c r="K62" s="191">
        <f t="shared" si="100"/>
        <v>-257205000</v>
      </c>
      <c r="L62" s="190">
        <f t="shared" si="91"/>
        <v>-17147</v>
      </c>
      <c r="M62" s="192">
        <f t="shared" si="101"/>
        <v>8.1574718800214239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/>
      <c r="AD62" s="399">
        <f t="shared" si="103"/>
        <v>0</v>
      </c>
      <c r="AE62" s="331"/>
      <c r="AF62" s="339">
        <f t="shared" si="93"/>
        <v>0</v>
      </c>
      <c r="AG62" s="331"/>
      <c r="AH62" s="339">
        <f t="shared" si="94"/>
        <v>0</v>
      </c>
      <c r="AI62" s="331"/>
      <c r="AJ62" s="339">
        <f t="shared" si="104"/>
        <v>0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22845000</v>
      </c>
      <c r="AX62" s="341">
        <f t="shared" si="98"/>
        <v>1523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8020000</v>
      </c>
      <c r="J63" s="190">
        <f t="shared" si="90"/>
        <v>1604</v>
      </c>
      <c r="K63" s="191">
        <f t="shared" si="100"/>
        <v>8020000</v>
      </c>
      <c r="L63" s="190">
        <f t="shared" si="91"/>
        <v>1604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/>
      <c r="AD63" s="399">
        <f t="shared" si="103"/>
        <v>0</v>
      </c>
      <c r="AE63" s="331"/>
      <c r="AF63" s="339">
        <f t="shared" si="93"/>
        <v>0</v>
      </c>
      <c r="AG63" s="331"/>
      <c r="AH63" s="339">
        <f t="shared" si="94"/>
        <v>0</v>
      </c>
      <c r="AI63" s="331"/>
      <c r="AJ63" s="339">
        <f t="shared" si="104"/>
        <v>0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8020000</v>
      </c>
      <c r="AX63" s="341">
        <f t="shared" si="98"/>
        <v>1604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/>
      <c r="AD64" s="399">
        <f t="shared" si="103"/>
        <v>0</v>
      </c>
      <c r="AE64" s="331"/>
      <c r="AF64" s="339">
        <f t="shared" si="93"/>
        <v>0</v>
      </c>
      <c r="AG64" s="331"/>
      <c r="AH64" s="339">
        <f t="shared" si="94"/>
        <v>0</v>
      </c>
      <c r="AI64" s="331"/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975000</v>
      </c>
      <c r="J65" s="190">
        <f t="shared" si="90"/>
        <v>13</v>
      </c>
      <c r="K65" s="191">
        <f t="shared" si="100"/>
        <v>-18975000</v>
      </c>
      <c r="L65" s="190">
        <f t="shared" si="91"/>
        <v>-253</v>
      </c>
      <c r="M65" s="192">
        <f t="shared" si="101"/>
        <v>4.8872180451127818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/>
      <c r="AD65" s="423">
        <f t="shared" si="103"/>
        <v>0</v>
      </c>
      <c r="AE65" s="331"/>
      <c r="AF65" s="339">
        <f t="shared" si="93"/>
        <v>0</v>
      </c>
      <c r="AG65" s="331"/>
      <c r="AH65" s="339">
        <f t="shared" si="94"/>
        <v>0</v>
      </c>
      <c r="AI65" s="331"/>
      <c r="AJ65" s="339">
        <f t="shared" si="104"/>
        <v>0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975000</v>
      </c>
      <c r="AX65" s="341">
        <f t="shared" si="98"/>
        <v>13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/>
      <c r="AD66" s="423">
        <f t="shared" si="103"/>
        <v>0</v>
      </c>
      <c r="AE66" s="331"/>
      <c r="AF66" s="339">
        <f t="shared" si="93"/>
        <v>0</v>
      </c>
      <c r="AG66" s="331"/>
      <c r="AH66" s="339">
        <f t="shared" si="94"/>
        <v>0</v>
      </c>
      <c r="AI66" s="331"/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26800000</v>
      </c>
      <c r="J67" s="277"/>
      <c r="K67" s="277">
        <f>I67-G67</f>
        <v>-4973200000</v>
      </c>
      <c r="L67" s="278"/>
      <c r="M67" s="279">
        <f>SUM(I67/G67*100)</f>
        <v>0.53600000000000003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/>
      <c r="AF67" s="429"/>
      <c r="AG67" s="428"/>
      <c r="AH67" s="429"/>
      <c r="AI67" s="428"/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26800000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6218142</v>
      </c>
      <c r="J68" s="282"/>
      <c r="K68" s="277">
        <f>I68-G68</f>
        <v>-233781858</v>
      </c>
      <c r="L68" s="281"/>
      <c r="M68" s="279">
        <f>SUM(I68/G68*100)</f>
        <v>2.5908924999999998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/>
      <c r="AD68" s="429"/>
      <c r="AE68" s="428"/>
      <c r="AF68" s="429"/>
      <c r="AG68" s="428"/>
      <c r="AH68" s="429"/>
      <c r="AI68" s="428"/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6218142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124632735</v>
      </c>
      <c r="J69" s="286"/>
      <c r="K69" s="277">
        <f>I69-G69</f>
        <v>-475367265</v>
      </c>
      <c r="L69" s="285"/>
      <c r="M69" s="279">
        <f>SUM(I69/G69*100)</f>
        <v>20.772122500000002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/>
      <c r="AD69" s="429"/>
      <c r="AE69" s="428"/>
      <c r="AF69" s="429"/>
      <c r="AG69" s="428"/>
      <c r="AH69" s="429"/>
      <c r="AI69" s="428"/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124632735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3820239627</v>
      </c>
      <c r="J70" s="287"/>
      <c r="K70" s="287">
        <f>K9+K67+K68+K69</f>
        <v>-98499760373</v>
      </c>
      <c r="L70" s="287"/>
      <c r="M70" s="287">
        <f>SUM(I70/G70*100)</f>
        <v>3.7336196510946049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0</v>
      </c>
      <c r="AD70" s="437">
        <f t="shared" si="111"/>
        <v>0</v>
      </c>
      <c r="AE70" s="437">
        <f>AE9+AE67+AE68+AE69</f>
        <v>0</v>
      </c>
      <c r="AF70" s="438">
        <f t="shared" ref="AF70:AH70" si="112">AF9+AF67+AF68+AF69</f>
        <v>0</v>
      </c>
      <c r="AG70" s="437">
        <f>AG9+AG67+AG68+AG69</f>
        <v>0</v>
      </c>
      <c r="AH70" s="437">
        <f t="shared" si="112"/>
        <v>0</v>
      </c>
      <c r="AI70" s="437">
        <f>AI9+AI67+AI68+AI69</f>
        <v>0</v>
      </c>
      <c r="AJ70" s="437">
        <f t="shared" ref="AJ70:AV70" si="113">AJ9+AJ67+AJ68+AJ69</f>
        <v>0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3820239627</v>
      </c>
      <c r="AX70" s="440">
        <f>Z70+AB70+AD70+AF70+AH70+AJ70+AL70+AN70+AP70+AR70+AT70+AV70</f>
        <v>804471</v>
      </c>
      <c r="AY70" s="5"/>
      <c r="BB70" s="1"/>
      <c r="BC70" s="1"/>
      <c r="BD70" s="1"/>
      <c r="BE70" s="1"/>
      <c r="BF70" s="1"/>
      <c r="BG70" s="1"/>
    </row>
    <row r="71" spans="1:59" s="4" customFormat="1" x14ac:dyDescent="0.25">
      <c r="A71" s="299"/>
      <c r="B71" s="299"/>
      <c r="C71" s="299"/>
      <c r="D71" s="299"/>
      <c r="E71" s="299"/>
      <c r="F71" s="299"/>
      <c r="G71" s="300"/>
      <c r="H71" s="288"/>
      <c r="I71" s="300"/>
      <c r="J71" s="288"/>
      <c r="K71" s="300"/>
      <c r="L71" s="288"/>
      <c r="M71" s="28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BB71" s="1"/>
      <c r="BC71" s="1"/>
      <c r="BD71" s="1"/>
      <c r="BE71" s="1"/>
      <c r="BF71" s="1"/>
      <c r="BG71" s="1"/>
    </row>
    <row r="72" spans="1:59" s="4" customFormat="1" x14ac:dyDescent="0.25">
      <c r="A72" s="288"/>
      <c r="B72" s="288"/>
      <c r="C72" s="301"/>
      <c r="D72" s="301"/>
      <c r="E72" s="301"/>
      <c r="F72" s="288"/>
      <c r="G72" s="288"/>
      <c r="H72" s="288"/>
      <c r="I72" s="288"/>
      <c r="J72" s="676" t="s">
        <v>219</v>
      </c>
      <c r="K72" s="676"/>
      <c r="L72" s="676"/>
      <c r="M72" s="676"/>
      <c r="T72" s="21"/>
      <c r="U72" s="22"/>
      <c r="V72" s="22"/>
      <c r="W72" s="22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BB72" s="1"/>
      <c r="BC72" s="1"/>
      <c r="BD72" s="1"/>
      <c r="BE72" s="1"/>
      <c r="BF72" s="1"/>
      <c r="BG72" s="1"/>
    </row>
    <row r="73" spans="1:59" s="4" customFormat="1" x14ac:dyDescent="0.25">
      <c r="A73" s="288"/>
      <c r="B73" s="288"/>
      <c r="C73" s="301"/>
      <c r="D73" s="301"/>
      <c r="E73" s="301"/>
      <c r="F73" s="288"/>
      <c r="G73" s="302"/>
      <c r="H73" s="288"/>
      <c r="I73" s="288"/>
      <c r="J73" s="676" t="s">
        <v>201</v>
      </c>
      <c r="K73" s="676"/>
      <c r="L73" s="676"/>
      <c r="M73" s="676"/>
      <c r="T73" s="21"/>
      <c r="U73" s="22"/>
      <c r="V73" s="22"/>
      <c r="W73" s="22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M73" s="6"/>
      <c r="BB73" s="1"/>
      <c r="BC73" s="1"/>
      <c r="BD73" s="1"/>
      <c r="BE73" s="1"/>
      <c r="BF73" s="1"/>
      <c r="BG73" s="1"/>
    </row>
    <row r="74" spans="1:59" s="4" customFormat="1" x14ac:dyDescent="0.25">
      <c r="A74" s="288"/>
      <c r="B74" s="288"/>
      <c r="C74" s="289"/>
      <c r="D74" s="289"/>
      <c r="E74" s="289"/>
      <c r="F74" s="288"/>
      <c r="G74" s="288"/>
      <c r="H74" s="288"/>
      <c r="I74" s="302"/>
      <c r="J74" s="676" t="s">
        <v>20</v>
      </c>
      <c r="K74" s="676"/>
      <c r="L74" s="676"/>
      <c r="M74" s="676"/>
      <c r="T74" s="21"/>
      <c r="U74" s="23"/>
      <c r="V74" s="23"/>
      <c r="W74" s="23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BB74" s="1"/>
      <c r="BC74" s="1"/>
      <c r="BD74" s="1"/>
      <c r="BE74" s="1"/>
      <c r="BF74" s="1"/>
      <c r="BG74" s="1"/>
    </row>
    <row r="75" spans="1:59" s="4" customFormat="1" x14ac:dyDescent="0.25">
      <c r="A75" s="288"/>
      <c r="B75" s="288"/>
      <c r="C75" s="289"/>
      <c r="D75" s="289"/>
      <c r="E75" s="289"/>
      <c r="F75" s="288"/>
      <c r="G75" s="288"/>
      <c r="H75" s="288"/>
      <c r="I75" s="288"/>
      <c r="J75" s="676" t="s">
        <v>53</v>
      </c>
      <c r="K75" s="676"/>
      <c r="L75" s="676"/>
      <c r="M75" s="676"/>
      <c r="T75" s="21"/>
      <c r="U75" s="23"/>
      <c r="V75" s="23"/>
      <c r="W75" s="23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BB75" s="1"/>
      <c r="BC75" s="1"/>
      <c r="BD75" s="1"/>
      <c r="BE75" s="1"/>
      <c r="BF75" s="1"/>
      <c r="BG75" s="1"/>
    </row>
    <row r="76" spans="1:59" s="4" customFormat="1" x14ac:dyDescent="0.25">
      <c r="A76" s="288"/>
      <c r="B76" s="288"/>
      <c r="C76" s="289"/>
      <c r="D76" s="289"/>
      <c r="E76" s="289"/>
      <c r="F76" s="288"/>
      <c r="G76" s="288"/>
      <c r="H76" s="288"/>
      <c r="I76" s="288"/>
      <c r="J76" s="303"/>
      <c r="K76" s="677" t="s">
        <v>54</v>
      </c>
      <c r="L76" s="677"/>
      <c r="M76" s="303"/>
      <c r="T76" s="21"/>
      <c r="U76" s="23"/>
      <c r="V76" s="23"/>
      <c r="W76" s="23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BB76" s="1"/>
      <c r="BC76" s="1"/>
      <c r="BD76" s="1"/>
      <c r="BE76" s="1"/>
      <c r="BF76" s="1"/>
      <c r="BG76" s="1"/>
    </row>
    <row r="77" spans="1:59" s="4" customFormat="1" x14ac:dyDescent="0.25">
      <c r="A77" s="288"/>
      <c r="B77" s="288"/>
      <c r="C77" s="289"/>
      <c r="D77" s="289"/>
      <c r="E77" s="289"/>
      <c r="F77" s="288"/>
      <c r="G77" s="288"/>
      <c r="H77" s="288"/>
      <c r="I77" s="288"/>
      <c r="J77" s="303"/>
      <c r="K77" s="303"/>
      <c r="L77" s="303"/>
      <c r="M77" s="303"/>
      <c r="T77" s="21"/>
      <c r="U77" s="23"/>
      <c r="V77" s="23"/>
      <c r="W77" s="23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BB77" s="1"/>
      <c r="BC77" s="1"/>
      <c r="BD77" s="1"/>
      <c r="BE77" s="1"/>
      <c r="BF77" s="1"/>
      <c r="BG77" s="1"/>
    </row>
    <row r="78" spans="1:59" s="4" customFormat="1" x14ac:dyDescent="0.25">
      <c r="A78" s="288"/>
      <c r="B78" s="288"/>
      <c r="C78" s="289"/>
      <c r="D78" s="289"/>
      <c r="E78" s="289"/>
      <c r="F78" s="288"/>
      <c r="G78" s="288"/>
      <c r="H78" s="288"/>
      <c r="I78" s="288"/>
      <c r="J78" s="303"/>
      <c r="K78" s="303"/>
      <c r="L78" s="303"/>
      <c r="M78" s="303"/>
      <c r="T78" s="21"/>
      <c r="U78" s="23"/>
      <c r="V78" s="23"/>
      <c r="W78" s="23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BB78" s="1"/>
      <c r="BC78" s="1"/>
      <c r="BD78" s="1"/>
      <c r="BE78" s="1"/>
      <c r="BF78" s="1"/>
      <c r="BG78" s="1"/>
    </row>
    <row r="79" spans="1:59" s="4" customFormat="1" ht="15.6" customHeight="1" x14ac:dyDescent="0.25">
      <c r="A79" s="288"/>
      <c r="B79" s="288"/>
      <c r="C79" s="289"/>
      <c r="D79" s="289"/>
      <c r="E79" s="289"/>
      <c r="F79" s="288"/>
      <c r="G79" s="288"/>
      <c r="H79" s="288"/>
      <c r="I79" s="288"/>
      <c r="J79" s="676" t="s">
        <v>198</v>
      </c>
      <c r="K79" s="676"/>
      <c r="L79" s="676"/>
      <c r="M79" s="676"/>
      <c r="T79" s="21"/>
      <c r="U79" s="23"/>
      <c r="V79" s="23"/>
      <c r="W79" s="23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BB79" s="1"/>
      <c r="BC79" s="1"/>
      <c r="BD79" s="1"/>
      <c r="BE79" s="1"/>
      <c r="BF79" s="1"/>
      <c r="BG79" s="1"/>
    </row>
    <row r="80" spans="1:59" s="4" customFormat="1" ht="15.6" customHeight="1" x14ac:dyDescent="0.25">
      <c r="A80" s="288"/>
      <c r="B80" s="288"/>
      <c r="C80" s="288"/>
      <c r="D80" s="288"/>
      <c r="E80" s="288"/>
      <c r="F80" s="288"/>
      <c r="G80" s="288"/>
      <c r="H80" s="288"/>
      <c r="I80" s="288"/>
      <c r="J80" s="676" t="s">
        <v>199</v>
      </c>
      <c r="K80" s="676"/>
      <c r="L80" s="676"/>
      <c r="M80" s="676"/>
      <c r="T80" s="21"/>
      <c r="U80" s="21"/>
      <c r="V80" s="21"/>
      <c r="W80" s="2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BB80" s="1"/>
      <c r="BC80" s="1"/>
      <c r="BD80" s="1"/>
      <c r="BE80" s="1"/>
      <c r="BF80" s="1"/>
      <c r="BG80" s="1"/>
    </row>
    <row r="81" spans="1:13" x14ac:dyDescent="0.25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</row>
    <row r="82" spans="1:13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3:M73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2:M72"/>
    <mergeCell ref="J74:M74"/>
    <mergeCell ref="J75:M75"/>
    <mergeCell ref="K76:L76"/>
    <mergeCell ref="J79:M79"/>
    <mergeCell ref="J80:M80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F21C-32BE-47E3-8556-AFFEEDD37572}">
  <dimension ref="A1:BG82"/>
  <sheetViews>
    <sheetView showOutlineSymbols="0" topLeftCell="A50" zoomScale="110" zoomScaleNormal="110" workbookViewId="0">
      <selection activeCell="I70" sqref="I70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222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6824127000</v>
      </c>
      <c r="J9" s="165">
        <f t="shared" si="0"/>
        <v>1434445</v>
      </c>
      <c r="K9" s="164">
        <f>SUM(K10+K30+K36+K44)</f>
        <v>-89655873000</v>
      </c>
      <c r="L9" s="165">
        <f t="shared" si="0"/>
        <v>-20695770.800000001</v>
      </c>
      <c r="M9" s="166">
        <f>SUM(I9/G9*100)</f>
        <v>7.0731001243781098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0</v>
      </c>
      <c r="AF9" s="313">
        <f t="shared" ref="AF9:AH9" si="3">AF10+AF30+AF36+AF44</f>
        <v>0</v>
      </c>
      <c r="AG9" s="312">
        <f>AG10+AG30+AG36+AG44</f>
        <v>0</v>
      </c>
      <c r="AH9" s="312">
        <f t="shared" si="3"/>
        <v>0</v>
      </c>
      <c r="AI9" s="312">
        <f>AI10+AI30+AI36+AI44</f>
        <v>0</v>
      </c>
      <c r="AJ9" s="312">
        <f t="shared" ref="AJ9:AV9" si="4">AJ10+AJ30+AJ36+AJ44</f>
        <v>0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6824127000</v>
      </c>
      <c r="AX9" s="315">
        <f t="shared" ref="AX9:AX16" si="6">Z9+AB9+AD9+AF9+AH9+AJ9+AL9+AN9+AP9+AR9+AT9+AV9</f>
        <v>1434445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4989319500</v>
      </c>
      <c r="J10" s="171">
        <f t="shared" si="7"/>
        <v>1224712</v>
      </c>
      <c r="K10" s="170">
        <f>SUM(K12:K29)</f>
        <v>-69941880500</v>
      </c>
      <c r="L10" s="171">
        <f t="shared" si="7"/>
        <v>-17347586</v>
      </c>
      <c r="M10" s="170">
        <f>SUM(I10/G10*100)</f>
        <v>6.6585340952767345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0</v>
      </c>
      <c r="AF10" s="321">
        <f t="shared" ref="AF10:AH10" si="10">SUM(AF12:AF29)</f>
        <v>0</v>
      </c>
      <c r="AG10" s="320">
        <f>SUM(AG12:AG29)</f>
        <v>0</v>
      </c>
      <c r="AH10" s="320">
        <f t="shared" si="10"/>
        <v>0</v>
      </c>
      <c r="AI10" s="320">
        <f>SUM(AI12:AI29)</f>
        <v>0</v>
      </c>
      <c r="AJ10" s="320">
        <f t="shared" ref="AJ10:AV10" si="11">SUM(AJ12:AJ29)</f>
        <v>0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4989319500</v>
      </c>
      <c r="AX10" s="323">
        <f t="shared" si="6"/>
        <v>1224712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3036108000</v>
      </c>
      <c r="J12" s="184">
        <f>I12/R12</f>
        <v>759027</v>
      </c>
      <c r="K12" s="185">
        <f>I12-G12</f>
        <v>-34363892000</v>
      </c>
      <c r="L12" s="184">
        <f>J12-H12</f>
        <v>-8590973</v>
      </c>
      <c r="M12" s="186">
        <f>SUM(I12/G12*100)</f>
        <v>8.1179358288770054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/>
      <c r="AF12" s="339">
        <f>SUM(AE12/R12)</f>
        <v>0</v>
      </c>
      <c r="AG12" s="338"/>
      <c r="AH12" s="339">
        <f>SUM(AG12/R12)</f>
        <v>0</v>
      </c>
      <c r="AI12" s="338"/>
      <c r="AJ12" s="339">
        <f>SUM(AI12/R12)</f>
        <v>0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3036108000</v>
      </c>
      <c r="AX12" s="341">
        <f t="shared" si="6"/>
        <v>759027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792393000</v>
      </c>
      <c r="J13" s="190">
        <f t="shared" ref="J13:J29" si="14">I13/R13</f>
        <v>264131</v>
      </c>
      <c r="K13" s="191">
        <f t="shared" ref="K13:L29" si="15">I13-G13</f>
        <v>-10457607000</v>
      </c>
      <c r="L13" s="190">
        <f t="shared" si="15"/>
        <v>-3485869</v>
      </c>
      <c r="M13" s="192">
        <f t="shared" ref="M13:M28" si="16">SUM(I13/G13*100)</f>
        <v>7.043493333333334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/>
      <c r="AF13" s="339">
        <f>SUM(AE13/R13)</f>
        <v>0</v>
      </c>
      <c r="AG13" s="338"/>
      <c r="AH13" s="339">
        <f>SUM(AG13/R13)</f>
        <v>0</v>
      </c>
      <c r="AI13" s="338"/>
      <c r="AJ13" s="339">
        <f>SUM(AI13/R13)</f>
        <v>0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792393000</v>
      </c>
      <c r="AX13" s="341">
        <f t="shared" si="6"/>
        <v>264131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3384000</v>
      </c>
      <c r="J15" s="190">
        <f t="shared" si="14"/>
        <v>1128</v>
      </c>
      <c r="K15" s="191">
        <f t="shared" si="15"/>
        <v>-206616000</v>
      </c>
      <c r="L15" s="190">
        <f t="shared" si="15"/>
        <v>-68872</v>
      </c>
      <c r="M15" s="192">
        <f t="shared" si="16"/>
        <v>1.6114285714285712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/>
      <c r="AF15" s="339">
        <f>SUM(AE15/R15)</f>
        <v>0</v>
      </c>
      <c r="AG15" s="338"/>
      <c r="AH15" s="339">
        <f>SUM(AG15/R15)</f>
        <v>0</v>
      </c>
      <c r="AI15" s="338"/>
      <c r="AJ15" s="339">
        <f>SUM(AI15/R15)</f>
        <v>0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3384000</v>
      </c>
      <c r="AX15" s="341">
        <f t="shared" si="6"/>
        <v>1128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9585000</v>
      </c>
      <c r="J16" s="197">
        <f t="shared" si="14"/>
        <v>4260</v>
      </c>
      <c r="K16" s="198">
        <f t="shared" si="15"/>
        <v>-214413750</v>
      </c>
      <c r="L16" s="197">
        <f t="shared" si="15"/>
        <v>-95295</v>
      </c>
      <c r="M16" s="199">
        <f t="shared" si="16"/>
        <v>4.2790417357239718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/>
      <c r="AF16" s="339">
        <f>SUM(AE16/R16)</f>
        <v>0</v>
      </c>
      <c r="AG16" s="338"/>
      <c r="AH16" s="339">
        <f>SUM(AG16/R16)</f>
        <v>0</v>
      </c>
      <c r="AI16" s="338"/>
      <c r="AJ16" s="339">
        <f>SUM(AI16/R16)</f>
        <v>0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9585000</v>
      </c>
      <c r="AX16" s="356">
        <f t="shared" si="6"/>
        <v>4260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/>
      <c r="AF19" s="339">
        <f>SUM(AE19/R19)</f>
        <v>0</v>
      </c>
      <c r="AG19" s="338"/>
      <c r="AH19" s="339">
        <f>SUM(AG19/R19)</f>
        <v>0</v>
      </c>
      <c r="AI19" s="338"/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/>
      <c r="AF20" s="339">
        <f t="shared" ref="AF20:AF29" si="24">SUM(AE20/R20)</f>
        <v>0</v>
      </c>
      <c r="AG20" s="338"/>
      <c r="AH20" s="339">
        <f t="shared" ref="AH20:AH22" si="25">SUM(AG20/R20)</f>
        <v>0</v>
      </c>
      <c r="AI20" s="338"/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/>
      <c r="AF21" s="339">
        <f t="shared" si="24"/>
        <v>0</v>
      </c>
      <c r="AG21" s="338"/>
      <c r="AH21" s="339">
        <f t="shared" si="25"/>
        <v>0</v>
      </c>
      <c r="AI21" s="338"/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134595000</v>
      </c>
      <c r="J22" s="190">
        <f t="shared" si="14"/>
        <v>53838</v>
      </c>
      <c r="K22" s="191">
        <f t="shared" si="15"/>
        <v>-6026137500</v>
      </c>
      <c r="L22" s="190">
        <f t="shared" si="15"/>
        <v>-2410455</v>
      </c>
      <c r="M22" s="192">
        <f t="shared" si="16"/>
        <v>2.1847239755986809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/>
      <c r="AF22" s="339">
        <f t="shared" si="24"/>
        <v>0</v>
      </c>
      <c r="AG22" s="338"/>
      <c r="AH22" s="339">
        <f t="shared" si="25"/>
        <v>0</v>
      </c>
      <c r="AI22" s="338"/>
      <c r="AJ22" s="339">
        <f t="shared" si="26"/>
        <v>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134595000</v>
      </c>
      <c r="AX22" s="341">
        <f t="shared" si="19"/>
        <v>53838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211518000</v>
      </c>
      <c r="J24" s="190">
        <f t="shared" si="14"/>
        <v>35253</v>
      </c>
      <c r="K24" s="191">
        <f t="shared" si="15"/>
        <v>-5788482000</v>
      </c>
      <c r="L24" s="190">
        <f t="shared" si="15"/>
        <v>-964747</v>
      </c>
      <c r="M24" s="192">
        <f t="shared" si="16"/>
        <v>3.5253000000000001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/>
      <c r="AF24" s="339">
        <f t="shared" si="24"/>
        <v>0</v>
      </c>
      <c r="AG24" s="331"/>
      <c r="AH24" s="339">
        <f>SUM(AG24/R24)</f>
        <v>0</v>
      </c>
      <c r="AI24" s="331"/>
      <c r="AJ24" s="339">
        <f>SUM(AI24/R24)</f>
        <v>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211518000</v>
      </c>
      <c r="AX24" s="341">
        <f t="shared" si="19"/>
        <v>35253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799747500</v>
      </c>
      <c r="J25" s="190">
        <f t="shared" si="14"/>
        <v>106633</v>
      </c>
      <c r="K25" s="191">
        <f t="shared" si="15"/>
        <v>-12700252500</v>
      </c>
      <c r="L25" s="190">
        <f t="shared" si="15"/>
        <v>-1693367</v>
      </c>
      <c r="M25" s="192">
        <f t="shared" si="16"/>
        <v>5.9240555555555554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/>
      <c r="AF25" s="339">
        <f t="shared" si="24"/>
        <v>0</v>
      </c>
      <c r="AG25" s="331"/>
      <c r="AH25" s="339">
        <f>SUM(AG25/R25)</f>
        <v>0</v>
      </c>
      <c r="AI25" s="331"/>
      <c r="AJ25" s="339">
        <f>SUM(AI25/R25)</f>
        <v>0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799747500</v>
      </c>
      <c r="AX25" s="341">
        <f t="shared" si="19"/>
        <v>106633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1989000</v>
      </c>
      <c r="J27" s="190">
        <f t="shared" si="14"/>
        <v>442</v>
      </c>
      <c r="K27" s="191">
        <f t="shared" si="15"/>
        <v>-117261000</v>
      </c>
      <c r="L27" s="190">
        <f t="shared" si="15"/>
        <v>-26058</v>
      </c>
      <c r="M27" s="192">
        <f t="shared" si="16"/>
        <v>1.6679245283018869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/>
      <c r="AF27" s="339">
        <f t="shared" si="24"/>
        <v>0</v>
      </c>
      <c r="AG27" s="331"/>
      <c r="AH27" s="339">
        <f>SUM(AG27/R27)</f>
        <v>0</v>
      </c>
      <c r="AI27" s="331"/>
      <c r="AJ27" s="339">
        <f>SUM(AI27/R27)</f>
        <v>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1989000</v>
      </c>
      <c r="AX27" s="341">
        <f t="shared" si="19"/>
        <v>442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0</v>
      </c>
      <c r="J28" s="190">
        <f t="shared" si="14"/>
        <v>0</v>
      </c>
      <c r="K28" s="191">
        <f t="shared" si="15"/>
        <v>-67218750</v>
      </c>
      <c r="L28" s="190">
        <f t="shared" si="15"/>
        <v>-11950</v>
      </c>
      <c r="M28" s="192">
        <f t="shared" si="16"/>
        <v>0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/>
      <c r="AF28" s="339">
        <f t="shared" si="24"/>
        <v>0</v>
      </c>
      <c r="AG28" s="331"/>
      <c r="AH28" s="339">
        <f t="shared" ref="AH28:AH29" si="35">SUM(AG28/R28)</f>
        <v>0</v>
      </c>
      <c r="AI28" s="331"/>
      <c r="AJ28" s="339">
        <f t="shared" ref="AJ28:AJ29" si="36">SUM(AI28/R28)</f>
        <v>0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0</v>
      </c>
      <c r="AX28" s="341">
        <f t="shared" si="19"/>
        <v>0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/>
      <c r="AF29" s="339">
        <f t="shared" si="24"/>
        <v>0</v>
      </c>
      <c r="AG29" s="338"/>
      <c r="AH29" s="339">
        <f t="shared" si="35"/>
        <v>0</v>
      </c>
      <c r="AI29" s="338"/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942370000</v>
      </c>
      <c r="J30" s="219">
        <f t="shared" si="40"/>
        <v>16642</v>
      </c>
      <c r="K30" s="218">
        <f>SUM(K32:K35)</f>
        <v>-4553930000</v>
      </c>
      <c r="L30" s="218">
        <f t="shared" si="40"/>
        <v>-143166.79999999999</v>
      </c>
      <c r="M30" s="220">
        <f>SUM(I30/G30*100)</f>
        <v>17.145534268507905</v>
      </c>
      <c r="N30" s="6" t="s">
        <v>69</v>
      </c>
      <c r="O30" s="488">
        <f>SUM(G19:G29)</f>
        <v>25847201250</v>
      </c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0</v>
      </c>
      <c r="AF30" s="373">
        <f t="shared" ref="AF30:AH30" si="43">SUM(AF32:AF35)</f>
        <v>0</v>
      </c>
      <c r="AG30" s="373">
        <f>SUM(AG32:AG35)</f>
        <v>0</v>
      </c>
      <c r="AH30" s="373">
        <f t="shared" si="43"/>
        <v>0</v>
      </c>
      <c r="AI30" s="373">
        <f>SUM(AI32:AI35)</f>
        <v>0</v>
      </c>
      <c r="AJ30" s="373">
        <f t="shared" ref="AJ30:AV30" si="44">SUM(AJ32:AJ35)</f>
        <v>0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942370000</v>
      </c>
      <c r="AX30" s="375">
        <f t="shared" si="19"/>
        <v>16642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93990000</v>
      </c>
      <c r="J33" s="190">
        <f t="shared" ref="J33:J35" si="46">I33/R33</f>
        <v>9399</v>
      </c>
      <c r="K33" s="191">
        <f t="shared" ref="K33:L35" si="47">I33-G33</f>
        <v>-718510000</v>
      </c>
      <c r="L33" s="190">
        <f t="shared" si="47"/>
        <v>-71851</v>
      </c>
      <c r="M33" s="192">
        <f>SUM(I33/G33*100)</f>
        <v>11.568000000000001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/>
      <c r="AF33" s="339">
        <f t="shared" ref="AF33:AF35" si="48">SUM(AE33/R33)</f>
        <v>0</v>
      </c>
      <c r="AG33" s="338"/>
      <c r="AH33" s="339">
        <f>SUM(AG33/R33)</f>
        <v>0</v>
      </c>
      <c r="AI33" s="338"/>
      <c r="AJ33" s="339">
        <f>SUM(AI33/R33)</f>
        <v>0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93990000</v>
      </c>
      <c r="AX33" s="341">
        <f>Z33+AB33+AD33+AF33+AH33+AJ33+AL33+AN33+AP33+AR33+AT33+AV33</f>
        <v>9399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97380000</v>
      </c>
      <c r="J34" s="190">
        <f t="shared" si="46"/>
        <v>6492</v>
      </c>
      <c r="K34" s="191">
        <f t="shared" si="47"/>
        <v>-1027620000</v>
      </c>
      <c r="L34" s="190">
        <f t="shared" si="47"/>
        <v>-68508</v>
      </c>
      <c r="M34" s="192">
        <f t="shared" ref="M34:M35" si="52">SUM(I34/G34*100)</f>
        <v>8.6560000000000006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/>
      <c r="AF34" s="339">
        <f t="shared" si="48"/>
        <v>0</v>
      </c>
      <c r="AG34" s="338"/>
      <c r="AH34" s="339">
        <f t="shared" ref="AH34:AH35" si="56">SUM(AG34/R34)</f>
        <v>0</v>
      </c>
      <c r="AI34" s="338"/>
      <c r="AJ34" s="339">
        <f t="shared" ref="AJ34:AJ35" si="57">SUM(AI34/R34)</f>
        <v>0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97380000</v>
      </c>
      <c r="AX34" s="341">
        <f>Z34+AB34+AD34+AF34+AH34+AJ34+AL34+AN34+AP34+AR34+AT34+AV34</f>
        <v>6492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751000000</v>
      </c>
      <c r="J35" s="190">
        <f t="shared" si="46"/>
        <v>751</v>
      </c>
      <c r="K35" s="191">
        <f t="shared" si="47"/>
        <v>-2807800000</v>
      </c>
      <c r="L35" s="190">
        <f t="shared" si="47"/>
        <v>-2807.8</v>
      </c>
      <c r="M35" s="192">
        <f t="shared" si="52"/>
        <v>21.102618860289983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/>
      <c r="AF35" s="339">
        <f t="shared" si="48"/>
        <v>0</v>
      </c>
      <c r="AG35" s="338"/>
      <c r="AH35" s="339">
        <f t="shared" si="56"/>
        <v>0</v>
      </c>
      <c r="AI35" s="338"/>
      <c r="AJ35" s="339">
        <f t="shared" si="57"/>
        <v>0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751000000</v>
      </c>
      <c r="AX35" s="341">
        <f>Z35+AB35+AD35+AF35+AH35+AJ35+AL35+AN35+AP35+AR35+AT35+AV35</f>
        <v>751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736457500</v>
      </c>
      <c r="J36" s="219">
        <f t="shared" si="61"/>
        <v>180604</v>
      </c>
      <c r="K36" s="218">
        <f t="shared" si="61"/>
        <v>-11767542500</v>
      </c>
      <c r="L36" s="218">
        <f t="shared" si="61"/>
        <v>-2838584</v>
      </c>
      <c r="M36" s="218">
        <f>SUM(I36/G36*100)</f>
        <v>5.8897752719129874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0</v>
      </c>
      <c r="AF36" s="373">
        <f t="shared" ref="AF36:AH36" si="64">SUM(AF38:AF43)</f>
        <v>0</v>
      </c>
      <c r="AG36" s="373">
        <f>SUM(AG38:AG43)</f>
        <v>0</v>
      </c>
      <c r="AH36" s="373">
        <f t="shared" si="64"/>
        <v>0</v>
      </c>
      <c r="AI36" s="373">
        <f>SUM(AI38:AI43)</f>
        <v>0</v>
      </c>
      <c r="AJ36" s="373">
        <f t="shared" ref="AJ36:AV36" si="65">SUM(AJ38:AJ43)</f>
        <v>0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736457500</v>
      </c>
      <c r="AX36" s="393">
        <f>Z36+AB36+AD36+AF36+AH36+AJ36+AL36+AN36+AP36+AR36+AT36+AV36</f>
        <v>180604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15030000</v>
      </c>
      <c r="J39" s="190">
        <f t="shared" ref="J39:J43" si="69">I39/R39</f>
        <v>1002</v>
      </c>
      <c r="K39" s="191">
        <f t="shared" ref="K39:L43" si="70">I39-G39</f>
        <v>-344970000</v>
      </c>
      <c r="L39" s="190">
        <f t="shared" si="70"/>
        <v>-22998</v>
      </c>
      <c r="M39" s="192">
        <f>SUM(I39/G39*100)</f>
        <v>4.1749999999999998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/>
      <c r="AF39" s="399">
        <f t="shared" ref="AF39:AF43" si="72">SUM(AE39/R39)</f>
        <v>0</v>
      </c>
      <c r="AG39" s="331"/>
      <c r="AH39" s="399">
        <f>SUM(AG39/R39)</f>
        <v>0</v>
      </c>
      <c r="AI39" s="331"/>
      <c r="AJ39" s="399">
        <f>SUM(AI39/R39)</f>
        <v>0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15030000</v>
      </c>
      <c r="AX39" s="341">
        <f t="shared" si="67"/>
        <v>1002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6412500</v>
      </c>
      <c r="J40" s="190">
        <f t="shared" si="69"/>
        <v>513</v>
      </c>
      <c r="K40" s="191">
        <f t="shared" si="70"/>
        <v>-37587500</v>
      </c>
      <c r="L40" s="190">
        <f t="shared" si="70"/>
        <v>-3007</v>
      </c>
      <c r="M40" s="192">
        <f t="shared" ref="M40:M43" si="76">SUM(I40/G40*100)</f>
        <v>14.573863636363637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8"/>
      <c r="AF40" s="339">
        <f t="shared" si="72"/>
        <v>0</v>
      </c>
      <c r="AG40" s="338"/>
      <c r="AH40" s="339">
        <f t="shared" ref="AH40:AH43" si="78">SUM(AG40/R40)</f>
        <v>0</v>
      </c>
      <c r="AI40" s="331"/>
      <c r="AJ40" s="339">
        <f t="shared" ref="AJ40:AJ43" si="79">SUM(AI40/R40)</f>
        <v>0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6412500</v>
      </c>
      <c r="AX40" s="341">
        <f t="shared" si="67"/>
        <v>513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370200000</v>
      </c>
      <c r="J41" s="190">
        <f t="shared" si="69"/>
        <v>61700</v>
      </c>
      <c r="K41" s="191">
        <f t="shared" si="70"/>
        <v>-6379800000</v>
      </c>
      <c r="L41" s="190">
        <f t="shared" si="70"/>
        <v>-1063300</v>
      </c>
      <c r="M41" s="192">
        <f t="shared" si="76"/>
        <v>5.4844444444444447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8"/>
      <c r="AF41" s="339">
        <f t="shared" si="72"/>
        <v>0</v>
      </c>
      <c r="AG41" s="338"/>
      <c r="AH41" s="339">
        <f t="shared" si="78"/>
        <v>0</v>
      </c>
      <c r="AI41" s="331"/>
      <c r="AJ41" s="339">
        <f t="shared" si="79"/>
        <v>0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370200000</v>
      </c>
      <c r="AX41" s="341">
        <f t="shared" si="67"/>
        <v>61700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341139000</v>
      </c>
      <c r="J42" s="190">
        <f t="shared" si="69"/>
        <v>113713</v>
      </c>
      <c r="K42" s="191">
        <f t="shared" si="70"/>
        <v>-4883859000</v>
      </c>
      <c r="L42" s="190">
        <f t="shared" si="70"/>
        <v>-1627953</v>
      </c>
      <c r="M42" s="192">
        <f t="shared" si="76"/>
        <v>6.5289785756855787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8"/>
      <c r="AF42" s="339">
        <f t="shared" si="72"/>
        <v>0</v>
      </c>
      <c r="AG42" s="338"/>
      <c r="AH42" s="339">
        <f t="shared" si="78"/>
        <v>0</v>
      </c>
      <c r="AI42" s="331"/>
      <c r="AJ42" s="339">
        <f t="shared" si="79"/>
        <v>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341139000</v>
      </c>
      <c r="AX42" s="341">
        <f t="shared" si="67"/>
        <v>113713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3676000</v>
      </c>
      <c r="J43" s="190">
        <f t="shared" si="69"/>
        <v>3676</v>
      </c>
      <c r="K43" s="191">
        <f t="shared" si="70"/>
        <v>-121326000</v>
      </c>
      <c r="L43" s="190">
        <f t="shared" si="70"/>
        <v>-121326</v>
      </c>
      <c r="M43" s="192">
        <f t="shared" si="76"/>
        <v>2.9407529479528329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405"/>
      <c r="AF43" s="339">
        <f t="shared" si="72"/>
        <v>0</v>
      </c>
      <c r="AG43" s="338"/>
      <c r="AH43" s="339">
        <f t="shared" si="78"/>
        <v>0</v>
      </c>
      <c r="AI43" s="331"/>
      <c r="AJ43" s="339">
        <f t="shared" si="79"/>
        <v>0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3676000</v>
      </c>
      <c r="AX43" s="356">
        <f t="shared" si="67"/>
        <v>3676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155980000</v>
      </c>
      <c r="J44" s="257">
        <f t="shared" si="84"/>
        <v>12487</v>
      </c>
      <c r="K44" s="256">
        <f t="shared" si="84"/>
        <v>-3392520000</v>
      </c>
      <c r="L44" s="257">
        <f t="shared" si="84"/>
        <v>-366434</v>
      </c>
      <c r="M44" s="256">
        <f>SUM(I44/G44*100)</f>
        <v>4.3956601380865159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0</v>
      </c>
      <c r="AF44" s="408">
        <f t="shared" ref="AF44:AH44" si="87">SUM(AF46:AF66)</f>
        <v>0</v>
      </c>
      <c r="AG44" s="408">
        <f>SUM(AG46:AG66)</f>
        <v>0</v>
      </c>
      <c r="AH44" s="408">
        <f t="shared" si="87"/>
        <v>0</v>
      </c>
      <c r="AI44" s="408">
        <f>SUM(AI46:AI66)</f>
        <v>0</v>
      </c>
      <c r="AJ44" s="408">
        <f t="shared" ref="AJ44:AV44" si="88">SUM(AJ46:AJ66)</f>
        <v>0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155980000</v>
      </c>
      <c r="AX44" s="360">
        <f t="shared" si="67"/>
        <v>12487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/>
      <c r="AF47" s="339">
        <f t="shared" ref="AF47:AF66" si="93">SUM(AE47/R47)</f>
        <v>0</v>
      </c>
      <c r="AG47" s="331"/>
      <c r="AH47" s="339">
        <f t="shared" ref="AH47:AH66" si="94">SUM(AG47/R47)</f>
        <v>0</v>
      </c>
      <c r="AI47" s="331"/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/>
      <c r="AF48" s="339">
        <f t="shared" si="93"/>
        <v>0</v>
      </c>
      <c r="AG48" s="331"/>
      <c r="AH48" s="339">
        <f t="shared" si="94"/>
        <v>0</v>
      </c>
      <c r="AI48" s="331"/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/>
      <c r="AF49" s="339">
        <f t="shared" si="93"/>
        <v>0</v>
      </c>
      <c r="AG49" s="331"/>
      <c r="AH49" s="339">
        <f t="shared" si="94"/>
        <v>0</v>
      </c>
      <c r="AI49" s="331"/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/>
      <c r="AF50" s="339">
        <f t="shared" si="93"/>
        <v>0</v>
      </c>
      <c r="AG50" s="331"/>
      <c r="AH50" s="339">
        <f t="shared" si="94"/>
        <v>0</v>
      </c>
      <c r="AI50" s="331"/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0</v>
      </c>
      <c r="J51" s="190">
        <f t="shared" si="90"/>
        <v>0</v>
      </c>
      <c r="K51" s="191">
        <f t="shared" si="100"/>
        <v>-13500000</v>
      </c>
      <c r="L51" s="190">
        <f t="shared" si="91"/>
        <v>-18</v>
      </c>
      <c r="M51" s="192">
        <f t="shared" si="101"/>
        <v>0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/>
      <c r="AF51" s="339">
        <f t="shared" si="93"/>
        <v>0</v>
      </c>
      <c r="AG51" s="331"/>
      <c r="AH51" s="339">
        <f t="shared" si="94"/>
        <v>0</v>
      </c>
      <c r="AI51" s="331"/>
      <c r="AJ51" s="339">
        <f t="shared" si="104"/>
        <v>0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0</v>
      </c>
      <c r="AX51" s="341">
        <f t="shared" si="98"/>
        <v>0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/>
      <c r="AF52" s="339">
        <f t="shared" si="93"/>
        <v>0</v>
      </c>
      <c r="AG52" s="331"/>
      <c r="AH52" s="339">
        <f t="shared" si="94"/>
        <v>0</v>
      </c>
      <c r="AI52" s="331"/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0</v>
      </c>
      <c r="J53" s="190">
        <f t="shared" si="90"/>
        <v>0</v>
      </c>
      <c r="K53" s="191">
        <f t="shared" si="100"/>
        <v>-4250000</v>
      </c>
      <c r="L53" s="190">
        <f t="shared" si="91"/>
        <v>-17</v>
      </c>
      <c r="M53" s="192">
        <f t="shared" si="101"/>
        <v>0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/>
      <c r="AF53" s="339">
        <f t="shared" si="93"/>
        <v>0</v>
      </c>
      <c r="AG53" s="331"/>
      <c r="AH53" s="339">
        <f t="shared" si="94"/>
        <v>0</v>
      </c>
      <c r="AI53" s="331"/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0</v>
      </c>
      <c r="AX53" s="341">
        <f t="shared" si="98"/>
        <v>0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10500000</v>
      </c>
      <c r="J54" s="190">
        <f t="shared" si="90"/>
        <v>5250</v>
      </c>
      <c r="K54" s="191">
        <f t="shared" si="100"/>
        <v>-689500000</v>
      </c>
      <c r="L54" s="190">
        <f t="shared" si="91"/>
        <v>-344750</v>
      </c>
      <c r="M54" s="192">
        <f t="shared" si="101"/>
        <v>1.5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/>
      <c r="AF54" s="339">
        <f t="shared" si="93"/>
        <v>0</v>
      </c>
      <c r="AG54" s="331"/>
      <c r="AH54" s="339">
        <f t="shared" si="94"/>
        <v>0</v>
      </c>
      <c r="AI54" s="331"/>
      <c r="AJ54" s="339">
        <f t="shared" si="104"/>
        <v>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10500000</v>
      </c>
      <c r="AX54" s="341">
        <f t="shared" si="98"/>
        <v>5250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8900000</v>
      </c>
      <c r="J55" s="190">
        <f t="shared" si="90"/>
        <v>89</v>
      </c>
      <c r="K55" s="191">
        <f t="shared" si="100"/>
        <v>-6100000</v>
      </c>
      <c r="L55" s="190">
        <f t="shared" si="91"/>
        <v>-61</v>
      </c>
      <c r="M55" s="192">
        <f t="shared" si="101"/>
        <v>59.333333333333336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/>
      <c r="AF55" s="339">
        <f t="shared" si="93"/>
        <v>0</v>
      </c>
      <c r="AG55" s="331"/>
      <c r="AH55" s="339">
        <f t="shared" si="94"/>
        <v>0</v>
      </c>
      <c r="AI55" s="331"/>
      <c r="AJ55" s="339">
        <f t="shared" si="104"/>
        <v>0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8900000</v>
      </c>
      <c r="AX55" s="341">
        <f t="shared" si="98"/>
        <v>89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38600000</v>
      </c>
      <c r="J56" s="190">
        <f t="shared" si="90"/>
        <v>386</v>
      </c>
      <c r="K56" s="191">
        <f t="shared" si="100"/>
        <v>-136400000</v>
      </c>
      <c r="L56" s="190">
        <f t="shared" si="91"/>
        <v>-1364</v>
      </c>
      <c r="M56" s="192">
        <f t="shared" si="101"/>
        <v>22.057142857142857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/>
      <c r="AF56" s="339">
        <f t="shared" si="93"/>
        <v>0</v>
      </c>
      <c r="AG56" s="331"/>
      <c r="AH56" s="339">
        <f t="shared" si="94"/>
        <v>0</v>
      </c>
      <c r="AI56" s="331"/>
      <c r="AJ56" s="339">
        <f t="shared" si="104"/>
        <v>0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38600000</v>
      </c>
      <c r="AX56" s="341">
        <f t="shared" si="98"/>
        <v>386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39000000</v>
      </c>
      <c r="J57" s="190">
        <f t="shared" si="90"/>
        <v>156</v>
      </c>
      <c r="K57" s="191">
        <f t="shared" si="100"/>
        <v>-1336000000</v>
      </c>
      <c r="L57" s="190">
        <f t="shared" si="91"/>
        <v>-5344</v>
      </c>
      <c r="M57" s="192">
        <f t="shared" si="101"/>
        <v>2.8363636363636364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/>
      <c r="AF57" s="339">
        <f t="shared" si="93"/>
        <v>0</v>
      </c>
      <c r="AG57" s="331"/>
      <c r="AH57" s="339">
        <f t="shared" si="94"/>
        <v>0</v>
      </c>
      <c r="AI57" s="331"/>
      <c r="AJ57" s="339">
        <f t="shared" si="104"/>
        <v>0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39000000</v>
      </c>
      <c r="AX57" s="341">
        <f t="shared" si="98"/>
        <v>156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/>
      <c r="AF58" s="339">
        <f t="shared" si="93"/>
        <v>0</v>
      </c>
      <c r="AG58" s="331"/>
      <c r="AH58" s="339">
        <f t="shared" si="94"/>
        <v>0</v>
      </c>
      <c r="AI58" s="331"/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3000000</v>
      </c>
      <c r="J59" s="190">
        <f t="shared" si="90"/>
        <v>4</v>
      </c>
      <c r="K59" s="191">
        <f t="shared" si="100"/>
        <v>-360750000</v>
      </c>
      <c r="L59" s="190">
        <f t="shared" si="91"/>
        <v>-481</v>
      </c>
      <c r="M59" s="192">
        <f t="shared" si="101"/>
        <v>0.82474226804123718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/>
      <c r="AF59" s="339">
        <f t="shared" si="93"/>
        <v>0</v>
      </c>
      <c r="AG59" s="331"/>
      <c r="AH59" s="339">
        <f t="shared" si="94"/>
        <v>0</v>
      </c>
      <c r="AI59" s="331"/>
      <c r="AJ59" s="339">
        <f t="shared" si="104"/>
        <v>0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3000000</v>
      </c>
      <c r="AX59" s="341">
        <f t="shared" si="98"/>
        <v>4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3000000</v>
      </c>
      <c r="J60" s="190">
        <f t="shared" si="90"/>
        <v>3</v>
      </c>
      <c r="K60" s="191">
        <f t="shared" si="100"/>
        <v>-384000000</v>
      </c>
      <c r="L60" s="190">
        <f t="shared" si="91"/>
        <v>-384</v>
      </c>
      <c r="M60" s="192">
        <f t="shared" si="101"/>
        <v>0.77519379844961245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/>
      <c r="AF60" s="339">
        <f t="shared" si="93"/>
        <v>0</v>
      </c>
      <c r="AG60" s="331"/>
      <c r="AH60" s="339">
        <f t="shared" si="94"/>
        <v>0</v>
      </c>
      <c r="AI60" s="331"/>
      <c r="AJ60" s="339">
        <f t="shared" si="104"/>
        <v>0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3000000</v>
      </c>
      <c r="AX60" s="341">
        <f t="shared" si="98"/>
        <v>3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1300000</v>
      </c>
      <c r="J61" s="190">
        <f t="shared" si="90"/>
        <v>13</v>
      </c>
      <c r="K61" s="191">
        <f t="shared" si="100"/>
        <v>-88700000</v>
      </c>
      <c r="L61" s="190">
        <f t="shared" si="91"/>
        <v>-887</v>
      </c>
      <c r="M61" s="192">
        <f t="shared" si="101"/>
        <v>1.4444444444444444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/>
      <c r="AF61" s="339">
        <f t="shared" si="93"/>
        <v>0</v>
      </c>
      <c r="AG61" s="331"/>
      <c r="AH61" s="339">
        <f t="shared" si="94"/>
        <v>0</v>
      </c>
      <c r="AI61" s="331"/>
      <c r="AJ61" s="339">
        <f t="shared" si="104"/>
        <v>0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1300000</v>
      </c>
      <c r="AX61" s="341">
        <f t="shared" si="98"/>
        <v>13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26760000</v>
      </c>
      <c r="J62" s="190">
        <f t="shared" si="90"/>
        <v>1784</v>
      </c>
      <c r="K62" s="191">
        <f t="shared" si="100"/>
        <v>-253290000</v>
      </c>
      <c r="L62" s="190">
        <f t="shared" si="91"/>
        <v>-16886</v>
      </c>
      <c r="M62" s="192">
        <f t="shared" si="101"/>
        <v>9.5554365291912156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/>
      <c r="AF62" s="339">
        <f t="shared" si="93"/>
        <v>0</v>
      </c>
      <c r="AG62" s="331"/>
      <c r="AH62" s="339">
        <f t="shared" si="94"/>
        <v>0</v>
      </c>
      <c r="AI62" s="331"/>
      <c r="AJ62" s="339">
        <f t="shared" si="104"/>
        <v>0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26760000</v>
      </c>
      <c r="AX62" s="341">
        <f t="shared" si="98"/>
        <v>1784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23945000</v>
      </c>
      <c r="J63" s="190">
        <f t="shared" si="90"/>
        <v>4789</v>
      </c>
      <c r="K63" s="191">
        <f t="shared" si="100"/>
        <v>23945000</v>
      </c>
      <c r="L63" s="190">
        <f t="shared" si="91"/>
        <v>4789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/>
      <c r="AF63" s="339">
        <f t="shared" si="93"/>
        <v>0</v>
      </c>
      <c r="AG63" s="331"/>
      <c r="AH63" s="339">
        <f t="shared" si="94"/>
        <v>0</v>
      </c>
      <c r="AI63" s="331"/>
      <c r="AJ63" s="339">
        <f t="shared" si="104"/>
        <v>0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23945000</v>
      </c>
      <c r="AX63" s="341">
        <f t="shared" si="98"/>
        <v>4789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/>
      <c r="AF64" s="339">
        <f t="shared" si="93"/>
        <v>0</v>
      </c>
      <c r="AG64" s="331"/>
      <c r="AH64" s="339">
        <f t="shared" si="94"/>
        <v>0</v>
      </c>
      <c r="AI64" s="331"/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975000</v>
      </c>
      <c r="J65" s="190">
        <f t="shared" si="90"/>
        <v>13</v>
      </c>
      <c r="K65" s="191">
        <f t="shared" si="100"/>
        <v>-18975000</v>
      </c>
      <c r="L65" s="190">
        <f t="shared" si="91"/>
        <v>-253</v>
      </c>
      <c r="M65" s="192">
        <f t="shared" si="101"/>
        <v>4.8872180451127818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/>
      <c r="AF65" s="339">
        <f t="shared" si="93"/>
        <v>0</v>
      </c>
      <c r="AG65" s="331"/>
      <c r="AH65" s="339">
        <f t="shared" si="94"/>
        <v>0</v>
      </c>
      <c r="AI65" s="331"/>
      <c r="AJ65" s="339">
        <f t="shared" si="104"/>
        <v>0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975000</v>
      </c>
      <c r="AX65" s="341">
        <f t="shared" si="98"/>
        <v>13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/>
      <c r="AF66" s="339">
        <f t="shared" si="93"/>
        <v>0</v>
      </c>
      <c r="AG66" s="331"/>
      <c r="AH66" s="339">
        <f t="shared" si="94"/>
        <v>0</v>
      </c>
      <c r="AI66" s="331"/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26800000</v>
      </c>
      <c r="J67" s="277"/>
      <c r="K67" s="277">
        <f>I67-G67</f>
        <v>-4973200000</v>
      </c>
      <c r="L67" s="278"/>
      <c r="M67" s="279">
        <f>SUM(I67/G67*100)</f>
        <v>0.53600000000000003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/>
      <c r="AF67" s="429"/>
      <c r="AG67" s="428"/>
      <c r="AH67" s="429"/>
      <c r="AI67" s="428"/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26800000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7981234</v>
      </c>
      <c r="J68" s="282"/>
      <c r="K68" s="277">
        <f>I68-G68</f>
        <v>-232018766</v>
      </c>
      <c r="L68" s="281"/>
      <c r="M68" s="279">
        <f>SUM(I68/G68*100)</f>
        <v>3.3255141666666668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/>
      <c r="AF68" s="429"/>
      <c r="AG68" s="428"/>
      <c r="AH68" s="429"/>
      <c r="AI68" s="428"/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7981234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184791230</v>
      </c>
      <c r="J69" s="286"/>
      <c r="K69" s="277">
        <f>I69-G69</f>
        <v>-415208770</v>
      </c>
      <c r="L69" s="285"/>
      <c r="M69" s="279">
        <f>SUM(I69/G69*100)</f>
        <v>30.79853833333333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/>
      <c r="AF69" s="429"/>
      <c r="AG69" s="428"/>
      <c r="AH69" s="429"/>
      <c r="AI69" s="428"/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184791230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7043699464</v>
      </c>
      <c r="J70" s="287"/>
      <c r="K70" s="287">
        <f>K9+K67+K68+K69</f>
        <v>-95276300536</v>
      </c>
      <c r="L70" s="287"/>
      <c r="M70" s="287">
        <f>SUM(I70/G70*100)</f>
        <v>6.8839908756841277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0</v>
      </c>
      <c r="AF70" s="438">
        <f t="shared" ref="AF70:AH70" si="112">AF9+AF67+AF68+AF69</f>
        <v>0</v>
      </c>
      <c r="AG70" s="437">
        <f>AG9+AG67+AG68+AG69</f>
        <v>0</v>
      </c>
      <c r="AH70" s="437">
        <f t="shared" si="112"/>
        <v>0</v>
      </c>
      <c r="AI70" s="437">
        <f>AI9+AI67+AI68+AI69</f>
        <v>0</v>
      </c>
      <c r="AJ70" s="437">
        <f t="shared" ref="AJ70:AV70" si="113">AJ9+AJ67+AJ68+AJ69</f>
        <v>0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7043699464</v>
      </c>
      <c r="AX70" s="440">
        <f>Z70+AB70+AD70+AF70+AH70+AJ70+AL70+AN70+AP70+AR70+AT70+AV70</f>
        <v>1434445</v>
      </c>
      <c r="AY70" s="5"/>
      <c r="BB70" s="1"/>
      <c r="BC70" s="1"/>
      <c r="BD70" s="1"/>
      <c r="BE70" s="1"/>
      <c r="BF70" s="1"/>
      <c r="BG70" s="1"/>
    </row>
    <row r="71" spans="1:59" s="4" customFormat="1" x14ac:dyDescent="0.25">
      <c r="A71" s="299"/>
      <c r="B71" s="299"/>
      <c r="C71" s="299"/>
      <c r="D71" s="299"/>
      <c r="E71" s="299"/>
      <c r="F71" s="299"/>
      <c r="G71" s="300"/>
      <c r="H71" s="288"/>
      <c r="I71" s="300"/>
      <c r="J71" s="288"/>
      <c r="K71" s="300"/>
      <c r="L71" s="288"/>
      <c r="M71" s="28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BB71" s="1"/>
      <c r="BC71" s="1"/>
      <c r="BD71" s="1"/>
      <c r="BE71" s="1"/>
      <c r="BF71" s="1"/>
      <c r="BG71" s="1"/>
    </row>
    <row r="72" spans="1:59" s="4" customFormat="1" x14ac:dyDescent="0.25">
      <c r="A72" s="288"/>
      <c r="B72" s="288"/>
      <c r="C72" s="301"/>
      <c r="D72" s="301"/>
      <c r="E72" s="301"/>
      <c r="F72" s="288"/>
      <c r="G72" s="288"/>
      <c r="H72" s="288"/>
      <c r="I72" s="288"/>
      <c r="J72" s="676" t="s">
        <v>225</v>
      </c>
      <c r="K72" s="676"/>
      <c r="L72" s="676"/>
      <c r="M72" s="676"/>
      <c r="T72" s="21"/>
      <c r="U72" s="22"/>
      <c r="V72" s="22"/>
      <c r="W72" s="22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BB72" s="1"/>
      <c r="BC72" s="1"/>
      <c r="BD72" s="1"/>
      <c r="BE72" s="1"/>
      <c r="BF72" s="1"/>
      <c r="BG72" s="1"/>
    </row>
    <row r="73" spans="1:59" s="4" customFormat="1" x14ac:dyDescent="0.25">
      <c r="A73" s="288"/>
      <c r="B73" s="288"/>
      <c r="C73" s="301"/>
      <c r="D73" s="301"/>
      <c r="E73" s="301"/>
      <c r="F73" s="288"/>
      <c r="G73" s="302"/>
      <c r="H73" s="288"/>
      <c r="I73" s="288"/>
      <c r="J73" s="676" t="s">
        <v>201</v>
      </c>
      <c r="K73" s="676"/>
      <c r="L73" s="676"/>
      <c r="M73" s="676"/>
      <c r="T73" s="21"/>
      <c r="U73" s="22"/>
      <c r="V73" s="22"/>
      <c r="W73" s="22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M73" s="6"/>
      <c r="BB73" s="1"/>
      <c r="BC73" s="1"/>
      <c r="BD73" s="1"/>
      <c r="BE73" s="1"/>
      <c r="BF73" s="1"/>
      <c r="BG73" s="1"/>
    </row>
    <row r="74" spans="1:59" s="4" customFormat="1" x14ac:dyDescent="0.25">
      <c r="A74" s="288"/>
      <c r="B74" s="288"/>
      <c r="C74" s="289"/>
      <c r="D74" s="289"/>
      <c r="E74" s="289"/>
      <c r="F74" s="288"/>
      <c r="G74" s="288"/>
      <c r="H74" s="288"/>
      <c r="I74" s="302"/>
      <c r="J74" s="676" t="s">
        <v>20</v>
      </c>
      <c r="K74" s="676"/>
      <c r="L74" s="676"/>
      <c r="M74" s="676"/>
      <c r="T74" s="21"/>
      <c r="U74" s="23"/>
      <c r="V74" s="23"/>
      <c r="W74" s="23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BB74" s="1"/>
      <c r="BC74" s="1"/>
      <c r="BD74" s="1"/>
      <c r="BE74" s="1"/>
      <c r="BF74" s="1"/>
      <c r="BG74" s="1"/>
    </row>
    <row r="75" spans="1:59" s="4" customFormat="1" x14ac:dyDescent="0.25">
      <c r="A75" s="288"/>
      <c r="B75" s="288"/>
      <c r="C75" s="289"/>
      <c r="D75" s="289"/>
      <c r="E75" s="289"/>
      <c r="F75" s="288"/>
      <c r="G75" s="288"/>
      <c r="H75" s="288"/>
      <c r="I75" s="288"/>
      <c r="J75" s="676" t="s">
        <v>53</v>
      </c>
      <c r="K75" s="676"/>
      <c r="L75" s="676"/>
      <c r="M75" s="676"/>
      <c r="T75" s="21"/>
      <c r="U75" s="23"/>
      <c r="V75" s="23"/>
      <c r="W75" s="23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BB75" s="1"/>
      <c r="BC75" s="1"/>
      <c r="BD75" s="1"/>
      <c r="BE75" s="1"/>
      <c r="BF75" s="1"/>
      <c r="BG75" s="1"/>
    </row>
    <row r="76" spans="1:59" s="4" customFormat="1" x14ac:dyDescent="0.25">
      <c r="A76" s="288"/>
      <c r="B76" s="288"/>
      <c r="C76" s="289"/>
      <c r="D76" s="289"/>
      <c r="E76" s="289"/>
      <c r="F76" s="288"/>
      <c r="G76" s="288"/>
      <c r="H76" s="288"/>
      <c r="I76" s="288"/>
      <c r="J76" s="303"/>
      <c r="K76" s="677" t="s">
        <v>54</v>
      </c>
      <c r="L76" s="677"/>
      <c r="M76" s="303"/>
      <c r="T76" s="21"/>
      <c r="U76" s="23"/>
      <c r="V76" s="23"/>
      <c r="W76" s="23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BB76" s="1"/>
      <c r="BC76" s="1"/>
      <c r="BD76" s="1"/>
      <c r="BE76" s="1"/>
      <c r="BF76" s="1"/>
      <c r="BG76" s="1"/>
    </row>
    <row r="77" spans="1:59" s="4" customFormat="1" x14ac:dyDescent="0.25">
      <c r="A77" s="288"/>
      <c r="B77" s="288"/>
      <c r="C77" s="289"/>
      <c r="D77" s="289"/>
      <c r="E77" s="289"/>
      <c r="F77" s="288"/>
      <c r="G77" s="288"/>
      <c r="H77" s="288"/>
      <c r="I77" s="288"/>
      <c r="J77" s="303"/>
      <c r="K77" s="303"/>
      <c r="L77" s="303"/>
      <c r="M77" s="303"/>
      <c r="T77" s="21"/>
      <c r="U77" s="23"/>
      <c r="V77" s="23"/>
      <c r="W77" s="23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BB77" s="1"/>
      <c r="BC77" s="1"/>
      <c r="BD77" s="1"/>
      <c r="BE77" s="1"/>
      <c r="BF77" s="1"/>
      <c r="BG77" s="1"/>
    </row>
    <row r="78" spans="1:59" s="4" customFormat="1" x14ac:dyDescent="0.25">
      <c r="A78" s="288"/>
      <c r="B78" s="288"/>
      <c r="C78" s="289"/>
      <c r="D78" s="289"/>
      <c r="E78" s="289"/>
      <c r="F78" s="288"/>
      <c r="G78" s="288"/>
      <c r="H78" s="288"/>
      <c r="I78" s="288"/>
      <c r="J78" s="303"/>
      <c r="K78" s="303"/>
      <c r="L78" s="303"/>
      <c r="M78" s="303"/>
      <c r="T78" s="21"/>
      <c r="U78" s="23"/>
      <c r="V78" s="23"/>
      <c r="W78" s="23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BB78" s="1"/>
      <c r="BC78" s="1"/>
      <c r="BD78" s="1"/>
      <c r="BE78" s="1"/>
      <c r="BF78" s="1"/>
      <c r="BG78" s="1"/>
    </row>
    <row r="79" spans="1:59" s="4" customFormat="1" ht="15.6" customHeight="1" x14ac:dyDescent="0.25">
      <c r="A79" s="288"/>
      <c r="B79" s="288"/>
      <c r="C79" s="289"/>
      <c r="D79" s="289"/>
      <c r="E79" s="289"/>
      <c r="F79" s="288"/>
      <c r="G79" s="288"/>
      <c r="H79" s="288"/>
      <c r="I79" s="288"/>
      <c r="J79" s="676" t="s">
        <v>198</v>
      </c>
      <c r="K79" s="676"/>
      <c r="L79" s="676"/>
      <c r="M79" s="676"/>
      <c r="T79" s="21"/>
      <c r="U79" s="23"/>
      <c r="V79" s="23"/>
      <c r="W79" s="23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BB79" s="1"/>
      <c r="BC79" s="1"/>
      <c r="BD79" s="1"/>
      <c r="BE79" s="1"/>
      <c r="BF79" s="1"/>
      <c r="BG79" s="1"/>
    </row>
    <row r="80" spans="1:59" s="4" customFormat="1" ht="15.6" customHeight="1" x14ac:dyDescent="0.25">
      <c r="A80" s="288"/>
      <c r="B80" s="288"/>
      <c r="C80" s="288"/>
      <c r="D80" s="288"/>
      <c r="E80" s="288"/>
      <c r="F80" s="288"/>
      <c r="G80" s="288"/>
      <c r="H80" s="288"/>
      <c r="I80" s="288"/>
      <c r="J80" s="676" t="s">
        <v>199</v>
      </c>
      <c r="K80" s="676"/>
      <c r="L80" s="676"/>
      <c r="M80" s="676"/>
      <c r="T80" s="21"/>
      <c r="U80" s="21"/>
      <c r="V80" s="21"/>
      <c r="W80" s="2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BB80" s="1"/>
      <c r="BC80" s="1"/>
      <c r="BD80" s="1"/>
      <c r="BE80" s="1"/>
      <c r="BF80" s="1"/>
      <c r="BG80" s="1"/>
    </row>
    <row r="81" spans="1:13" x14ac:dyDescent="0.25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</row>
    <row r="82" spans="1:13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3:M73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2:M72"/>
    <mergeCell ref="J74:M74"/>
    <mergeCell ref="J75:M75"/>
    <mergeCell ref="K76:L76"/>
    <mergeCell ref="J79:M79"/>
    <mergeCell ref="J80:M80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CEF4-7ED0-492E-9260-7BAA52491EE5}">
  <dimension ref="A1:BG82"/>
  <sheetViews>
    <sheetView showOutlineSymbols="0" zoomScale="110" zoomScaleNormal="110" workbookViewId="0">
      <selection sqref="A1:M1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226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9444703750</v>
      </c>
      <c r="J9" s="165">
        <f t="shared" si="0"/>
        <v>2013294</v>
      </c>
      <c r="K9" s="164">
        <f>SUM(K10+K30+K36+K44)</f>
        <v>-87035296250</v>
      </c>
      <c r="L9" s="165">
        <f t="shared" si="0"/>
        <v>-20116921.800000001</v>
      </c>
      <c r="M9" s="166">
        <f>SUM(I9/G9*100)</f>
        <v>9.7892866397180764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0</v>
      </c>
      <c r="AH9" s="312">
        <f t="shared" si="3"/>
        <v>0</v>
      </c>
      <c r="AI9" s="312">
        <f>AI10+AI30+AI36+AI44</f>
        <v>0</v>
      </c>
      <c r="AJ9" s="312">
        <f t="shared" ref="AJ9:AV9" si="4">AJ10+AJ30+AJ36+AJ44</f>
        <v>0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9444703750</v>
      </c>
      <c r="AX9" s="315">
        <f t="shared" ref="AX9:AX16" si="6">Z9+AB9+AD9+AF9+AH9+AJ9+AL9+AN9+AP9+AR9+AT9+AV9</f>
        <v>2013294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6960208750</v>
      </c>
      <c r="J10" s="171">
        <f t="shared" si="7"/>
        <v>1705989</v>
      </c>
      <c r="K10" s="170">
        <f>SUM(K12:K29)</f>
        <v>-67970991250</v>
      </c>
      <c r="L10" s="171">
        <f t="shared" si="7"/>
        <v>-16866309</v>
      </c>
      <c r="M10" s="170">
        <f>SUM(I10/G10*100)</f>
        <v>9.2887992585198162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0</v>
      </c>
      <c r="AH10" s="320">
        <f t="shared" si="10"/>
        <v>0</v>
      </c>
      <c r="AI10" s="320">
        <f>SUM(AI12:AI29)</f>
        <v>0</v>
      </c>
      <c r="AJ10" s="320">
        <f t="shared" ref="AJ10:AV10" si="11">SUM(AJ12:AJ29)</f>
        <v>0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6960208750</v>
      </c>
      <c r="AX10" s="323">
        <f t="shared" si="6"/>
        <v>1705989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4239916000</v>
      </c>
      <c r="J12" s="184">
        <f>I12/R12</f>
        <v>1059979</v>
      </c>
      <c r="K12" s="185">
        <f>I12-G12</f>
        <v>-33160084000</v>
      </c>
      <c r="L12" s="184">
        <f>J12-H12</f>
        <v>-8290021</v>
      </c>
      <c r="M12" s="186">
        <f>SUM(I12/G12*100)</f>
        <v>11.336673796791445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/>
      <c r="AH12" s="339">
        <f>SUM(AG12/R12)</f>
        <v>0</v>
      </c>
      <c r="AI12" s="338"/>
      <c r="AJ12" s="339">
        <f>SUM(AI12/R12)</f>
        <v>0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4239916000</v>
      </c>
      <c r="AX12" s="341">
        <f t="shared" si="6"/>
        <v>1059979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1077870000</v>
      </c>
      <c r="J13" s="190">
        <f t="shared" ref="J13:J29" si="14">I13/R13</f>
        <v>359290</v>
      </c>
      <c r="K13" s="191">
        <f t="shared" ref="K13:L29" si="15">I13-G13</f>
        <v>-10172130000</v>
      </c>
      <c r="L13" s="190">
        <f t="shared" si="15"/>
        <v>-3390710</v>
      </c>
      <c r="M13" s="192">
        <f t="shared" ref="M13:M28" si="16">SUM(I13/G13*100)</f>
        <v>9.5810666666666666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/>
      <c r="AH13" s="339">
        <f>SUM(AG13/R13)</f>
        <v>0</v>
      </c>
      <c r="AI13" s="338"/>
      <c r="AJ13" s="339">
        <f>SUM(AI13/R13)</f>
        <v>0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1077870000</v>
      </c>
      <c r="AX13" s="341">
        <f t="shared" si="6"/>
        <v>359290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4467000</v>
      </c>
      <c r="J15" s="190">
        <f t="shared" si="14"/>
        <v>1489</v>
      </c>
      <c r="K15" s="191">
        <f t="shared" si="15"/>
        <v>-205533000</v>
      </c>
      <c r="L15" s="190">
        <f t="shared" si="15"/>
        <v>-68511</v>
      </c>
      <c r="M15" s="192">
        <f t="shared" si="16"/>
        <v>2.1271428571428572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/>
      <c r="AH15" s="339">
        <f>SUM(AG15/R15)</f>
        <v>0</v>
      </c>
      <c r="AI15" s="338"/>
      <c r="AJ15" s="339">
        <f>SUM(AI15/R15)</f>
        <v>0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4467000</v>
      </c>
      <c r="AX15" s="341">
        <f t="shared" si="6"/>
        <v>1489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16508250</v>
      </c>
      <c r="J16" s="197">
        <f t="shared" si="14"/>
        <v>7337</v>
      </c>
      <c r="K16" s="198">
        <f t="shared" si="15"/>
        <v>-207490500</v>
      </c>
      <c r="L16" s="197">
        <f t="shared" si="15"/>
        <v>-92218</v>
      </c>
      <c r="M16" s="199">
        <f t="shared" si="16"/>
        <v>7.369795590377179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/>
      <c r="AH16" s="339">
        <f>SUM(AG16/R16)</f>
        <v>0</v>
      </c>
      <c r="AI16" s="338"/>
      <c r="AJ16" s="339">
        <f>SUM(AI16/R16)</f>
        <v>0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16508250</v>
      </c>
      <c r="AX16" s="356">
        <f t="shared" si="6"/>
        <v>7337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/>
      <c r="AH19" s="339">
        <f>SUM(AG19/R19)</f>
        <v>0</v>
      </c>
      <c r="AI19" s="338"/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/>
      <c r="AH20" s="339">
        <f t="shared" ref="AH20:AH22" si="25">SUM(AG20/R20)</f>
        <v>0</v>
      </c>
      <c r="AI20" s="338"/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/>
      <c r="AH21" s="339">
        <f t="shared" si="25"/>
        <v>0</v>
      </c>
      <c r="AI21" s="338"/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194235000</v>
      </c>
      <c r="J22" s="190">
        <f t="shared" si="14"/>
        <v>77694</v>
      </c>
      <c r="K22" s="191">
        <f t="shared" si="15"/>
        <v>-5966497500</v>
      </c>
      <c r="L22" s="190">
        <f t="shared" si="15"/>
        <v>-2386599</v>
      </c>
      <c r="M22" s="192">
        <f t="shared" si="16"/>
        <v>3.15279067870582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/>
      <c r="AH22" s="339">
        <f t="shared" si="25"/>
        <v>0</v>
      </c>
      <c r="AI22" s="338"/>
      <c r="AJ22" s="339">
        <f t="shared" si="26"/>
        <v>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194235000</v>
      </c>
      <c r="AX22" s="341">
        <f t="shared" si="19"/>
        <v>77694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282966000</v>
      </c>
      <c r="J24" s="190">
        <f t="shared" si="14"/>
        <v>47161</v>
      </c>
      <c r="K24" s="191">
        <f t="shared" si="15"/>
        <v>-5717034000</v>
      </c>
      <c r="L24" s="190">
        <f t="shared" si="15"/>
        <v>-952839</v>
      </c>
      <c r="M24" s="192">
        <f t="shared" si="16"/>
        <v>4.7161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/>
      <c r="AH24" s="339">
        <f>SUM(AG24/R24)</f>
        <v>0</v>
      </c>
      <c r="AI24" s="331"/>
      <c r="AJ24" s="339">
        <f>SUM(AI24/R24)</f>
        <v>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282966000</v>
      </c>
      <c r="AX24" s="341">
        <f t="shared" si="19"/>
        <v>47161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1138927500</v>
      </c>
      <c r="J25" s="190">
        <f t="shared" si="14"/>
        <v>151857</v>
      </c>
      <c r="K25" s="191">
        <f t="shared" si="15"/>
        <v>-12361072500</v>
      </c>
      <c r="L25" s="190">
        <f t="shared" si="15"/>
        <v>-1648143</v>
      </c>
      <c r="M25" s="192">
        <f t="shared" si="16"/>
        <v>8.4364999999999988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/>
      <c r="AH25" s="339">
        <f>SUM(AG25/R25)</f>
        <v>0</v>
      </c>
      <c r="AI25" s="331"/>
      <c r="AJ25" s="339">
        <f>SUM(AI25/R25)</f>
        <v>0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1138927500</v>
      </c>
      <c r="AX25" s="341">
        <f t="shared" si="19"/>
        <v>151857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5319000</v>
      </c>
      <c r="J27" s="190">
        <f t="shared" si="14"/>
        <v>1182</v>
      </c>
      <c r="K27" s="191">
        <f t="shared" si="15"/>
        <v>-113931000</v>
      </c>
      <c r="L27" s="190">
        <f t="shared" si="15"/>
        <v>-25318</v>
      </c>
      <c r="M27" s="192">
        <f t="shared" si="16"/>
        <v>4.4603773584905655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/>
      <c r="AH27" s="339">
        <f>SUM(AG27/R27)</f>
        <v>0</v>
      </c>
      <c r="AI27" s="331"/>
      <c r="AJ27" s="339">
        <f>SUM(AI27/R27)</f>
        <v>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5319000</v>
      </c>
      <c r="AX27" s="341">
        <f t="shared" si="19"/>
        <v>1182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0</v>
      </c>
      <c r="J28" s="190">
        <f t="shared" si="14"/>
        <v>0</v>
      </c>
      <c r="K28" s="191">
        <f t="shared" si="15"/>
        <v>-67218750</v>
      </c>
      <c r="L28" s="190">
        <f t="shared" si="15"/>
        <v>-11950</v>
      </c>
      <c r="M28" s="192">
        <f t="shared" si="16"/>
        <v>0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/>
      <c r="AH28" s="339">
        <f t="shared" ref="AH28:AH29" si="35">SUM(AG28/R28)</f>
        <v>0</v>
      </c>
      <c r="AI28" s="331"/>
      <c r="AJ28" s="339">
        <f t="shared" ref="AJ28:AJ29" si="36">SUM(AI28/R28)</f>
        <v>0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0</v>
      </c>
      <c r="AX28" s="341">
        <f t="shared" si="19"/>
        <v>0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/>
      <c r="AH29" s="339">
        <f t="shared" si="35"/>
        <v>0</v>
      </c>
      <c r="AI29" s="338"/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1185245000</v>
      </c>
      <c r="J30" s="219">
        <f t="shared" si="40"/>
        <v>22723</v>
      </c>
      <c r="K30" s="218">
        <f>SUM(K32:K35)</f>
        <v>-4311055000</v>
      </c>
      <c r="L30" s="218">
        <f t="shared" si="40"/>
        <v>-137085.79999999999</v>
      </c>
      <c r="M30" s="220">
        <f>SUM(I30/G30*100)</f>
        <v>21.564416061714244</v>
      </c>
      <c r="N30" s="6" t="s">
        <v>69</v>
      </c>
      <c r="O30" s="488">
        <f>SUM(G19:G29)</f>
        <v>25847201250</v>
      </c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0</v>
      </c>
      <c r="AH30" s="373">
        <f t="shared" si="43"/>
        <v>0</v>
      </c>
      <c r="AI30" s="373">
        <f>SUM(AI32:AI35)</f>
        <v>0</v>
      </c>
      <c r="AJ30" s="373">
        <f t="shared" ref="AJ30:AV30" si="44">SUM(AJ32:AJ35)</f>
        <v>0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1185245000</v>
      </c>
      <c r="AX30" s="375">
        <f t="shared" si="19"/>
        <v>22723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129510000</v>
      </c>
      <c r="J33" s="190">
        <f t="shared" ref="J33:J35" si="46">I33/R33</f>
        <v>12951</v>
      </c>
      <c r="K33" s="191">
        <f t="shared" ref="K33:L35" si="47">I33-G33</f>
        <v>-682990000</v>
      </c>
      <c r="L33" s="190">
        <f t="shared" si="47"/>
        <v>-68299</v>
      </c>
      <c r="M33" s="192">
        <f>SUM(I33/G33*100)</f>
        <v>15.939692307692308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/>
      <c r="AH33" s="339">
        <f>SUM(AG33/R33)</f>
        <v>0</v>
      </c>
      <c r="AI33" s="338"/>
      <c r="AJ33" s="339">
        <f>SUM(AI33/R33)</f>
        <v>0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129510000</v>
      </c>
      <c r="AX33" s="341">
        <f>Z33+AB33+AD33+AF33+AH33+AJ33+AL33+AN33+AP33+AR33+AT33+AV33</f>
        <v>12951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132735000</v>
      </c>
      <c r="J34" s="190">
        <f t="shared" si="46"/>
        <v>8849</v>
      </c>
      <c r="K34" s="191">
        <f t="shared" si="47"/>
        <v>-992265000</v>
      </c>
      <c r="L34" s="190">
        <f t="shared" si="47"/>
        <v>-66151</v>
      </c>
      <c r="M34" s="192">
        <f t="shared" ref="M34:M35" si="52">SUM(I34/G34*100)</f>
        <v>11.798666666666668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/>
      <c r="AH34" s="339">
        <f t="shared" ref="AH34:AH35" si="56">SUM(AG34/R34)</f>
        <v>0</v>
      </c>
      <c r="AI34" s="338"/>
      <c r="AJ34" s="339">
        <f t="shared" ref="AJ34:AJ35" si="57">SUM(AI34/R34)</f>
        <v>0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132735000</v>
      </c>
      <c r="AX34" s="341">
        <f>Z34+AB34+AD34+AF34+AH34+AJ34+AL34+AN34+AP34+AR34+AT34+AV34</f>
        <v>8849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923000000</v>
      </c>
      <c r="J35" s="190">
        <f t="shared" si="46"/>
        <v>923</v>
      </c>
      <c r="K35" s="191">
        <f t="shared" si="47"/>
        <v>-2635800000</v>
      </c>
      <c r="L35" s="190">
        <f t="shared" si="47"/>
        <v>-2635.8</v>
      </c>
      <c r="M35" s="192">
        <f t="shared" si="52"/>
        <v>25.935708665842416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/>
      <c r="AH35" s="339">
        <f t="shared" si="56"/>
        <v>0</v>
      </c>
      <c r="AI35" s="338"/>
      <c r="AJ35" s="339">
        <f t="shared" si="57"/>
        <v>0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923000000</v>
      </c>
      <c r="AX35" s="341">
        <f>Z35+AB35+AD35+AF35+AH35+AJ35+AL35+AN35+AP35+AR35+AT35+AV35</f>
        <v>923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1068955000</v>
      </c>
      <c r="J36" s="219">
        <f t="shared" si="61"/>
        <v>262791</v>
      </c>
      <c r="K36" s="218">
        <f t="shared" si="61"/>
        <v>-11435045000</v>
      </c>
      <c r="L36" s="218">
        <f t="shared" si="61"/>
        <v>-2756397</v>
      </c>
      <c r="M36" s="218">
        <f>SUM(I36/G36*100)</f>
        <v>8.5489043506078062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0</v>
      </c>
      <c r="AH36" s="373">
        <f t="shared" si="64"/>
        <v>0</v>
      </c>
      <c r="AI36" s="373">
        <f>SUM(AI38:AI43)</f>
        <v>0</v>
      </c>
      <c r="AJ36" s="373">
        <f t="shared" ref="AJ36:AV36" si="65">SUM(AJ38:AJ43)</f>
        <v>0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1068955000</v>
      </c>
      <c r="AX36" s="393">
        <f>Z36+AB36+AD36+AF36+AH36+AJ36+AL36+AN36+AP36+AR36+AT36+AV36</f>
        <v>262791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22635000</v>
      </c>
      <c r="J39" s="190">
        <f t="shared" ref="J39:J43" si="69">I39/R39</f>
        <v>1509</v>
      </c>
      <c r="K39" s="191">
        <f t="shared" ref="K39:L43" si="70">I39-G39</f>
        <v>-337365000</v>
      </c>
      <c r="L39" s="190">
        <f t="shared" si="70"/>
        <v>-22491</v>
      </c>
      <c r="M39" s="192">
        <f>SUM(I39/G39*100)</f>
        <v>6.2874999999999996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/>
      <c r="AH39" s="399">
        <f>SUM(AG39/R39)</f>
        <v>0</v>
      </c>
      <c r="AI39" s="331"/>
      <c r="AJ39" s="399">
        <f>SUM(AI39/R39)</f>
        <v>0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22635000</v>
      </c>
      <c r="AX39" s="341">
        <f t="shared" si="67"/>
        <v>1509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8800000</v>
      </c>
      <c r="J40" s="190">
        <f t="shared" si="69"/>
        <v>704</v>
      </c>
      <c r="K40" s="191">
        <f t="shared" si="70"/>
        <v>-35200000</v>
      </c>
      <c r="L40" s="190">
        <f t="shared" si="70"/>
        <v>-2816</v>
      </c>
      <c r="M40" s="192">
        <f t="shared" ref="M40:M43" si="76">SUM(I40/G40*100)</f>
        <v>20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/>
      <c r="AH40" s="339">
        <f t="shared" ref="AH40:AH43" si="78">SUM(AG40/R40)</f>
        <v>0</v>
      </c>
      <c r="AI40" s="331"/>
      <c r="AJ40" s="339">
        <f t="shared" ref="AJ40:AJ43" si="79">SUM(AI40/R40)</f>
        <v>0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8800000</v>
      </c>
      <c r="AX40" s="341">
        <f t="shared" si="67"/>
        <v>704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536196000</v>
      </c>
      <c r="J41" s="190">
        <f t="shared" si="69"/>
        <v>89366</v>
      </c>
      <c r="K41" s="191">
        <f t="shared" si="70"/>
        <v>-6213804000</v>
      </c>
      <c r="L41" s="190">
        <f t="shared" si="70"/>
        <v>-1035634</v>
      </c>
      <c r="M41" s="192">
        <f t="shared" si="76"/>
        <v>7.9436444444444447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/>
      <c r="AH41" s="339">
        <f t="shared" si="78"/>
        <v>0</v>
      </c>
      <c r="AI41" s="331"/>
      <c r="AJ41" s="339">
        <f t="shared" si="79"/>
        <v>0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536196000</v>
      </c>
      <c r="AX41" s="341">
        <f t="shared" si="67"/>
        <v>89366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495168000</v>
      </c>
      <c r="J42" s="190">
        <f t="shared" si="69"/>
        <v>165056</v>
      </c>
      <c r="K42" s="191">
        <f t="shared" si="70"/>
        <v>-4729830000</v>
      </c>
      <c r="L42" s="190">
        <f t="shared" si="70"/>
        <v>-1576610</v>
      </c>
      <c r="M42" s="192">
        <f t="shared" si="76"/>
        <v>9.476903149053836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/>
      <c r="AH42" s="339">
        <f t="shared" si="78"/>
        <v>0</v>
      </c>
      <c r="AI42" s="331"/>
      <c r="AJ42" s="339">
        <f t="shared" si="79"/>
        <v>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495168000</v>
      </c>
      <c r="AX42" s="341">
        <f t="shared" si="67"/>
        <v>165056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6156000</v>
      </c>
      <c r="J43" s="190">
        <f t="shared" si="69"/>
        <v>6156</v>
      </c>
      <c r="K43" s="191">
        <f t="shared" si="70"/>
        <v>-118846000</v>
      </c>
      <c r="L43" s="190">
        <f t="shared" si="70"/>
        <v>-118846</v>
      </c>
      <c r="M43" s="192">
        <f t="shared" si="76"/>
        <v>4.9247212044607291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/>
      <c r="AH43" s="339">
        <f t="shared" si="78"/>
        <v>0</v>
      </c>
      <c r="AI43" s="331"/>
      <c r="AJ43" s="339">
        <f t="shared" si="79"/>
        <v>0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6156000</v>
      </c>
      <c r="AX43" s="356">
        <f t="shared" si="67"/>
        <v>6156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230295000</v>
      </c>
      <c r="J44" s="257">
        <f t="shared" si="84"/>
        <v>21791</v>
      </c>
      <c r="K44" s="256">
        <f t="shared" si="84"/>
        <v>-3318205000</v>
      </c>
      <c r="L44" s="257">
        <f t="shared" si="84"/>
        <v>-357130</v>
      </c>
      <c r="M44" s="256">
        <f>SUM(I44/G44*100)</f>
        <v>6.4899253205579823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0</v>
      </c>
      <c r="AH44" s="408">
        <f t="shared" si="87"/>
        <v>0</v>
      </c>
      <c r="AI44" s="408">
        <f>SUM(AI46:AI66)</f>
        <v>0</v>
      </c>
      <c r="AJ44" s="408">
        <f t="shared" ref="AJ44:AV44" si="88">SUM(AJ46:AJ66)</f>
        <v>0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230295000</v>
      </c>
      <c r="AX44" s="360">
        <f t="shared" si="67"/>
        <v>21791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/>
      <c r="AH47" s="339">
        <f t="shared" ref="AH47:AH66" si="94">SUM(AG47/R47)</f>
        <v>0</v>
      </c>
      <c r="AI47" s="331"/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/>
      <c r="AH48" s="339">
        <f t="shared" si="94"/>
        <v>0</v>
      </c>
      <c r="AI48" s="331"/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/>
      <c r="AH49" s="339">
        <f t="shared" si="94"/>
        <v>0</v>
      </c>
      <c r="AI49" s="331"/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/>
      <c r="AH50" s="339">
        <f t="shared" si="94"/>
        <v>0</v>
      </c>
      <c r="AI50" s="331"/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0</v>
      </c>
      <c r="J51" s="190">
        <f t="shared" si="90"/>
        <v>0</v>
      </c>
      <c r="K51" s="191">
        <f t="shared" si="100"/>
        <v>-13500000</v>
      </c>
      <c r="L51" s="190">
        <f t="shared" si="91"/>
        <v>-18</v>
      </c>
      <c r="M51" s="192">
        <f t="shared" si="101"/>
        <v>0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/>
      <c r="AH51" s="339">
        <f t="shared" si="94"/>
        <v>0</v>
      </c>
      <c r="AI51" s="331"/>
      <c r="AJ51" s="339">
        <f t="shared" si="104"/>
        <v>0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0</v>
      </c>
      <c r="AX51" s="341">
        <f t="shared" si="98"/>
        <v>0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/>
      <c r="AH52" s="339">
        <f t="shared" si="94"/>
        <v>0</v>
      </c>
      <c r="AI52" s="331"/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250000</v>
      </c>
      <c r="J53" s="190">
        <f t="shared" si="90"/>
        <v>1</v>
      </c>
      <c r="K53" s="191">
        <f t="shared" si="100"/>
        <v>-4000000</v>
      </c>
      <c r="L53" s="190">
        <f t="shared" si="91"/>
        <v>-16</v>
      </c>
      <c r="M53" s="192">
        <f t="shared" si="101"/>
        <v>5.8823529411764701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/>
      <c r="AH53" s="339">
        <f t="shared" si="94"/>
        <v>0</v>
      </c>
      <c r="AI53" s="331"/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250000</v>
      </c>
      <c r="AX53" s="341">
        <f t="shared" si="98"/>
        <v>1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24350000</v>
      </c>
      <c r="J54" s="190">
        <f t="shared" si="90"/>
        <v>12175</v>
      </c>
      <c r="K54" s="191">
        <f t="shared" si="100"/>
        <v>-675650000</v>
      </c>
      <c r="L54" s="190">
        <f t="shared" si="91"/>
        <v>-337825</v>
      </c>
      <c r="M54" s="192">
        <f t="shared" si="101"/>
        <v>3.4785714285714286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/>
      <c r="AH54" s="339">
        <f t="shared" si="94"/>
        <v>0</v>
      </c>
      <c r="AI54" s="331"/>
      <c r="AJ54" s="339">
        <f t="shared" si="104"/>
        <v>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24350000</v>
      </c>
      <c r="AX54" s="341">
        <f t="shared" si="98"/>
        <v>12175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8900000</v>
      </c>
      <c r="J55" s="190">
        <f t="shared" si="90"/>
        <v>89</v>
      </c>
      <c r="K55" s="191">
        <f t="shared" si="100"/>
        <v>-6100000</v>
      </c>
      <c r="L55" s="190">
        <f t="shared" si="91"/>
        <v>-61</v>
      </c>
      <c r="M55" s="192">
        <f t="shared" si="101"/>
        <v>59.333333333333336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/>
      <c r="AH55" s="339">
        <f t="shared" si="94"/>
        <v>0</v>
      </c>
      <c r="AI55" s="331"/>
      <c r="AJ55" s="339">
        <f t="shared" si="104"/>
        <v>0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8900000</v>
      </c>
      <c r="AX55" s="341">
        <f t="shared" si="98"/>
        <v>89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40700000</v>
      </c>
      <c r="J56" s="190">
        <f t="shared" si="90"/>
        <v>407</v>
      </c>
      <c r="K56" s="191">
        <f t="shared" si="100"/>
        <v>-134300000</v>
      </c>
      <c r="L56" s="190">
        <f t="shared" si="91"/>
        <v>-1343</v>
      </c>
      <c r="M56" s="192">
        <f t="shared" si="101"/>
        <v>23.257142857142856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/>
      <c r="AH56" s="339">
        <f t="shared" si="94"/>
        <v>0</v>
      </c>
      <c r="AI56" s="331"/>
      <c r="AJ56" s="339">
        <f t="shared" si="104"/>
        <v>0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40700000</v>
      </c>
      <c r="AX56" s="341">
        <f t="shared" si="98"/>
        <v>407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65750000</v>
      </c>
      <c r="J57" s="190">
        <f t="shared" si="90"/>
        <v>263</v>
      </c>
      <c r="K57" s="191">
        <f t="shared" si="100"/>
        <v>-1309250000</v>
      </c>
      <c r="L57" s="190">
        <f t="shared" si="91"/>
        <v>-5237</v>
      </c>
      <c r="M57" s="192">
        <f t="shared" si="101"/>
        <v>4.7818181818181813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/>
      <c r="AH57" s="339">
        <f t="shared" si="94"/>
        <v>0</v>
      </c>
      <c r="AI57" s="331"/>
      <c r="AJ57" s="339">
        <f t="shared" si="104"/>
        <v>0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65750000</v>
      </c>
      <c r="AX57" s="341">
        <f t="shared" si="98"/>
        <v>263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/>
      <c r="AH58" s="339">
        <f t="shared" si="94"/>
        <v>0</v>
      </c>
      <c r="AI58" s="331"/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9000000</v>
      </c>
      <c r="J59" s="190">
        <f t="shared" si="90"/>
        <v>12</v>
      </c>
      <c r="K59" s="191">
        <f t="shared" si="100"/>
        <v>-354750000</v>
      </c>
      <c r="L59" s="190">
        <f t="shared" si="91"/>
        <v>-473</v>
      </c>
      <c r="M59" s="192">
        <f t="shared" si="101"/>
        <v>2.4742268041237114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/>
      <c r="AH59" s="339">
        <f t="shared" si="94"/>
        <v>0</v>
      </c>
      <c r="AI59" s="331"/>
      <c r="AJ59" s="339">
        <f t="shared" si="104"/>
        <v>0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9000000</v>
      </c>
      <c r="AX59" s="341">
        <f t="shared" si="98"/>
        <v>12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9000000</v>
      </c>
      <c r="J60" s="190">
        <f t="shared" si="90"/>
        <v>9</v>
      </c>
      <c r="K60" s="191">
        <f t="shared" si="100"/>
        <v>-378000000</v>
      </c>
      <c r="L60" s="190">
        <f t="shared" si="91"/>
        <v>-378</v>
      </c>
      <c r="M60" s="192">
        <f t="shared" si="101"/>
        <v>2.3255813953488373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/>
      <c r="AH60" s="339">
        <f t="shared" si="94"/>
        <v>0</v>
      </c>
      <c r="AI60" s="331"/>
      <c r="AJ60" s="339">
        <f t="shared" si="104"/>
        <v>0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9000000</v>
      </c>
      <c r="AX60" s="341">
        <f t="shared" si="98"/>
        <v>9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2200000</v>
      </c>
      <c r="J61" s="190">
        <f t="shared" si="90"/>
        <v>22</v>
      </c>
      <c r="K61" s="191">
        <f t="shared" si="100"/>
        <v>-87800000</v>
      </c>
      <c r="L61" s="190">
        <f t="shared" si="91"/>
        <v>-878</v>
      </c>
      <c r="M61" s="192">
        <f t="shared" si="101"/>
        <v>2.4444444444444446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/>
      <c r="AH61" s="339">
        <f t="shared" si="94"/>
        <v>0</v>
      </c>
      <c r="AI61" s="331"/>
      <c r="AJ61" s="339">
        <f t="shared" si="104"/>
        <v>0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2200000</v>
      </c>
      <c r="AX61" s="341">
        <f t="shared" si="98"/>
        <v>22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36600000</v>
      </c>
      <c r="J62" s="190">
        <f t="shared" si="90"/>
        <v>2440</v>
      </c>
      <c r="K62" s="191">
        <f t="shared" si="100"/>
        <v>-243450000</v>
      </c>
      <c r="L62" s="190">
        <f t="shared" si="91"/>
        <v>-16230</v>
      </c>
      <c r="M62" s="192">
        <f t="shared" si="101"/>
        <v>13.069094804499196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/>
      <c r="AH62" s="339">
        <f t="shared" si="94"/>
        <v>0</v>
      </c>
      <c r="AI62" s="331"/>
      <c r="AJ62" s="339">
        <f t="shared" si="104"/>
        <v>0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36600000</v>
      </c>
      <c r="AX62" s="341">
        <f t="shared" si="98"/>
        <v>2440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31745000</v>
      </c>
      <c r="J63" s="190">
        <f t="shared" si="90"/>
        <v>6349</v>
      </c>
      <c r="K63" s="191">
        <f t="shared" si="100"/>
        <v>31745000</v>
      </c>
      <c r="L63" s="190">
        <f t="shared" si="91"/>
        <v>6349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/>
      <c r="AH63" s="339">
        <f t="shared" si="94"/>
        <v>0</v>
      </c>
      <c r="AI63" s="331"/>
      <c r="AJ63" s="339">
        <f t="shared" si="104"/>
        <v>0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31745000</v>
      </c>
      <c r="AX63" s="341">
        <f t="shared" si="98"/>
        <v>6349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/>
      <c r="AH64" s="339">
        <f t="shared" si="94"/>
        <v>0</v>
      </c>
      <c r="AI64" s="331"/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1800000</v>
      </c>
      <c r="J65" s="190">
        <f t="shared" si="90"/>
        <v>24</v>
      </c>
      <c r="K65" s="191">
        <f t="shared" si="100"/>
        <v>-18150000</v>
      </c>
      <c r="L65" s="190">
        <f t="shared" si="91"/>
        <v>-242</v>
      </c>
      <c r="M65" s="192">
        <f t="shared" si="101"/>
        <v>9.0225563909774422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/>
      <c r="AH65" s="339">
        <f t="shared" si="94"/>
        <v>0</v>
      </c>
      <c r="AI65" s="331"/>
      <c r="AJ65" s="339">
        <f t="shared" si="104"/>
        <v>0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1800000</v>
      </c>
      <c r="AX65" s="341">
        <f t="shared" si="98"/>
        <v>24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/>
      <c r="AH66" s="339">
        <f t="shared" si="94"/>
        <v>0</v>
      </c>
      <c r="AI66" s="331"/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4390700000</v>
      </c>
      <c r="J67" s="277"/>
      <c r="K67" s="277">
        <f>I67-G67</f>
        <v>-609300000</v>
      </c>
      <c r="L67" s="278"/>
      <c r="M67" s="279">
        <f>SUM(I67/G67*100)</f>
        <v>87.814000000000007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/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4390700000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16767247</v>
      </c>
      <c r="J68" s="282"/>
      <c r="K68" s="277">
        <f>I68-G68</f>
        <v>-223232753</v>
      </c>
      <c r="L68" s="281"/>
      <c r="M68" s="279">
        <f>SUM(I68/G68*100)</f>
        <v>6.9863529166666662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/>
      <c r="AH68" s="429"/>
      <c r="AI68" s="428"/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16767247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255872665</v>
      </c>
      <c r="J69" s="286"/>
      <c r="K69" s="277">
        <f>I69-G69</f>
        <v>-344127335</v>
      </c>
      <c r="L69" s="285"/>
      <c r="M69" s="279">
        <f>SUM(I69/G69*100)</f>
        <v>42.645444166666671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/>
      <c r="AH69" s="429"/>
      <c r="AI69" s="428"/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255872665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14108043662</v>
      </c>
      <c r="J70" s="287"/>
      <c r="K70" s="287">
        <f>K9+K67+K68+K69</f>
        <v>-88211956338</v>
      </c>
      <c r="L70" s="287"/>
      <c r="M70" s="287">
        <f>SUM(I70/G70*100)</f>
        <v>13.788158387412041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0</v>
      </c>
      <c r="AH70" s="437">
        <f t="shared" si="112"/>
        <v>0</v>
      </c>
      <c r="AI70" s="437">
        <f>AI9+AI67+AI68+AI69</f>
        <v>0</v>
      </c>
      <c r="AJ70" s="437">
        <f t="shared" ref="AJ70:AV70" si="113">AJ9+AJ67+AJ68+AJ69</f>
        <v>0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14108043662</v>
      </c>
      <c r="AX70" s="440">
        <f>Z70+AB70+AD70+AF70+AH70+AJ70+AL70+AN70+AP70+AR70+AT70+AV70</f>
        <v>2013294</v>
      </c>
      <c r="AY70" s="5"/>
      <c r="BB70" s="1"/>
      <c r="BC70" s="1"/>
      <c r="BD70" s="1"/>
      <c r="BE70" s="1"/>
      <c r="BF70" s="1"/>
      <c r="BG70" s="1"/>
    </row>
    <row r="71" spans="1:59" s="4" customFormat="1" x14ac:dyDescent="0.25">
      <c r="A71" s="299"/>
      <c r="B71" s="299"/>
      <c r="C71" s="299"/>
      <c r="D71" s="299"/>
      <c r="E71" s="299"/>
      <c r="F71" s="299"/>
      <c r="G71" s="300"/>
      <c r="H71" s="288"/>
      <c r="I71" s="300"/>
      <c r="J71" s="288"/>
      <c r="K71" s="300"/>
      <c r="L71" s="288"/>
      <c r="M71" s="28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BB71" s="1"/>
      <c r="BC71" s="1"/>
      <c r="BD71" s="1"/>
      <c r="BE71" s="1"/>
      <c r="BF71" s="1"/>
      <c r="BG71" s="1"/>
    </row>
    <row r="72" spans="1:59" s="4" customFormat="1" x14ac:dyDescent="0.25">
      <c r="A72" s="288"/>
      <c r="B72" s="288"/>
      <c r="C72" s="301"/>
      <c r="D72" s="301"/>
      <c r="E72" s="301"/>
      <c r="F72" s="288"/>
      <c r="G72" s="288"/>
      <c r="H72" s="288"/>
      <c r="I72" s="288"/>
      <c r="J72" s="676" t="s">
        <v>227</v>
      </c>
      <c r="K72" s="676"/>
      <c r="L72" s="676"/>
      <c r="M72" s="676"/>
      <c r="T72" s="21"/>
      <c r="U72" s="22"/>
      <c r="V72" s="22"/>
      <c r="W72" s="22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BB72" s="1"/>
      <c r="BC72" s="1"/>
      <c r="BD72" s="1"/>
      <c r="BE72" s="1"/>
      <c r="BF72" s="1"/>
      <c r="BG72" s="1"/>
    </row>
    <row r="73" spans="1:59" s="4" customFormat="1" x14ac:dyDescent="0.25">
      <c r="A73" s="288"/>
      <c r="B73" s="288"/>
      <c r="C73" s="301"/>
      <c r="D73" s="301"/>
      <c r="E73" s="301"/>
      <c r="F73" s="288"/>
      <c r="G73" s="302"/>
      <c r="H73" s="288"/>
      <c r="I73" s="288"/>
      <c r="J73" s="676" t="s">
        <v>201</v>
      </c>
      <c r="K73" s="676"/>
      <c r="L73" s="676"/>
      <c r="M73" s="676"/>
      <c r="T73" s="21"/>
      <c r="U73" s="22"/>
      <c r="V73" s="22"/>
      <c r="W73" s="22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M73" s="6"/>
      <c r="BB73" s="1"/>
      <c r="BC73" s="1"/>
      <c r="BD73" s="1"/>
      <c r="BE73" s="1"/>
      <c r="BF73" s="1"/>
      <c r="BG73" s="1"/>
    </row>
    <row r="74" spans="1:59" s="4" customFormat="1" x14ac:dyDescent="0.25">
      <c r="A74" s="288"/>
      <c r="B74" s="288"/>
      <c r="C74" s="289"/>
      <c r="D74" s="289"/>
      <c r="E74" s="289"/>
      <c r="F74" s="288"/>
      <c r="G74" s="288"/>
      <c r="H74" s="288"/>
      <c r="I74" s="302"/>
      <c r="J74" s="676" t="s">
        <v>20</v>
      </c>
      <c r="K74" s="676"/>
      <c r="L74" s="676"/>
      <c r="M74" s="676"/>
      <c r="T74" s="21"/>
      <c r="U74" s="23"/>
      <c r="V74" s="23"/>
      <c r="W74" s="23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BB74" s="1"/>
      <c r="BC74" s="1"/>
      <c r="BD74" s="1"/>
      <c r="BE74" s="1"/>
      <c r="BF74" s="1"/>
      <c r="BG74" s="1"/>
    </row>
    <row r="75" spans="1:59" s="4" customFormat="1" x14ac:dyDescent="0.25">
      <c r="A75" s="288"/>
      <c r="B75" s="288"/>
      <c r="C75" s="289"/>
      <c r="D75" s="289"/>
      <c r="E75" s="289"/>
      <c r="F75" s="288"/>
      <c r="G75" s="288"/>
      <c r="H75" s="288"/>
      <c r="I75" s="288"/>
      <c r="J75" s="676" t="s">
        <v>53</v>
      </c>
      <c r="K75" s="676"/>
      <c r="L75" s="676"/>
      <c r="M75" s="676"/>
      <c r="T75" s="21"/>
      <c r="U75" s="23"/>
      <c r="V75" s="23"/>
      <c r="W75" s="23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BB75" s="1"/>
      <c r="BC75" s="1"/>
      <c r="BD75" s="1"/>
      <c r="BE75" s="1"/>
      <c r="BF75" s="1"/>
      <c r="BG75" s="1"/>
    </row>
    <row r="76" spans="1:59" s="4" customFormat="1" x14ac:dyDescent="0.25">
      <c r="A76" s="288"/>
      <c r="B76" s="288"/>
      <c r="C76" s="289"/>
      <c r="D76" s="289"/>
      <c r="E76" s="289"/>
      <c r="F76" s="288"/>
      <c r="G76" s="288"/>
      <c r="H76" s="288"/>
      <c r="I76" s="288"/>
      <c r="J76" s="303"/>
      <c r="K76" s="677" t="s">
        <v>54</v>
      </c>
      <c r="L76" s="677"/>
      <c r="M76" s="303"/>
      <c r="T76" s="21"/>
      <c r="U76" s="23"/>
      <c r="V76" s="23"/>
      <c r="W76" s="23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BB76" s="1"/>
      <c r="BC76" s="1"/>
      <c r="BD76" s="1"/>
      <c r="BE76" s="1"/>
      <c r="BF76" s="1"/>
      <c r="BG76" s="1"/>
    </row>
    <row r="77" spans="1:59" s="4" customFormat="1" x14ac:dyDescent="0.25">
      <c r="A77" s="288"/>
      <c r="B77" s="288"/>
      <c r="C77" s="289"/>
      <c r="D77" s="289"/>
      <c r="E77" s="289"/>
      <c r="F77" s="288"/>
      <c r="G77" s="288"/>
      <c r="H77" s="288"/>
      <c r="I77" s="288"/>
      <c r="J77" s="303"/>
      <c r="K77" s="303"/>
      <c r="L77" s="303"/>
      <c r="M77" s="303"/>
      <c r="T77" s="21"/>
      <c r="U77" s="23"/>
      <c r="V77" s="23"/>
      <c r="W77" s="23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BB77" s="1"/>
      <c r="BC77" s="1"/>
      <c r="BD77" s="1"/>
      <c r="BE77" s="1"/>
      <c r="BF77" s="1"/>
      <c r="BG77" s="1"/>
    </row>
    <row r="78" spans="1:59" s="4" customFormat="1" x14ac:dyDescent="0.25">
      <c r="A78" s="288"/>
      <c r="B78" s="288"/>
      <c r="C78" s="289"/>
      <c r="D78" s="289"/>
      <c r="E78" s="289"/>
      <c r="F78" s="288"/>
      <c r="G78" s="288"/>
      <c r="H78" s="288"/>
      <c r="I78" s="288"/>
      <c r="J78" s="303"/>
      <c r="K78" s="303"/>
      <c r="L78" s="303"/>
      <c r="M78" s="303"/>
      <c r="T78" s="21"/>
      <c r="U78" s="23"/>
      <c r="V78" s="23"/>
      <c r="W78" s="23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BB78" s="1"/>
      <c r="BC78" s="1"/>
      <c r="BD78" s="1"/>
      <c r="BE78" s="1"/>
      <c r="BF78" s="1"/>
      <c r="BG78" s="1"/>
    </row>
    <row r="79" spans="1:59" s="4" customFormat="1" ht="15.6" customHeight="1" x14ac:dyDescent="0.25">
      <c r="A79" s="288"/>
      <c r="B79" s="288"/>
      <c r="C79" s="289"/>
      <c r="D79" s="289"/>
      <c r="E79" s="289"/>
      <c r="F79" s="288"/>
      <c r="G79" s="288"/>
      <c r="H79" s="288"/>
      <c r="I79" s="288"/>
      <c r="J79" s="676" t="s">
        <v>198</v>
      </c>
      <c r="K79" s="676"/>
      <c r="L79" s="676"/>
      <c r="M79" s="676"/>
      <c r="T79" s="21"/>
      <c r="U79" s="23"/>
      <c r="V79" s="23"/>
      <c r="W79" s="23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BB79" s="1"/>
      <c r="BC79" s="1"/>
      <c r="BD79" s="1"/>
      <c r="BE79" s="1"/>
      <c r="BF79" s="1"/>
      <c r="BG79" s="1"/>
    </row>
    <row r="80" spans="1:59" s="4" customFormat="1" ht="15.6" customHeight="1" x14ac:dyDescent="0.25">
      <c r="A80" s="288"/>
      <c r="B80" s="288"/>
      <c r="C80" s="288"/>
      <c r="D80" s="288"/>
      <c r="E80" s="288"/>
      <c r="F80" s="288"/>
      <c r="G80" s="288"/>
      <c r="H80" s="288"/>
      <c r="I80" s="288"/>
      <c r="J80" s="676" t="s">
        <v>199</v>
      </c>
      <c r="K80" s="676"/>
      <c r="L80" s="676"/>
      <c r="M80" s="676"/>
      <c r="T80" s="21"/>
      <c r="U80" s="21"/>
      <c r="V80" s="21"/>
      <c r="W80" s="2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BB80" s="1"/>
      <c r="BC80" s="1"/>
      <c r="BD80" s="1"/>
      <c r="BE80" s="1"/>
      <c r="BF80" s="1"/>
      <c r="BG80" s="1"/>
    </row>
    <row r="81" spans="1:13" x14ac:dyDescent="0.25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</row>
    <row r="82" spans="1:13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</sheetData>
  <sheetProtection selectLockedCells="1" selectUnlockedCells="1"/>
  <mergeCells count="57">
    <mergeCell ref="J74:M74"/>
    <mergeCell ref="J75:M75"/>
    <mergeCell ref="K76:L76"/>
    <mergeCell ref="J79:M79"/>
    <mergeCell ref="J80:M80"/>
    <mergeCell ref="J73:M73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2:M72"/>
    <mergeCell ref="W17:X17"/>
    <mergeCell ref="E30:F30"/>
    <mergeCell ref="W30:X30"/>
    <mergeCell ref="W31:X31"/>
    <mergeCell ref="E36:F36"/>
    <mergeCell ref="W36:X36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6524-FD35-4B4F-975D-0C81025F212E}">
  <dimension ref="A1:BG81"/>
  <sheetViews>
    <sheetView showOutlineSymbols="0" zoomScale="110" zoomScaleNormal="110" workbookViewId="0">
      <selection sqref="A1:M1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232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12855729000</v>
      </c>
      <c r="J9" s="165">
        <f t="shared" si="0"/>
        <v>2723911</v>
      </c>
      <c r="K9" s="164">
        <f>SUM(K10+K30+K36+K44)</f>
        <v>-83624271000</v>
      </c>
      <c r="L9" s="165">
        <f t="shared" si="0"/>
        <v>-19406304.800000001</v>
      </c>
      <c r="M9" s="166">
        <f>SUM(I9/G9*100)</f>
        <v>13.324760572139304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3411025250</v>
      </c>
      <c r="AH9" s="312">
        <f t="shared" si="3"/>
        <v>710617</v>
      </c>
      <c r="AI9" s="312">
        <f>AI10+AI30+AI36+AI44</f>
        <v>0</v>
      </c>
      <c r="AJ9" s="312">
        <f t="shared" ref="AJ9:AV9" si="4">AJ10+AJ30+AJ36+AJ44</f>
        <v>0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12855729000</v>
      </c>
      <c r="AX9" s="315">
        <f t="shared" ref="AX9:AX16" si="6">Z9+AB9+AD9+AF9+AH9+AJ9+AL9+AN9+AP9+AR9+AT9+AV9</f>
        <v>2723911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9403400500</v>
      </c>
      <c r="J10" s="171">
        <f t="shared" si="7"/>
        <v>2298412</v>
      </c>
      <c r="K10" s="170">
        <f>SUM(K12:K29)</f>
        <v>-65527799500</v>
      </c>
      <c r="L10" s="171">
        <f t="shared" si="7"/>
        <v>-16273886</v>
      </c>
      <c r="M10" s="170">
        <f>SUM(I10/G10*100)</f>
        <v>12.549379297275367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2443191750</v>
      </c>
      <c r="AH10" s="320">
        <f t="shared" si="10"/>
        <v>592423</v>
      </c>
      <c r="AI10" s="320">
        <f>SUM(AI12:AI29)</f>
        <v>0</v>
      </c>
      <c r="AJ10" s="320">
        <f t="shared" ref="AJ10:AV10" si="11">SUM(AJ12:AJ29)</f>
        <v>0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9403400500</v>
      </c>
      <c r="AX10" s="323">
        <f t="shared" si="6"/>
        <v>2298412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5729856000</v>
      </c>
      <c r="J12" s="184">
        <f>I12/R12</f>
        <v>1432464</v>
      </c>
      <c r="K12" s="185">
        <f>I12-G12</f>
        <v>-31670144000</v>
      </c>
      <c r="L12" s="184">
        <f>J12-H12</f>
        <v>-7917536</v>
      </c>
      <c r="M12" s="186">
        <f>SUM(I12/G12*100)</f>
        <v>15.320470588235294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>
        <f>SUM('[1]MEI 26'!AP3)</f>
        <v>1489940000</v>
      </c>
      <c r="AH12" s="339">
        <f>SUM(AG12/R12)</f>
        <v>372485</v>
      </c>
      <c r="AI12" s="338"/>
      <c r="AJ12" s="339">
        <f>SUM(AI12/R12)</f>
        <v>0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5729856000</v>
      </c>
      <c r="AX12" s="341">
        <f t="shared" si="6"/>
        <v>1432464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1421727000</v>
      </c>
      <c r="J13" s="190">
        <f t="shared" ref="J13:J29" si="14">I13/R13</f>
        <v>473909</v>
      </c>
      <c r="K13" s="191">
        <f t="shared" ref="K13:L29" si="15">I13-G13</f>
        <v>-9828273000</v>
      </c>
      <c r="L13" s="190">
        <f t="shared" si="15"/>
        <v>-3276091</v>
      </c>
      <c r="M13" s="192">
        <f t="shared" ref="M13:M28" si="16">SUM(I13/G13*100)</f>
        <v>12.637573333333332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>
        <f>SUM('[1]MEI 26'!AP4)</f>
        <v>343857000</v>
      </c>
      <c r="AH13" s="339">
        <f>SUM(AG13/R13)</f>
        <v>114619</v>
      </c>
      <c r="AI13" s="338"/>
      <c r="AJ13" s="339">
        <f>SUM(AI13/R13)</f>
        <v>0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1421727000</v>
      </c>
      <c r="AX13" s="341">
        <f t="shared" si="6"/>
        <v>473909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5697000</v>
      </c>
      <c r="J15" s="190">
        <f t="shared" si="14"/>
        <v>1899</v>
      </c>
      <c r="K15" s="191">
        <f t="shared" si="15"/>
        <v>-204303000</v>
      </c>
      <c r="L15" s="190">
        <f t="shared" si="15"/>
        <v>-68101</v>
      </c>
      <c r="M15" s="192">
        <f t="shared" si="16"/>
        <v>2.7128571428571431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>
        <f>SUM('[1]MEI 26'!AP5)</f>
        <v>1230000</v>
      </c>
      <c r="AH15" s="339">
        <f>SUM(AG15/R15)</f>
        <v>410</v>
      </c>
      <c r="AI15" s="338"/>
      <c r="AJ15" s="339">
        <f>SUM(AI15/R15)</f>
        <v>0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5697000</v>
      </c>
      <c r="AX15" s="341">
        <f t="shared" si="6"/>
        <v>1899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21487500</v>
      </c>
      <c r="J16" s="197">
        <f t="shared" si="14"/>
        <v>9550</v>
      </c>
      <c r="K16" s="198">
        <f t="shared" si="15"/>
        <v>-202511250</v>
      </c>
      <c r="L16" s="197">
        <f t="shared" si="15"/>
        <v>-90005</v>
      </c>
      <c r="M16" s="199">
        <f t="shared" si="16"/>
        <v>9.5926874591934101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>
        <f>SUM('[1]MEI 26'!AP6)</f>
        <v>4979250</v>
      </c>
      <c r="AH16" s="339">
        <f>SUM(AG16/R16)</f>
        <v>2213</v>
      </c>
      <c r="AI16" s="338"/>
      <c r="AJ16" s="339">
        <f>SUM(AI16/R16)</f>
        <v>0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21487500</v>
      </c>
      <c r="AX16" s="356">
        <f t="shared" si="6"/>
        <v>9550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>
        <f>SUM('[1]MEI 26'!AP7)</f>
        <v>0</v>
      </c>
      <c r="AH19" s="339">
        <f>SUM(AG19/R19)</f>
        <v>0</v>
      </c>
      <c r="AI19" s="338"/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>
        <f>SUM('[1]MEI 26'!AP8)</f>
        <v>0</v>
      </c>
      <c r="AH20" s="339">
        <f t="shared" ref="AH20:AH22" si="25">SUM(AG20/R20)</f>
        <v>0</v>
      </c>
      <c r="AI20" s="338"/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>
        <f>SUM('[1]MEI 26'!AP9)</f>
        <v>0</v>
      </c>
      <c r="AH21" s="339">
        <f t="shared" si="25"/>
        <v>0</v>
      </c>
      <c r="AI21" s="338"/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271277500</v>
      </c>
      <c r="J22" s="190">
        <f t="shared" si="14"/>
        <v>108511</v>
      </c>
      <c r="K22" s="191">
        <f t="shared" si="15"/>
        <v>-5889455000</v>
      </c>
      <c r="L22" s="190">
        <f t="shared" si="15"/>
        <v>-2355782</v>
      </c>
      <c r="M22" s="192">
        <f t="shared" si="16"/>
        <v>4.4033319089897178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>
        <f>SUM('[1]MEI 26'!AP10)</f>
        <v>77042500</v>
      </c>
      <c r="AH22" s="339">
        <f t="shared" si="25"/>
        <v>30817</v>
      </c>
      <c r="AI22" s="338"/>
      <c r="AJ22" s="339">
        <f t="shared" si="26"/>
        <v>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271277500</v>
      </c>
      <c r="AX22" s="341">
        <f t="shared" si="19"/>
        <v>108511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327828000</v>
      </c>
      <c r="J24" s="190">
        <f t="shared" si="14"/>
        <v>54638</v>
      </c>
      <c r="K24" s="191">
        <f t="shared" si="15"/>
        <v>-5672172000</v>
      </c>
      <c r="L24" s="190">
        <f t="shared" si="15"/>
        <v>-945362</v>
      </c>
      <c r="M24" s="192">
        <f t="shared" si="16"/>
        <v>5.4638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>
        <f>SUM('[1]MEI 26'!$AP$11+'[1]MEI 26'!$AP$12)</f>
        <v>44862000</v>
      </c>
      <c r="AH24" s="339">
        <f>SUM(AG24/R24)</f>
        <v>7477</v>
      </c>
      <c r="AI24" s="331"/>
      <c r="AJ24" s="339">
        <f>SUM(AI24/R24)</f>
        <v>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327828000</v>
      </c>
      <c r="AX24" s="341">
        <f t="shared" si="19"/>
        <v>54638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1616797500</v>
      </c>
      <c r="J25" s="190">
        <f t="shared" si="14"/>
        <v>215573</v>
      </c>
      <c r="K25" s="191">
        <f t="shared" si="15"/>
        <v>-11883202500</v>
      </c>
      <c r="L25" s="190">
        <f t="shared" si="15"/>
        <v>-1584427</v>
      </c>
      <c r="M25" s="192">
        <f t="shared" si="16"/>
        <v>11.976277777777778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>
        <f>SUM('[1]MEI 26'!$AP$15+'[1]MEI 26'!$AP$16)</f>
        <v>477870000</v>
      </c>
      <c r="AH25" s="339">
        <f>SUM(AG25/R25)</f>
        <v>63716</v>
      </c>
      <c r="AI25" s="331"/>
      <c r="AJ25" s="339">
        <f>SUM(AI25/R25)</f>
        <v>0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1616797500</v>
      </c>
      <c r="AX25" s="341">
        <f t="shared" si="19"/>
        <v>215573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7110000</v>
      </c>
      <c r="J27" s="190">
        <f t="shared" si="14"/>
        <v>1580</v>
      </c>
      <c r="K27" s="191">
        <f t="shared" si="15"/>
        <v>-112140000</v>
      </c>
      <c r="L27" s="190">
        <f t="shared" si="15"/>
        <v>-24920</v>
      </c>
      <c r="M27" s="192">
        <f t="shared" si="16"/>
        <v>5.9622641509433967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>
        <f>SUM('[1]MEI 26'!$AP$13+'[1]MEI 26'!$AP$14)</f>
        <v>1791000</v>
      </c>
      <c r="AH27" s="339">
        <f>SUM(AG27/R27)</f>
        <v>398</v>
      </c>
      <c r="AI27" s="331"/>
      <c r="AJ27" s="339">
        <f>SUM(AI27/R27)</f>
        <v>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7110000</v>
      </c>
      <c r="AX27" s="341">
        <f t="shared" si="19"/>
        <v>1580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1620000</v>
      </c>
      <c r="J28" s="190">
        <f t="shared" si="14"/>
        <v>288</v>
      </c>
      <c r="K28" s="191">
        <f t="shared" si="15"/>
        <v>-65598750</v>
      </c>
      <c r="L28" s="190">
        <f t="shared" si="15"/>
        <v>-11662</v>
      </c>
      <c r="M28" s="192">
        <f t="shared" si="16"/>
        <v>2.4100418410041842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>
        <f>SUM('[1]MEI 26'!$AP$17+'[1]MEI 26'!$AP$18)</f>
        <v>1620000</v>
      </c>
      <c r="AH28" s="339">
        <f t="shared" ref="AH28:AH29" si="35">SUM(AG28/R28)</f>
        <v>288</v>
      </c>
      <c r="AI28" s="331"/>
      <c r="AJ28" s="339">
        <f t="shared" ref="AJ28:AJ29" si="36">SUM(AI28/R28)</f>
        <v>0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1620000</v>
      </c>
      <c r="AX28" s="341">
        <f t="shared" si="19"/>
        <v>288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>
        <f>SUM('[1]MEI 26'!AP19)</f>
        <v>0</v>
      </c>
      <c r="AH29" s="339">
        <f t="shared" si="35"/>
        <v>0</v>
      </c>
      <c r="AI29" s="338"/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1624740000</v>
      </c>
      <c r="J30" s="219">
        <f t="shared" si="40"/>
        <v>29403</v>
      </c>
      <c r="K30" s="218">
        <f>SUM(K32:K35)</f>
        <v>-3871560000</v>
      </c>
      <c r="L30" s="218">
        <f t="shared" si="40"/>
        <v>-130405.8</v>
      </c>
      <c r="M30" s="220">
        <f>SUM(I30/G30*100)</f>
        <v>29.560613503629714</v>
      </c>
      <c r="N30" s="6" t="s">
        <v>69</v>
      </c>
      <c r="O30" s="488">
        <f>SUM(G19:G29)</f>
        <v>25847201250</v>
      </c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439495000</v>
      </c>
      <c r="AH30" s="373">
        <f t="shared" si="43"/>
        <v>6680</v>
      </c>
      <c r="AI30" s="373">
        <f>SUM(AI32:AI35)</f>
        <v>0</v>
      </c>
      <c r="AJ30" s="373">
        <f t="shared" ref="AJ30:AV30" si="44">SUM(AJ32:AJ35)</f>
        <v>0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1624740000</v>
      </c>
      <c r="AX30" s="375">
        <f t="shared" si="19"/>
        <v>29403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160120000</v>
      </c>
      <c r="J33" s="190">
        <f t="shared" ref="J33:J35" si="46">I33/R33</f>
        <v>16012</v>
      </c>
      <c r="K33" s="191">
        <f t="shared" ref="K33:L35" si="47">I33-G33</f>
        <v>-652380000</v>
      </c>
      <c r="L33" s="190">
        <f t="shared" si="47"/>
        <v>-65238</v>
      </c>
      <c r="M33" s="192">
        <f>SUM(I33/G33*100)</f>
        <v>19.707076923076926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>
        <f>SUM('[1]MEI 26'!AP20)</f>
        <v>30610000</v>
      </c>
      <c r="AH33" s="339">
        <f>SUM(AG33/R33)</f>
        <v>3061</v>
      </c>
      <c r="AI33" s="338"/>
      <c r="AJ33" s="339">
        <f>SUM(AI33/R33)</f>
        <v>0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160120000</v>
      </c>
      <c r="AX33" s="341">
        <f>Z33+AB33+AD33+AF33+AH33+AJ33+AL33+AN33+AP33+AR33+AT33+AV33</f>
        <v>16012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181620000</v>
      </c>
      <c r="J34" s="190">
        <f t="shared" si="46"/>
        <v>12108</v>
      </c>
      <c r="K34" s="191">
        <f t="shared" si="47"/>
        <v>-943380000</v>
      </c>
      <c r="L34" s="190">
        <f t="shared" si="47"/>
        <v>-62892</v>
      </c>
      <c r="M34" s="192">
        <f t="shared" ref="M34:M35" si="52">SUM(I34/G34*100)</f>
        <v>16.143999999999998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>
        <f>SUM('[1]MEI 26'!AP21)</f>
        <v>48885000</v>
      </c>
      <c r="AH34" s="339">
        <f t="shared" ref="AH34:AH35" si="56">SUM(AG34/R34)</f>
        <v>3259</v>
      </c>
      <c r="AI34" s="338"/>
      <c r="AJ34" s="339">
        <f t="shared" ref="AJ34:AJ35" si="57">SUM(AI34/R34)</f>
        <v>0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181620000</v>
      </c>
      <c r="AX34" s="341">
        <f>Z34+AB34+AD34+AF34+AH34+AJ34+AL34+AN34+AP34+AR34+AT34+AV34</f>
        <v>12108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1283000000</v>
      </c>
      <c r="J35" s="190">
        <f t="shared" si="46"/>
        <v>1283</v>
      </c>
      <c r="K35" s="191">
        <f t="shared" si="47"/>
        <v>-2275800000</v>
      </c>
      <c r="L35" s="190">
        <f t="shared" si="47"/>
        <v>-2275.8000000000002</v>
      </c>
      <c r="M35" s="192">
        <f t="shared" si="52"/>
        <v>36.051478026300998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>
        <f>SUM('[1]MEI 26'!AP22)</f>
        <v>360000000</v>
      </c>
      <c r="AH35" s="339">
        <f t="shared" si="56"/>
        <v>360</v>
      </c>
      <c r="AI35" s="338"/>
      <c r="AJ35" s="339">
        <f t="shared" si="57"/>
        <v>0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1283000000</v>
      </c>
      <c r="AX35" s="341">
        <f>Z35+AB35+AD35+AF35+AH35+AJ35+AL35+AN35+AP35+AR35+AT35+AV35</f>
        <v>1283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1494868500</v>
      </c>
      <c r="J36" s="219">
        <f t="shared" si="61"/>
        <v>366906</v>
      </c>
      <c r="K36" s="218">
        <f t="shared" si="61"/>
        <v>-11009131500</v>
      </c>
      <c r="L36" s="218">
        <f t="shared" si="61"/>
        <v>-2652282</v>
      </c>
      <c r="M36" s="218">
        <f>SUM(I36/G36*100)</f>
        <v>11.955122360844529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425913500</v>
      </c>
      <c r="AH36" s="373">
        <f t="shared" si="64"/>
        <v>104115</v>
      </c>
      <c r="AI36" s="373">
        <f>SUM(AI38:AI43)</f>
        <v>0</v>
      </c>
      <c r="AJ36" s="373">
        <f t="shared" ref="AJ36:AV36" si="65">SUM(AJ38:AJ43)</f>
        <v>0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1494868500</v>
      </c>
      <c r="AX36" s="393">
        <f>Z36+AB36+AD36+AF36+AH36+AJ36+AL36+AN36+AP36+AR36+AT36+AV36</f>
        <v>366906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31080000</v>
      </c>
      <c r="J39" s="190">
        <f t="shared" ref="J39:J43" si="69">I39/R39</f>
        <v>2072</v>
      </c>
      <c r="K39" s="191">
        <f t="shared" ref="K39:L43" si="70">I39-G39</f>
        <v>-328920000</v>
      </c>
      <c r="L39" s="190">
        <f t="shared" si="70"/>
        <v>-21928</v>
      </c>
      <c r="M39" s="192">
        <f>SUM(I39/G39*100)</f>
        <v>8.6333333333333329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>
        <f>SUM('[1]MEI 26'!AP23)</f>
        <v>8445000</v>
      </c>
      <c r="AH39" s="399">
        <f>SUM(AG39/R39)</f>
        <v>563</v>
      </c>
      <c r="AI39" s="331"/>
      <c r="AJ39" s="399">
        <f>SUM(AI39/R39)</f>
        <v>0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31080000</v>
      </c>
      <c r="AX39" s="341">
        <f t="shared" si="67"/>
        <v>2072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11937500</v>
      </c>
      <c r="J40" s="190">
        <f t="shared" si="69"/>
        <v>955</v>
      </c>
      <c r="K40" s="191">
        <f t="shared" si="70"/>
        <v>-32062500</v>
      </c>
      <c r="L40" s="190">
        <f t="shared" si="70"/>
        <v>-2565</v>
      </c>
      <c r="M40" s="192">
        <f t="shared" ref="M40:M43" si="76">SUM(I40/G40*100)</f>
        <v>27.130681818181817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>
        <f>SUM('[1]MEI 26'!AP24)</f>
        <v>3137500</v>
      </c>
      <c r="AH40" s="339">
        <f t="shared" ref="AH40:AH43" si="78">SUM(AG40/R40)</f>
        <v>251</v>
      </c>
      <c r="AI40" s="331"/>
      <c r="AJ40" s="339">
        <f t="shared" ref="AJ40:AJ43" si="79">SUM(AI40/R40)</f>
        <v>0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11937500</v>
      </c>
      <c r="AX40" s="341">
        <f t="shared" si="67"/>
        <v>955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762516000</v>
      </c>
      <c r="J41" s="190">
        <f t="shared" si="69"/>
        <v>127086</v>
      </c>
      <c r="K41" s="191">
        <f t="shared" si="70"/>
        <v>-5987484000</v>
      </c>
      <c r="L41" s="190">
        <f t="shared" si="70"/>
        <v>-997914</v>
      </c>
      <c r="M41" s="192">
        <f t="shared" si="76"/>
        <v>11.296533333333333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>
        <f>SUM('[1]MEI 26'!AP25)</f>
        <v>226320000</v>
      </c>
      <c r="AH41" s="339">
        <f t="shared" si="78"/>
        <v>37720</v>
      </c>
      <c r="AI41" s="331"/>
      <c r="AJ41" s="339">
        <f t="shared" si="79"/>
        <v>0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762516000</v>
      </c>
      <c r="AX41" s="341">
        <f t="shared" si="67"/>
        <v>127086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678813000</v>
      </c>
      <c r="J42" s="190">
        <f t="shared" si="69"/>
        <v>226271</v>
      </c>
      <c r="K42" s="191">
        <f t="shared" si="70"/>
        <v>-4546185000</v>
      </c>
      <c r="L42" s="190">
        <f t="shared" si="70"/>
        <v>-1515395</v>
      </c>
      <c r="M42" s="192">
        <f t="shared" si="76"/>
        <v>12.99164133651343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>
        <f>SUM('[1]MEI 26'!AP26)</f>
        <v>183645000</v>
      </c>
      <c r="AH42" s="339">
        <f t="shared" si="78"/>
        <v>61215</v>
      </c>
      <c r="AI42" s="331"/>
      <c r="AJ42" s="339">
        <f t="shared" si="79"/>
        <v>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678813000</v>
      </c>
      <c r="AX42" s="341">
        <f t="shared" si="67"/>
        <v>226271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10522000</v>
      </c>
      <c r="J43" s="190">
        <f t="shared" si="69"/>
        <v>10522</v>
      </c>
      <c r="K43" s="191">
        <f t="shared" si="70"/>
        <v>-114480000</v>
      </c>
      <c r="L43" s="190">
        <f t="shared" si="70"/>
        <v>-114480</v>
      </c>
      <c r="M43" s="192">
        <f t="shared" si="76"/>
        <v>8.4174653205548697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>
        <f>SUM('[1]MEI 26'!AP27)</f>
        <v>4366000</v>
      </c>
      <c r="AH43" s="339">
        <f t="shared" si="78"/>
        <v>4366</v>
      </c>
      <c r="AI43" s="331"/>
      <c r="AJ43" s="339">
        <f t="shared" si="79"/>
        <v>0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10522000</v>
      </c>
      <c r="AX43" s="356">
        <f t="shared" si="67"/>
        <v>10522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332720000</v>
      </c>
      <c r="J44" s="257">
        <f t="shared" si="84"/>
        <v>29190</v>
      </c>
      <c r="K44" s="256">
        <f t="shared" si="84"/>
        <v>-3215780000</v>
      </c>
      <c r="L44" s="257">
        <f t="shared" si="84"/>
        <v>-349731</v>
      </c>
      <c r="M44" s="256">
        <f>SUM(I44/G44*100)</f>
        <v>9.376356206847964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102425000</v>
      </c>
      <c r="AH44" s="408">
        <f t="shared" si="87"/>
        <v>7399</v>
      </c>
      <c r="AI44" s="408">
        <f>SUM(AI46:AI66)</f>
        <v>0</v>
      </c>
      <c r="AJ44" s="408">
        <f t="shared" ref="AJ44:AV44" si="88">SUM(AJ46:AJ66)</f>
        <v>0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332720000</v>
      </c>
      <c r="AX44" s="360">
        <f t="shared" si="67"/>
        <v>29190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>
        <f>SUM('[1]MEI 26'!AP28)</f>
        <v>0</v>
      </c>
      <c r="AH47" s="339">
        <f t="shared" ref="AH47:AH66" si="94">SUM(AG47/R47)</f>
        <v>0</v>
      </c>
      <c r="AI47" s="331"/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>
        <f>SUM('[1]MEI 26'!AP29)</f>
        <v>0</v>
      </c>
      <c r="AH48" s="339">
        <f t="shared" si="94"/>
        <v>0</v>
      </c>
      <c r="AI48" s="331"/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>
        <f>SUM('[1]MEI 26'!AP30)</f>
        <v>0</v>
      </c>
      <c r="AH49" s="339">
        <f t="shared" si="94"/>
        <v>0</v>
      </c>
      <c r="AI49" s="331"/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>
        <f>SUM('[1]MEI 26'!AP31)</f>
        <v>0</v>
      </c>
      <c r="AH50" s="339">
        <f t="shared" si="94"/>
        <v>0</v>
      </c>
      <c r="AI50" s="331"/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0</v>
      </c>
      <c r="J51" s="190">
        <f t="shared" si="90"/>
        <v>0</v>
      </c>
      <c r="K51" s="191">
        <f t="shared" si="100"/>
        <v>-13500000</v>
      </c>
      <c r="L51" s="190">
        <f t="shared" si="91"/>
        <v>-18</v>
      </c>
      <c r="M51" s="192">
        <f t="shared" si="101"/>
        <v>0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>
        <f>SUM('[1]MEI 26'!AP32)</f>
        <v>0</v>
      </c>
      <c r="AH51" s="339">
        <f t="shared" si="94"/>
        <v>0</v>
      </c>
      <c r="AI51" s="331"/>
      <c r="AJ51" s="339">
        <f t="shared" si="104"/>
        <v>0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0</v>
      </c>
      <c r="AX51" s="341">
        <f t="shared" si="98"/>
        <v>0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>
        <f>SUM('[1]MEI 26'!AP33)</f>
        <v>0</v>
      </c>
      <c r="AH52" s="339">
        <f t="shared" si="94"/>
        <v>0</v>
      </c>
      <c r="AI52" s="331"/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250000</v>
      </c>
      <c r="J53" s="190">
        <f t="shared" si="90"/>
        <v>1</v>
      </c>
      <c r="K53" s="191">
        <f t="shared" si="100"/>
        <v>-4000000</v>
      </c>
      <c r="L53" s="190">
        <f t="shared" si="91"/>
        <v>-16</v>
      </c>
      <c r="M53" s="192">
        <f t="shared" si="101"/>
        <v>5.8823529411764701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>
        <f>SUM('[1]MEI 26'!AP34)</f>
        <v>0</v>
      </c>
      <c r="AH53" s="339">
        <f t="shared" si="94"/>
        <v>0</v>
      </c>
      <c r="AI53" s="331"/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250000</v>
      </c>
      <c r="AX53" s="341">
        <f t="shared" si="98"/>
        <v>1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33440000</v>
      </c>
      <c r="J54" s="190">
        <f t="shared" si="90"/>
        <v>16720</v>
      </c>
      <c r="K54" s="191">
        <f t="shared" si="100"/>
        <v>-666560000</v>
      </c>
      <c r="L54" s="190">
        <f t="shared" si="91"/>
        <v>-333280</v>
      </c>
      <c r="M54" s="192">
        <f t="shared" si="101"/>
        <v>4.7771428571428567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>
        <f>SUM('[1]MEI 26'!AP35)</f>
        <v>9090000</v>
      </c>
      <c r="AH54" s="339">
        <f t="shared" si="94"/>
        <v>4545</v>
      </c>
      <c r="AI54" s="331"/>
      <c r="AJ54" s="339">
        <f t="shared" si="104"/>
        <v>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33440000</v>
      </c>
      <c r="AX54" s="341">
        <f t="shared" si="98"/>
        <v>16720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24400000</v>
      </c>
      <c r="J55" s="190">
        <f t="shared" si="90"/>
        <v>244</v>
      </c>
      <c r="K55" s="191">
        <f t="shared" si="100"/>
        <v>9400000</v>
      </c>
      <c r="L55" s="190">
        <f t="shared" si="91"/>
        <v>94</v>
      </c>
      <c r="M55" s="192">
        <f t="shared" si="101"/>
        <v>162.66666666666666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>
        <f>SUM('[1]MEI 26'!AP36)</f>
        <v>15500000</v>
      </c>
      <c r="AH55" s="339">
        <f t="shared" si="94"/>
        <v>155</v>
      </c>
      <c r="AI55" s="331"/>
      <c r="AJ55" s="339">
        <f t="shared" si="104"/>
        <v>0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24400000</v>
      </c>
      <c r="AX55" s="341">
        <f t="shared" si="98"/>
        <v>244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61500000</v>
      </c>
      <c r="J56" s="190">
        <f t="shared" si="90"/>
        <v>615</v>
      </c>
      <c r="K56" s="191">
        <f t="shared" si="100"/>
        <v>-113500000</v>
      </c>
      <c r="L56" s="190">
        <f t="shared" si="91"/>
        <v>-1135</v>
      </c>
      <c r="M56" s="192">
        <f t="shared" si="101"/>
        <v>35.142857142857139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>
        <f>SUM('[1]MEI 26'!AP37)</f>
        <v>20800000</v>
      </c>
      <c r="AH56" s="339">
        <f t="shared" si="94"/>
        <v>208</v>
      </c>
      <c r="AI56" s="331"/>
      <c r="AJ56" s="339">
        <f t="shared" si="104"/>
        <v>0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61500000</v>
      </c>
      <c r="AX56" s="341">
        <f t="shared" si="98"/>
        <v>615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93000000</v>
      </c>
      <c r="J57" s="190">
        <f t="shared" si="90"/>
        <v>372</v>
      </c>
      <c r="K57" s="191">
        <f t="shared" si="100"/>
        <v>-1282000000</v>
      </c>
      <c r="L57" s="190">
        <f t="shared" si="91"/>
        <v>-5128</v>
      </c>
      <c r="M57" s="192">
        <f t="shared" si="101"/>
        <v>6.7636363636363637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>
        <f>SUM('[1]MEI 26'!AP38)</f>
        <v>27250000</v>
      </c>
      <c r="AH57" s="339">
        <f t="shared" si="94"/>
        <v>109</v>
      </c>
      <c r="AI57" s="331"/>
      <c r="AJ57" s="339">
        <f t="shared" si="104"/>
        <v>0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93000000</v>
      </c>
      <c r="AX57" s="341">
        <f t="shared" si="98"/>
        <v>372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>
        <f>SUM('[1]MEI 26'!AP39)</f>
        <v>0</v>
      </c>
      <c r="AH58" s="339">
        <f t="shared" si="94"/>
        <v>0</v>
      </c>
      <c r="AI58" s="331"/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12000000</v>
      </c>
      <c r="J59" s="190">
        <f t="shared" si="90"/>
        <v>16</v>
      </c>
      <c r="K59" s="191">
        <f t="shared" si="100"/>
        <v>-351750000</v>
      </c>
      <c r="L59" s="190">
        <f t="shared" si="91"/>
        <v>-469</v>
      </c>
      <c r="M59" s="192">
        <f t="shared" si="101"/>
        <v>3.2989690721649487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>
        <f>SUM('[1]MEI 26'!AP40)</f>
        <v>3000000</v>
      </c>
      <c r="AH59" s="339">
        <f t="shared" si="94"/>
        <v>4</v>
      </c>
      <c r="AI59" s="331"/>
      <c r="AJ59" s="339">
        <f t="shared" si="104"/>
        <v>0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12000000</v>
      </c>
      <c r="AX59" s="341">
        <f t="shared" si="98"/>
        <v>16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13000000</v>
      </c>
      <c r="J60" s="190">
        <f t="shared" si="90"/>
        <v>13</v>
      </c>
      <c r="K60" s="191">
        <f t="shared" si="100"/>
        <v>-374000000</v>
      </c>
      <c r="L60" s="190">
        <f t="shared" si="91"/>
        <v>-374</v>
      </c>
      <c r="M60" s="192">
        <f t="shared" si="101"/>
        <v>3.3591731266149871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>
        <f>SUM('[1]MEI 26'!AP41)</f>
        <v>4000000</v>
      </c>
      <c r="AH60" s="339">
        <f t="shared" si="94"/>
        <v>4</v>
      </c>
      <c r="AI60" s="331"/>
      <c r="AJ60" s="339">
        <f t="shared" si="104"/>
        <v>0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13000000</v>
      </c>
      <c r="AX60" s="341">
        <f t="shared" si="98"/>
        <v>13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3500000</v>
      </c>
      <c r="J61" s="190">
        <f t="shared" si="90"/>
        <v>35</v>
      </c>
      <c r="K61" s="191">
        <f t="shared" si="100"/>
        <v>-86500000</v>
      </c>
      <c r="L61" s="190">
        <f t="shared" si="91"/>
        <v>-865</v>
      </c>
      <c r="M61" s="192">
        <f t="shared" si="101"/>
        <v>3.8888888888888888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>
        <f>SUM('[1]MEI 26'!AP42)</f>
        <v>1300000</v>
      </c>
      <c r="AH61" s="339">
        <f t="shared" si="94"/>
        <v>13</v>
      </c>
      <c r="AI61" s="331"/>
      <c r="AJ61" s="339">
        <f t="shared" si="104"/>
        <v>0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3500000</v>
      </c>
      <c r="AX61" s="341">
        <f t="shared" si="98"/>
        <v>35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50805000</v>
      </c>
      <c r="J62" s="190">
        <f t="shared" si="90"/>
        <v>3387</v>
      </c>
      <c r="K62" s="191">
        <f t="shared" si="100"/>
        <v>-229245000</v>
      </c>
      <c r="L62" s="190">
        <f t="shared" si="91"/>
        <v>-15283</v>
      </c>
      <c r="M62" s="192">
        <f t="shared" si="101"/>
        <v>18.141403320835565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>
        <f>SUM('[1]MEI 26'!AP43)</f>
        <v>14205000</v>
      </c>
      <c r="AH62" s="339">
        <f t="shared" si="94"/>
        <v>947</v>
      </c>
      <c r="AI62" s="331"/>
      <c r="AJ62" s="339">
        <f t="shared" si="104"/>
        <v>0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50805000</v>
      </c>
      <c r="AX62" s="341">
        <f t="shared" si="98"/>
        <v>3387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38800000</v>
      </c>
      <c r="J63" s="190">
        <f t="shared" si="90"/>
        <v>7760</v>
      </c>
      <c r="K63" s="191">
        <f t="shared" si="100"/>
        <v>38800000</v>
      </c>
      <c r="L63" s="190">
        <f t="shared" si="91"/>
        <v>7760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>
        <f>SUM('[1]MEI 26'!AP44)</f>
        <v>7055000</v>
      </c>
      <c r="AH63" s="339">
        <f t="shared" si="94"/>
        <v>1411</v>
      </c>
      <c r="AI63" s="331"/>
      <c r="AJ63" s="339">
        <f t="shared" si="104"/>
        <v>0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38800000</v>
      </c>
      <c r="AX63" s="341">
        <f t="shared" si="98"/>
        <v>7760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>
        <f>SUM('[1]MEI 26'!AP45)</f>
        <v>0</v>
      </c>
      <c r="AH64" s="339">
        <f t="shared" si="94"/>
        <v>0</v>
      </c>
      <c r="AI64" s="331"/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2025000</v>
      </c>
      <c r="J65" s="190">
        <f t="shared" si="90"/>
        <v>27</v>
      </c>
      <c r="K65" s="191">
        <f t="shared" si="100"/>
        <v>-17925000</v>
      </c>
      <c r="L65" s="190">
        <f t="shared" si="91"/>
        <v>-239</v>
      </c>
      <c r="M65" s="192">
        <f t="shared" si="101"/>
        <v>10.150375939849624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>
        <f>SUM('[1]MEI 26'!AP46)</f>
        <v>225000</v>
      </c>
      <c r="AH65" s="339">
        <f t="shared" si="94"/>
        <v>3</v>
      </c>
      <c r="AI65" s="331"/>
      <c r="AJ65" s="339">
        <f t="shared" si="104"/>
        <v>0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2025000</v>
      </c>
      <c r="AX65" s="341">
        <f t="shared" si="98"/>
        <v>27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>
        <f>SUM('[1]MEI 26'!AP47)</f>
        <v>0</v>
      </c>
      <c r="AH66" s="339">
        <f t="shared" si="94"/>
        <v>0</v>
      </c>
      <c r="AI66" s="331"/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4390700000</v>
      </c>
      <c r="J67" s="277"/>
      <c r="K67" s="277">
        <f>I67-G67</f>
        <v>-609300000</v>
      </c>
      <c r="L67" s="278"/>
      <c r="M67" s="279">
        <f>SUM(I67/G67*100)</f>
        <v>87.814000000000007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/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4390700000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32925019</v>
      </c>
      <c r="J68" s="282"/>
      <c r="K68" s="277">
        <f>I68-G68</f>
        <v>-207074981</v>
      </c>
      <c r="L68" s="281"/>
      <c r="M68" s="279">
        <f>SUM(I68/G68*100)</f>
        <v>13.718757916666666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>
        <f>SUM('[1]MEI 26'!$AP$54+'[1]MEI 26'!$AP$55)</f>
        <v>16157772</v>
      </c>
      <c r="AH68" s="429"/>
      <c r="AI68" s="428"/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32925019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340619940</v>
      </c>
      <c r="J69" s="286"/>
      <c r="K69" s="277">
        <f>I69-G69</f>
        <v>-259380060</v>
      </c>
      <c r="L69" s="285"/>
      <c r="M69" s="279">
        <f>SUM(I69/G69*100)</f>
        <v>56.769990000000007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>
        <f>SUM('[1]MEI 26'!$AP$49+'[1]MEI 26'!$AP$50+'[1]MEI 26'!$AP$51+'[1]MEI 26'!$AP$52+'[1]MEI 26'!$AP$53)</f>
        <v>84747275</v>
      </c>
      <c r="AH69" s="429"/>
      <c r="AI69" s="428"/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340619940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17619973959</v>
      </c>
      <c r="J70" s="287"/>
      <c r="K70" s="287">
        <f>K9+K67+K68+K69</f>
        <v>-84700026041</v>
      </c>
      <c r="L70" s="287"/>
      <c r="M70" s="287">
        <f>SUM(I70/G70*100)</f>
        <v>17.220459303166535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3511930297</v>
      </c>
      <c r="AH70" s="437">
        <f t="shared" si="112"/>
        <v>710617</v>
      </c>
      <c r="AI70" s="437">
        <f>AI9+AI67+AI68+AI69</f>
        <v>0</v>
      </c>
      <c r="AJ70" s="437">
        <f t="shared" ref="AJ70:AV70" si="113">AJ9+AJ67+AJ68+AJ69</f>
        <v>0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17619973959</v>
      </c>
      <c r="AX70" s="440">
        <f>Z70+AB70+AD70+AF70+AH70+AJ70+AL70+AN70+AP70+AR70+AT70+AV70</f>
        <v>2723911</v>
      </c>
      <c r="AY70" s="5"/>
      <c r="BB70" s="1"/>
      <c r="BC70" s="1"/>
      <c r="BD70" s="1"/>
      <c r="BE70" s="1"/>
      <c r="BF70" s="1"/>
      <c r="BG70" s="1"/>
    </row>
    <row r="73" spans="1:59" ht="15.75" customHeight="1" x14ac:dyDescent="0.25">
      <c r="J73" s="676" t="s">
        <v>233</v>
      </c>
      <c r="K73" s="676"/>
      <c r="L73" s="676"/>
      <c r="M73" s="676"/>
    </row>
    <row r="74" spans="1:59" ht="15.75" customHeight="1" x14ac:dyDescent="0.25">
      <c r="J74" s="676" t="s">
        <v>201</v>
      </c>
      <c r="K74" s="676"/>
      <c r="L74" s="676"/>
      <c r="M74" s="676"/>
    </row>
    <row r="75" spans="1:59" ht="15.75" customHeight="1" x14ac:dyDescent="0.25">
      <c r="J75" s="676" t="s">
        <v>20</v>
      </c>
      <c r="K75" s="676"/>
      <c r="L75" s="676"/>
      <c r="M75" s="676"/>
    </row>
    <row r="76" spans="1:59" ht="15.75" customHeight="1" x14ac:dyDescent="0.25">
      <c r="J76" s="676" t="s">
        <v>53</v>
      </c>
      <c r="K76" s="676"/>
      <c r="L76" s="676"/>
      <c r="M76" s="676"/>
    </row>
    <row r="77" spans="1:59" x14ac:dyDescent="0.25">
      <c r="J77" s="303"/>
      <c r="K77" s="677" t="s">
        <v>54</v>
      </c>
      <c r="L77" s="677"/>
      <c r="M77" s="303"/>
    </row>
    <row r="78" spans="1:59" x14ac:dyDescent="0.25">
      <c r="J78" s="303"/>
      <c r="K78" s="303"/>
      <c r="L78" s="303"/>
      <c r="M78" s="303"/>
    </row>
    <row r="79" spans="1:59" x14ac:dyDescent="0.25">
      <c r="J79" s="303"/>
      <c r="K79" s="303"/>
      <c r="L79" s="303"/>
      <c r="M79" s="303"/>
    </row>
    <row r="80" spans="1:59" ht="15.75" customHeight="1" x14ac:dyDescent="0.25">
      <c r="J80" s="676" t="s">
        <v>198</v>
      </c>
      <c r="K80" s="676"/>
      <c r="L80" s="676"/>
      <c r="M80" s="676"/>
    </row>
    <row r="81" spans="10:13" ht="15.75" customHeight="1" x14ac:dyDescent="0.25">
      <c r="J81" s="676" t="s">
        <v>199</v>
      </c>
      <c r="K81" s="676"/>
      <c r="L81" s="676"/>
      <c r="M81" s="676"/>
    </row>
  </sheetData>
  <sheetProtection selectLockedCells="1" selectUnlockedCells="1"/>
  <mergeCells count="57">
    <mergeCell ref="J76:M76"/>
    <mergeCell ref="K77:L77"/>
    <mergeCell ref="U69:X69"/>
    <mergeCell ref="A70:F70"/>
    <mergeCell ref="S70:X70"/>
    <mergeCell ref="W37:X37"/>
    <mergeCell ref="E44:F44"/>
    <mergeCell ref="W44:X44"/>
    <mergeCell ref="W45:X45"/>
    <mergeCell ref="C68:F68"/>
    <mergeCell ref="U68:X68"/>
    <mergeCell ref="W17:X17"/>
    <mergeCell ref="E30:F30"/>
    <mergeCell ref="W30:X30"/>
    <mergeCell ref="W31:X31"/>
    <mergeCell ref="E36:F36"/>
    <mergeCell ref="W36:X36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J80:M80"/>
    <mergeCell ref="J81:M81"/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C69:F69"/>
    <mergeCell ref="J74:M74"/>
    <mergeCell ref="J75:M75"/>
    <mergeCell ref="J73:M73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4128-BEEA-4B7F-AD2D-4369CD08B0C6}">
  <dimension ref="A1:BG81"/>
  <sheetViews>
    <sheetView showOutlineSymbols="0" zoomScale="110" zoomScaleNormal="110" workbookViewId="0">
      <selection activeCell="I9" sqref="I9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237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167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15788578625</v>
      </c>
      <c r="J9" s="165">
        <f t="shared" si="0"/>
        <v>3353012</v>
      </c>
      <c r="K9" s="164">
        <f>SUM(K10+K30+K36+K44)</f>
        <v>-80691421375</v>
      </c>
      <c r="L9" s="165">
        <f t="shared" si="0"/>
        <v>-18777203.800000001</v>
      </c>
      <c r="M9" s="166">
        <f>SUM(I9/G9*100)</f>
        <v>16.36461300269486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3411025250</v>
      </c>
      <c r="AH9" s="312">
        <f t="shared" si="3"/>
        <v>710617</v>
      </c>
      <c r="AI9" s="312">
        <f>AI10+AI30+AI36+AI44</f>
        <v>2932849625</v>
      </c>
      <c r="AJ9" s="312">
        <f t="shared" ref="AJ9:AV9" si="4">AJ10+AJ30+AJ36+AJ44</f>
        <v>629101</v>
      </c>
      <c r="AK9" s="312">
        <f t="shared" si="4"/>
        <v>0</v>
      </c>
      <c r="AL9" s="312">
        <f t="shared" si="4"/>
        <v>0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15788578625</v>
      </c>
      <c r="AX9" s="315">
        <f t="shared" ref="AX9:AX16" si="6">Z9+AB9+AD9+AF9+AH9+AJ9+AL9+AN9+AP9+AR9+AT9+AV9</f>
        <v>3353012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11533555125</v>
      </c>
      <c r="J10" s="171">
        <f t="shared" si="7"/>
        <v>2808417</v>
      </c>
      <c r="K10" s="170">
        <f>SUM(K12:K29)</f>
        <v>-63397644875</v>
      </c>
      <c r="L10" s="171">
        <f t="shared" si="7"/>
        <v>-15763881</v>
      </c>
      <c r="M10" s="170">
        <f>SUM(I10/G10*100)</f>
        <v>15.39219327196148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2443191750</v>
      </c>
      <c r="AH10" s="320">
        <f t="shared" si="10"/>
        <v>592423</v>
      </c>
      <c r="AI10" s="320">
        <f>SUM(AI12:AI29)</f>
        <v>2130154625</v>
      </c>
      <c r="AJ10" s="320">
        <f t="shared" ref="AJ10:AV10" si="11">SUM(AJ12:AJ29)</f>
        <v>510005</v>
      </c>
      <c r="AK10" s="320">
        <f t="shared" si="11"/>
        <v>0</v>
      </c>
      <c r="AL10" s="320">
        <f t="shared" si="11"/>
        <v>0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11533555125</v>
      </c>
      <c r="AX10" s="323">
        <f t="shared" si="6"/>
        <v>2808417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6896344000</v>
      </c>
      <c r="J12" s="184">
        <f>I12/R12</f>
        <v>1724086</v>
      </c>
      <c r="K12" s="185">
        <f>I12-G12</f>
        <v>-30503656000</v>
      </c>
      <c r="L12" s="184">
        <f>J12-H12</f>
        <v>-7625914</v>
      </c>
      <c r="M12" s="186">
        <f>SUM(I12/G12*100)</f>
        <v>18.439422459893049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>
        <f>SUM('[1]MEI 26'!AP3)</f>
        <v>1489940000</v>
      </c>
      <c r="AH12" s="339">
        <f>SUM(AG12/R12)</f>
        <v>372485</v>
      </c>
      <c r="AI12" s="338">
        <f>SUM('[1]JUNI 26'!AJ3)</f>
        <v>1166488000</v>
      </c>
      <c r="AJ12" s="339">
        <f>SUM(AI12/R12)</f>
        <v>291622</v>
      </c>
      <c r="AK12" s="338"/>
      <c r="AL12" s="339">
        <f>SUM(AK12/R12)</f>
        <v>0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6896344000</v>
      </c>
      <c r="AX12" s="341">
        <f t="shared" si="6"/>
        <v>1724086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1716345000</v>
      </c>
      <c r="J13" s="190">
        <f t="shared" ref="J13:J29" si="14">I13/R13</f>
        <v>572115</v>
      </c>
      <c r="K13" s="191">
        <f t="shared" ref="K13:L29" si="15">I13-G13</f>
        <v>-9533655000</v>
      </c>
      <c r="L13" s="190">
        <f t="shared" si="15"/>
        <v>-3177885</v>
      </c>
      <c r="M13" s="192">
        <f t="shared" ref="M13:M28" si="16">SUM(I13/G13*100)</f>
        <v>15.256400000000001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>
        <f>SUM('[1]MEI 26'!AP4)</f>
        <v>343857000</v>
      </c>
      <c r="AH13" s="339">
        <f>SUM(AG13/R13)</f>
        <v>114619</v>
      </c>
      <c r="AI13" s="338">
        <f>SUM('[1]JUNI 26'!AJ4)</f>
        <v>294618000</v>
      </c>
      <c r="AJ13" s="339">
        <f>SUM(AI13/R13)</f>
        <v>98206</v>
      </c>
      <c r="AK13" s="338"/>
      <c r="AL13" s="339">
        <f>SUM(AK13/R13)</f>
        <v>0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1716345000</v>
      </c>
      <c r="AX13" s="341">
        <f t="shared" si="6"/>
        <v>572115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8136000</v>
      </c>
      <c r="J15" s="190">
        <f t="shared" si="14"/>
        <v>2712</v>
      </c>
      <c r="K15" s="191">
        <f t="shared" si="15"/>
        <v>-201864000</v>
      </c>
      <c r="L15" s="190">
        <f t="shared" si="15"/>
        <v>-67288</v>
      </c>
      <c r="M15" s="192">
        <f t="shared" si="16"/>
        <v>3.8742857142857141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>
        <f>SUM('[1]MEI 26'!AP5)</f>
        <v>1230000</v>
      </c>
      <c r="AH15" s="339">
        <f>SUM(AG15/R15)</f>
        <v>410</v>
      </c>
      <c r="AI15" s="338">
        <f>SUM('[1]JUNI 26'!AJ5)</f>
        <v>2439000</v>
      </c>
      <c r="AJ15" s="339">
        <f>SUM(AI15/R15)</f>
        <v>813</v>
      </c>
      <c r="AK15" s="338"/>
      <c r="AL15" s="339">
        <f>SUM(AK15/R15)</f>
        <v>0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8136000</v>
      </c>
      <c r="AX15" s="341">
        <f t="shared" si="6"/>
        <v>2712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25524000</v>
      </c>
      <c r="J16" s="197">
        <f t="shared" si="14"/>
        <v>11344</v>
      </c>
      <c r="K16" s="198">
        <f t="shared" si="15"/>
        <v>-198474750</v>
      </c>
      <c r="L16" s="197">
        <f t="shared" si="15"/>
        <v>-88211</v>
      </c>
      <c r="M16" s="199">
        <f t="shared" si="16"/>
        <v>11.39470644367435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>
        <f>SUM('[1]MEI 26'!AP6)</f>
        <v>4979250</v>
      </c>
      <c r="AH16" s="339">
        <f>SUM(AG16/R16)</f>
        <v>2213</v>
      </c>
      <c r="AI16" s="338">
        <f>SUM('[1]JUNI 26'!AJ6)</f>
        <v>4036500</v>
      </c>
      <c r="AJ16" s="339">
        <f>SUM(AI16/R16)</f>
        <v>1794</v>
      </c>
      <c r="AK16" s="338"/>
      <c r="AL16" s="339">
        <f>SUM(AK16/R16)</f>
        <v>0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25524000</v>
      </c>
      <c r="AX16" s="356">
        <f t="shared" si="6"/>
        <v>11344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>
        <f>SUM('[1]MEI 26'!AP7)</f>
        <v>0</v>
      </c>
      <c r="AH19" s="339">
        <f>SUM(AG19/R19)</f>
        <v>0</v>
      </c>
      <c r="AI19" s="338">
        <f>SUM('[1]JUNI 26'!AJ7)</f>
        <v>0</v>
      </c>
      <c r="AJ19" s="339">
        <f>SUM(AI19/R19)</f>
        <v>0</v>
      </c>
      <c r="AK19" s="338"/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>
        <f>SUM('[1]MEI 26'!AP8)</f>
        <v>0</v>
      </c>
      <c r="AH20" s="339">
        <f t="shared" ref="AH20:AH22" si="25">SUM(AG20/R20)</f>
        <v>0</v>
      </c>
      <c r="AI20" s="338">
        <f>SUM('[1]JUNI 26'!AJ8)</f>
        <v>0</v>
      </c>
      <c r="AJ20" s="339">
        <f t="shared" ref="AJ20:AJ22" si="26">SUM(AI20/R20)</f>
        <v>0</v>
      </c>
      <c r="AK20" s="338"/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>
        <f>SUM('[1]MEI 26'!AP9)</f>
        <v>0</v>
      </c>
      <c r="AH21" s="339">
        <f t="shared" si="25"/>
        <v>0</v>
      </c>
      <c r="AI21" s="338">
        <f>SUM('[1]JUNI 26'!AJ9)</f>
        <v>0</v>
      </c>
      <c r="AJ21" s="339">
        <f t="shared" si="26"/>
        <v>0</v>
      </c>
      <c r="AK21" s="338"/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360252500</v>
      </c>
      <c r="J22" s="190">
        <f t="shared" si="14"/>
        <v>144101</v>
      </c>
      <c r="K22" s="191">
        <f t="shared" si="15"/>
        <v>-5800480000</v>
      </c>
      <c r="L22" s="190">
        <f t="shared" si="15"/>
        <v>-2320192</v>
      </c>
      <c r="M22" s="192">
        <f t="shared" si="16"/>
        <v>5.8475595231573516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>
        <f>SUM('[1]MEI 26'!AP10)</f>
        <v>77042500</v>
      </c>
      <c r="AH22" s="339">
        <f t="shared" si="25"/>
        <v>30817</v>
      </c>
      <c r="AI22" s="338">
        <f>SUM('[1]JUNI 26'!AJ10)</f>
        <v>88975000</v>
      </c>
      <c r="AJ22" s="339">
        <f t="shared" si="26"/>
        <v>35590</v>
      </c>
      <c r="AK22" s="338"/>
      <c r="AL22" s="339">
        <f t="shared" si="27"/>
        <v>0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360252500</v>
      </c>
      <c r="AX22" s="341">
        <f t="shared" si="19"/>
        <v>144101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485328000</v>
      </c>
      <c r="J24" s="190">
        <f t="shared" si="14"/>
        <v>80888</v>
      </c>
      <c r="K24" s="191">
        <f t="shared" si="15"/>
        <v>-5514672000</v>
      </c>
      <c r="L24" s="190">
        <f t="shared" si="15"/>
        <v>-919112</v>
      </c>
      <c r="M24" s="192">
        <f t="shared" si="16"/>
        <v>8.0888000000000009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>
        <f>SUM('[1]MEI 26'!$AP$11+'[1]MEI 26'!$AP$12)</f>
        <v>44862000</v>
      </c>
      <c r="AH24" s="339">
        <f>SUM(AG24/R24)</f>
        <v>7477</v>
      </c>
      <c r="AI24" s="331">
        <f>SUM('[1]JUNI 26'!$AJ$11+'[1]JUNI 26'!$AJ$12)</f>
        <v>157500000</v>
      </c>
      <c r="AJ24" s="339">
        <f>SUM(AI24/R24)</f>
        <v>26250</v>
      </c>
      <c r="AK24" s="331"/>
      <c r="AL24" s="339">
        <f>SUM(AK24/R24)</f>
        <v>0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485328000</v>
      </c>
      <c r="AX24" s="341">
        <f t="shared" si="19"/>
        <v>80888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2029380000</v>
      </c>
      <c r="J25" s="190">
        <f t="shared" si="14"/>
        <v>270584</v>
      </c>
      <c r="K25" s="191">
        <f t="shared" si="15"/>
        <v>-11470620000</v>
      </c>
      <c r="L25" s="190">
        <f t="shared" si="15"/>
        <v>-1529416</v>
      </c>
      <c r="M25" s="192">
        <f t="shared" si="16"/>
        <v>15.032444444444446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>
        <f>SUM('[1]MEI 26'!$AP$15+'[1]MEI 26'!$AP$16)</f>
        <v>477870000</v>
      </c>
      <c r="AH25" s="339">
        <f>SUM(AG25/R25)</f>
        <v>63716</v>
      </c>
      <c r="AI25" s="331">
        <f>SUM('[1]JUNI 26'!$AJ$15+'[1]JUNI 26'!$AJ$16)</f>
        <v>412582500</v>
      </c>
      <c r="AJ25" s="339">
        <f>SUM(AI25/R25)</f>
        <v>55011</v>
      </c>
      <c r="AK25" s="331"/>
      <c r="AL25" s="339">
        <f>SUM(AK25/R25)</f>
        <v>0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2029380000</v>
      </c>
      <c r="AX25" s="341">
        <f t="shared" si="19"/>
        <v>270584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9225000</v>
      </c>
      <c r="J27" s="190">
        <f t="shared" si="14"/>
        <v>2050</v>
      </c>
      <c r="K27" s="191">
        <f t="shared" si="15"/>
        <v>-110025000</v>
      </c>
      <c r="L27" s="190">
        <f t="shared" si="15"/>
        <v>-24450</v>
      </c>
      <c r="M27" s="192">
        <f t="shared" si="16"/>
        <v>7.7358490566037732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>
        <f>SUM('[1]MEI 26'!$AP$13+'[1]MEI 26'!$AP$14)</f>
        <v>1791000</v>
      </c>
      <c r="AH27" s="339">
        <f>SUM(AG27/R27)</f>
        <v>398</v>
      </c>
      <c r="AI27" s="331">
        <f>SUM('[1]JUNI 26'!$AJ$13+'[1]JUNI 26'!$AJ$14)</f>
        <v>2115000</v>
      </c>
      <c r="AJ27" s="339">
        <f>SUM(AI27/R27)</f>
        <v>470</v>
      </c>
      <c r="AK27" s="331"/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9225000</v>
      </c>
      <c r="AX27" s="341">
        <f t="shared" si="19"/>
        <v>2050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3020625</v>
      </c>
      <c r="J28" s="190">
        <f t="shared" si="14"/>
        <v>537</v>
      </c>
      <c r="K28" s="191">
        <f t="shared" si="15"/>
        <v>-64198125</v>
      </c>
      <c r="L28" s="190">
        <f t="shared" si="15"/>
        <v>-11413</v>
      </c>
      <c r="M28" s="192">
        <f t="shared" si="16"/>
        <v>4.493723849372385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>
        <f>SUM('[1]MEI 26'!$AP$17+'[1]MEI 26'!$AP$18)</f>
        <v>1620000</v>
      </c>
      <c r="AH28" s="339">
        <f t="shared" ref="AH28:AH29" si="35">SUM(AG28/R28)</f>
        <v>288</v>
      </c>
      <c r="AI28" s="331">
        <f>SUM('[1]JUNI 26'!$AJ$17+'[1]JUNI 26'!$AJ$18)</f>
        <v>1400625</v>
      </c>
      <c r="AJ28" s="339">
        <f t="shared" ref="AJ28:AJ29" si="36">SUM(AI28/R28)</f>
        <v>249</v>
      </c>
      <c r="AK28" s="331"/>
      <c r="AL28" s="339">
        <f t="shared" ref="AL28:AL29" si="37">SUM(AK28/R28)</f>
        <v>0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3020625</v>
      </c>
      <c r="AX28" s="341">
        <f t="shared" si="19"/>
        <v>537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>
        <f>SUM('[1]MEI 26'!AP19)</f>
        <v>0</v>
      </c>
      <c r="AH29" s="339">
        <f t="shared" si="35"/>
        <v>0</v>
      </c>
      <c r="AI29" s="338">
        <f>SUM('[1]JUNI 26'!AJ19)</f>
        <v>0</v>
      </c>
      <c r="AJ29" s="339">
        <f t="shared" si="36"/>
        <v>0</v>
      </c>
      <c r="AK29" s="338"/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1932055000</v>
      </c>
      <c r="J30" s="219">
        <f t="shared" si="40"/>
        <v>35481</v>
      </c>
      <c r="K30" s="218">
        <f>SUM(K32:K35)</f>
        <v>-3564245000</v>
      </c>
      <c r="L30" s="218">
        <f t="shared" si="40"/>
        <v>-124327.8</v>
      </c>
      <c r="M30" s="220">
        <f>SUM(I30/G30*100)</f>
        <v>35.151920382802977</v>
      </c>
      <c r="N30" s="6" t="s">
        <v>69</v>
      </c>
      <c r="O30" s="488"/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439495000</v>
      </c>
      <c r="AH30" s="373">
        <f t="shared" si="43"/>
        <v>6680</v>
      </c>
      <c r="AI30" s="373">
        <f>SUM(AI32:AI35)</f>
        <v>307315000</v>
      </c>
      <c r="AJ30" s="373">
        <f t="shared" ref="AJ30:AV30" si="44">SUM(AJ32:AJ35)</f>
        <v>6078</v>
      </c>
      <c r="AK30" s="373">
        <f t="shared" si="44"/>
        <v>0</v>
      </c>
      <c r="AL30" s="373">
        <f t="shared" si="44"/>
        <v>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1932055000</v>
      </c>
      <c r="AX30" s="375">
        <f t="shared" si="19"/>
        <v>35481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192750000</v>
      </c>
      <c r="J33" s="190">
        <f t="shared" ref="J33:J35" si="46">I33/R33</f>
        <v>19275</v>
      </c>
      <c r="K33" s="191">
        <f t="shared" ref="K33:L35" si="47">I33-G33</f>
        <v>-619750000</v>
      </c>
      <c r="L33" s="190">
        <f t="shared" si="47"/>
        <v>-61975</v>
      </c>
      <c r="M33" s="192">
        <f>SUM(I33/G33*100)</f>
        <v>23.723076923076921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>
        <f>SUM('[1]MEI 26'!AP20)</f>
        <v>30610000</v>
      </c>
      <c r="AH33" s="339">
        <f>SUM(AG33/R33)</f>
        <v>3061</v>
      </c>
      <c r="AI33" s="338">
        <f>SUM('[1]JUNI 26'!AJ20)</f>
        <v>32630000</v>
      </c>
      <c r="AJ33" s="339">
        <f>SUM(AI33/R33)</f>
        <v>3263</v>
      </c>
      <c r="AK33" s="338"/>
      <c r="AL33" s="339">
        <f>SUM(AK33/R33)</f>
        <v>0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192750000</v>
      </c>
      <c r="AX33" s="341">
        <f>Z33+AB33+AD33+AF33+AH33+AJ33+AL33+AN33+AP33+AR33+AT33+AV33</f>
        <v>19275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220305000</v>
      </c>
      <c r="J34" s="190">
        <f t="shared" si="46"/>
        <v>14687</v>
      </c>
      <c r="K34" s="191">
        <f t="shared" si="47"/>
        <v>-904695000</v>
      </c>
      <c r="L34" s="190">
        <f t="shared" si="47"/>
        <v>-60313</v>
      </c>
      <c r="M34" s="192">
        <f t="shared" ref="M34:M35" si="52">SUM(I34/G34*100)</f>
        <v>19.582666666666668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>
        <f>SUM('[1]MEI 26'!AP21)</f>
        <v>48885000</v>
      </c>
      <c r="AH34" s="339">
        <f t="shared" ref="AH34:AH35" si="56">SUM(AG34/R34)</f>
        <v>3259</v>
      </c>
      <c r="AI34" s="338">
        <f>SUM('[1]JUNI 26'!AJ21)</f>
        <v>38685000</v>
      </c>
      <c r="AJ34" s="339">
        <f t="shared" ref="AJ34:AJ35" si="57">SUM(AI34/R34)</f>
        <v>2579</v>
      </c>
      <c r="AK34" s="338"/>
      <c r="AL34" s="339">
        <f t="shared" ref="AL34:AL35" si="58">SUM(AK34/R34)</f>
        <v>0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220305000</v>
      </c>
      <c r="AX34" s="341">
        <f>Z34+AB34+AD34+AF34+AH34+AJ34+AL34+AN34+AP34+AR34+AT34+AV34</f>
        <v>14687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1519000000</v>
      </c>
      <c r="J35" s="190">
        <f t="shared" si="46"/>
        <v>1519</v>
      </c>
      <c r="K35" s="191">
        <f t="shared" si="47"/>
        <v>-2039800000</v>
      </c>
      <c r="L35" s="190">
        <f t="shared" si="47"/>
        <v>-2039.8000000000002</v>
      </c>
      <c r="M35" s="192">
        <f t="shared" si="52"/>
        <v>42.68292682926829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>
        <f>SUM('[1]MEI 26'!AP22)</f>
        <v>360000000</v>
      </c>
      <c r="AH35" s="339">
        <f t="shared" si="56"/>
        <v>360</v>
      </c>
      <c r="AI35" s="338">
        <f>SUM('[1]JUNI 26'!AJ22)</f>
        <v>236000000</v>
      </c>
      <c r="AJ35" s="339">
        <f t="shared" si="57"/>
        <v>236</v>
      </c>
      <c r="AK35" s="338"/>
      <c r="AL35" s="339">
        <f t="shared" si="58"/>
        <v>0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1519000000</v>
      </c>
      <c r="AX35" s="341">
        <f>Z35+AB35+AD35+AF35+AH35+AJ35+AL35+AN35+AP35+AR35+AT35+AV35</f>
        <v>1519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1906848500</v>
      </c>
      <c r="J36" s="219">
        <f t="shared" si="61"/>
        <v>467800</v>
      </c>
      <c r="K36" s="218">
        <f t="shared" si="61"/>
        <v>-10597151500</v>
      </c>
      <c r="L36" s="218">
        <f t="shared" si="61"/>
        <v>-2551388</v>
      </c>
      <c r="M36" s="218">
        <f>SUM(I36/G36*100)</f>
        <v>15.249908029430582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425913500</v>
      </c>
      <c r="AH36" s="373">
        <f t="shared" si="64"/>
        <v>104115</v>
      </c>
      <c r="AI36" s="373">
        <f>SUM(AI38:AI43)</f>
        <v>411980000</v>
      </c>
      <c r="AJ36" s="373">
        <f t="shared" ref="AJ36:AV36" si="65">SUM(AJ38:AJ43)</f>
        <v>100894</v>
      </c>
      <c r="AK36" s="373">
        <f t="shared" si="65"/>
        <v>0</v>
      </c>
      <c r="AL36" s="373">
        <f t="shared" si="65"/>
        <v>0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1906848500</v>
      </c>
      <c r="AX36" s="393">
        <f>Z36+AB36+AD36+AF36+AH36+AJ36+AL36+AN36+AP36+AR36+AT36+AV36</f>
        <v>467800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44955000</v>
      </c>
      <c r="J39" s="190">
        <f t="shared" ref="J39:J43" si="69">I39/R39</f>
        <v>2997</v>
      </c>
      <c r="K39" s="191">
        <f t="shared" ref="K39:L43" si="70">I39-G39</f>
        <v>-315045000</v>
      </c>
      <c r="L39" s="190">
        <f t="shared" si="70"/>
        <v>-21003</v>
      </c>
      <c r="M39" s="192">
        <f>SUM(I39/G39*100)</f>
        <v>12.487500000000001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>
        <f>SUM('[1]MEI 26'!AP23)</f>
        <v>8445000</v>
      </c>
      <c r="AH39" s="399">
        <f>SUM(AG39/R39)</f>
        <v>563</v>
      </c>
      <c r="AI39" s="616">
        <f>SUM('[1]JUNI 26'!AJ23)</f>
        <v>13875000</v>
      </c>
      <c r="AJ39" s="399">
        <f>SUM(AI39/R39)</f>
        <v>925</v>
      </c>
      <c r="AK39" s="331"/>
      <c r="AL39" s="399">
        <f>SUM(AK39/R39)</f>
        <v>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44955000</v>
      </c>
      <c r="AX39" s="341">
        <f t="shared" si="67"/>
        <v>2997</v>
      </c>
      <c r="AY39" s="5"/>
    </row>
    <row r="40" spans="1:59" ht="30" customHeight="1" x14ac:dyDescent="0.25">
      <c r="A40" s="245"/>
      <c r="B40" s="150"/>
      <c r="C40" s="246"/>
      <c r="D40" s="246"/>
      <c r="E40" s="247" t="s">
        <v>114</v>
      </c>
      <c r="F40" s="248" t="s">
        <v>108</v>
      </c>
      <c r="G40" s="249">
        <v>44000000</v>
      </c>
      <c r="H40" s="190">
        <f t="shared" si="68"/>
        <v>3520</v>
      </c>
      <c r="I40" s="237">
        <f t="shared" ref="I40:I43" si="75">AW40</f>
        <v>15362500</v>
      </c>
      <c r="J40" s="190">
        <f t="shared" si="69"/>
        <v>1229</v>
      </c>
      <c r="K40" s="191">
        <f t="shared" si="70"/>
        <v>-28637500</v>
      </c>
      <c r="L40" s="190">
        <f t="shared" si="70"/>
        <v>-2291</v>
      </c>
      <c r="M40" s="192">
        <f t="shared" ref="M40:M43" si="76">SUM(I40/G40*100)</f>
        <v>34.914772727272727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>
        <f>SUM('[1]MEI 26'!AP24)</f>
        <v>3137500</v>
      </c>
      <c r="AH40" s="339">
        <f t="shared" ref="AH40:AH43" si="78">SUM(AG40/R40)</f>
        <v>251</v>
      </c>
      <c r="AI40" s="338">
        <f>SUM('[1]JUNI 26'!AJ24)</f>
        <v>3425000</v>
      </c>
      <c r="AJ40" s="339">
        <f t="shared" ref="AJ40:AJ43" si="79">SUM(AI40/R40)</f>
        <v>274</v>
      </c>
      <c r="AK40" s="338"/>
      <c r="AL40" s="339">
        <f t="shared" ref="AL40:AL43" si="80">SUM(AK40/R40)</f>
        <v>0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15362500</v>
      </c>
      <c r="AX40" s="341">
        <f t="shared" si="67"/>
        <v>1229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190">
        <f t="shared" si="68"/>
        <v>1125000</v>
      </c>
      <c r="I41" s="237">
        <f t="shared" si="75"/>
        <v>969402000</v>
      </c>
      <c r="J41" s="190">
        <f t="shared" si="69"/>
        <v>161567</v>
      </c>
      <c r="K41" s="191">
        <f t="shared" si="70"/>
        <v>-5780598000</v>
      </c>
      <c r="L41" s="190">
        <f t="shared" si="70"/>
        <v>-963433</v>
      </c>
      <c r="M41" s="192">
        <f t="shared" si="76"/>
        <v>14.361511111111112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>
        <f>SUM('[1]MEI 26'!AP25)</f>
        <v>226320000</v>
      </c>
      <c r="AH41" s="339">
        <f t="shared" si="78"/>
        <v>37720</v>
      </c>
      <c r="AI41" s="338">
        <f>SUM('[1]JUNI 26'!AJ25)</f>
        <v>206886000</v>
      </c>
      <c r="AJ41" s="339">
        <f t="shared" si="79"/>
        <v>34481</v>
      </c>
      <c r="AK41" s="338"/>
      <c r="AL41" s="339">
        <f t="shared" si="80"/>
        <v>0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969402000</v>
      </c>
      <c r="AX41" s="341">
        <f t="shared" si="67"/>
        <v>161567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862683000</v>
      </c>
      <c r="J42" s="190">
        <f t="shared" si="69"/>
        <v>287561</v>
      </c>
      <c r="K42" s="191">
        <f t="shared" si="70"/>
        <v>-4362315000</v>
      </c>
      <c r="L42" s="190">
        <f t="shared" si="70"/>
        <v>-1454105</v>
      </c>
      <c r="M42" s="192">
        <f t="shared" si="76"/>
        <v>16.510685745717034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>
        <f>SUM('[1]MEI 26'!AP26)</f>
        <v>183645000</v>
      </c>
      <c r="AH42" s="339">
        <f t="shared" si="78"/>
        <v>61215</v>
      </c>
      <c r="AI42" s="338">
        <f>SUM('[1]JUNI 26'!AJ26)</f>
        <v>183870000</v>
      </c>
      <c r="AJ42" s="339">
        <f t="shared" si="79"/>
        <v>61290</v>
      </c>
      <c r="AK42" s="338"/>
      <c r="AL42" s="339">
        <f t="shared" si="80"/>
        <v>0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862683000</v>
      </c>
      <c r="AX42" s="341">
        <f t="shared" si="67"/>
        <v>287561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14446000</v>
      </c>
      <c r="J43" s="190">
        <f t="shared" si="69"/>
        <v>14446</v>
      </c>
      <c r="K43" s="191">
        <f t="shared" si="70"/>
        <v>-110556000</v>
      </c>
      <c r="L43" s="190">
        <f t="shared" si="70"/>
        <v>-110556</v>
      </c>
      <c r="M43" s="192">
        <f t="shared" si="76"/>
        <v>11.556615094158493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>
        <f>SUM('[1]MEI 26'!AP27)</f>
        <v>4366000</v>
      </c>
      <c r="AH43" s="339">
        <f t="shared" si="78"/>
        <v>4366</v>
      </c>
      <c r="AI43" s="338">
        <f>SUM('[1]JUNI 26'!AJ27)</f>
        <v>3924000</v>
      </c>
      <c r="AJ43" s="339">
        <f t="shared" si="79"/>
        <v>3924</v>
      </c>
      <c r="AK43" s="338"/>
      <c r="AL43" s="339">
        <f t="shared" si="80"/>
        <v>0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14446000</v>
      </c>
      <c r="AX43" s="356">
        <f t="shared" si="67"/>
        <v>14446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416120000</v>
      </c>
      <c r="J44" s="257">
        <f t="shared" si="84"/>
        <v>41314</v>
      </c>
      <c r="K44" s="256">
        <f t="shared" si="84"/>
        <v>-3132380000</v>
      </c>
      <c r="L44" s="257">
        <f t="shared" si="84"/>
        <v>-337607</v>
      </c>
      <c r="M44" s="256">
        <f>SUM(I44/G44*100)</f>
        <v>11.726645061293505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102425000</v>
      </c>
      <c r="AH44" s="408">
        <f t="shared" si="87"/>
        <v>7399</v>
      </c>
      <c r="AI44" s="408">
        <f>SUM(AI46:AI66)</f>
        <v>83400000</v>
      </c>
      <c r="AJ44" s="408">
        <f t="shared" ref="AJ44:AV44" si="88">SUM(AJ46:AJ66)</f>
        <v>12124</v>
      </c>
      <c r="AK44" s="408">
        <f t="shared" si="88"/>
        <v>0</v>
      </c>
      <c r="AL44" s="408">
        <f t="shared" si="88"/>
        <v>0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416120000</v>
      </c>
      <c r="AX44" s="360">
        <f t="shared" si="67"/>
        <v>41314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>
        <f>SUM('[1]MEI 26'!AP28)</f>
        <v>0</v>
      </c>
      <c r="AH47" s="339">
        <f t="shared" ref="AH47:AH66" si="94">SUM(AG47/R47)</f>
        <v>0</v>
      </c>
      <c r="AI47" s="338">
        <f>SUM('[1]JUNI 26'!AJ28)</f>
        <v>0</v>
      </c>
      <c r="AJ47" s="339">
        <f>SUM(AI47/R47)</f>
        <v>0</v>
      </c>
      <c r="AK47" s="331"/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0</v>
      </c>
      <c r="J48" s="190">
        <f t="shared" si="90"/>
        <v>0</v>
      </c>
      <c r="K48" s="191">
        <f t="shared" ref="K48:K66" si="100">I48-G48</f>
        <v>-7500000</v>
      </c>
      <c r="L48" s="190">
        <f t="shared" si="91"/>
        <v>-3</v>
      </c>
      <c r="M48" s="192">
        <f t="shared" ref="M48:M66" si="101">SUM(I48/G48*100)</f>
        <v>0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>
        <f>SUM('[1]MEI 26'!AP29)</f>
        <v>0</v>
      </c>
      <c r="AH48" s="339">
        <f t="shared" si="94"/>
        <v>0</v>
      </c>
      <c r="AI48" s="338">
        <f>SUM('[1]JUNI 26'!AJ29)</f>
        <v>0</v>
      </c>
      <c r="AJ48" s="339">
        <f t="shared" ref="AJ48:AJ66" si="104">SUM(AI48/R48)</f>
        <v>0</v>
      </c>
      <c r="AK48" s="331"/>
      <c r="AL48" s="339">
        <f t="shared" ref="AL48:AL66" si="105">SUM(AK48/R48)</f>
        <v>0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0</v>
      </c>
      <c r="AX48" s="341">
        <f t="shared" si="98"/>
        <v>0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>
        <f>SUM('[1]MEI 26'!AP30)</f>
        <v>0</v>
      </c>
      <c r="AH49" s="339">
        <f t="shared" si="94"/>
        <v>0</v>
      </c>
      <c r="AI49" s="338">
        <f>SUM('[1]JUNI 26'!AJ30)</f>
        <v>0</v>
      </c>
      <c r="AJ49" s="339">
        <f t="shared" si="104"/>
        <v>0</v>
      </c>
      <c r="AK49" s="331"/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>
        <f>SUM('[1]MEI 26'!AP31)</f>
        <v>0</v>
      </c>
      <c r="AH50" s="339">
        <f t="shared" si="94"/>
        <v>0</v>
      </c>
      <c r="AI50" s="338">
        <f>SUM('[1]JUNI 26'!AJ31)</f>
        <v>0</v>
      </c>
      <c r="AJ50" s="339">
        <f t="shared" si="104"/>
        <v>0</v>
      </c>
      <c r="AK50" s="331"/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1500000</v>
      </c>
      <c r="J51" s="190">
        <f t="shared" si="90"/>
        <v>2</v>
      </c>
      <c r="K51" s="191">
        <f t="shared" si="100"/>
        <v>-12000000</v>
      </c>
      <c r="L51" s="190">
        <f t="shared" si="91"/>
        <v>-16</v>
      </c>
      <c r="M51" s="192">
        <f t="shared" si="101"/>
        <v>11.111111111111111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>
        <f>SUM('[1]MEI 26'!AP32)</f>
        <v>0</v>
      </c>
      <c r="AH51" s="339">
        <f t="shared" si="94"/>
        <v>0</v>
      </c>
      <c r="AI51" s="338">
        <f>SUM('[1]JUNI 26'!AJ32)</f>
        <v>1500000</v>
      </c>
      <c r="AJ51" s="339">
        <f t="shared" si="104"/>
        <v>2</v>
      </c>
      <c r="AK51" s="331"/>
      <c r="AL51" s="339">
        <f t="shared" si="105"/>
        <v>0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1500000</v>
      </c>
      <c r="AX51" s="341">
        <f t="shared" si="98"/>
        <v>2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>
        <f>SUM('[1]MEI 26'!AP33)</f>
        <v>0</v>
      </c>
      <c r="AH52" s="339">
        <f t="shared" si="94"/>
        <v>0</v>
      </c>
      <c r="AI52" s="338">
        <f>SUM('[1]JUNI 26'!AJ33)</f>
        <v>0</v>
      </c>
      <c r="AJ52" s="339">
        <f t="shared" si="104"/>
        <v>0</v>
      </c>
      <c r="AK52" s="331"/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250000</v>
      </c>
      <c r="J53" s="190">
        <f t="shared" si="90"/>
        <v>1</v>
      </c>
      <c r="K53" s="191">
        <f t="shared" si="100"/>
        <v>-4000000</v>
      </c>
      <c r="L53" s="190">
        <f t="shared" si="91"/>
        <v>-16</v>
      </c>
      <c r="M53" s="192">
        <f t="shared" si="101"/>
        <v>5.8823529411764701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>
        <f>SUM('[1]MEI 26'!AP34)</f>
        <v>0</v>
      </c>
      <c r="AH53" s="339">
        <f t="shared" si="94"/>
        <v>0</v>
      </c>
      <c r="AI53" s="338">
        <f>SUM('[1]JUNI 26'!AJ34)</f>
        <v>0</v>
      </c>
      <c r="AJ53" s="339">
        <f t="shared" si="104"/>
        <v>0</v>
      </c>
      <c r="AK53" s="331"/>
      <c r="AL53" s="339">
        <f t="shared" si="105"/>
        <v>0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250000</v>
      </c>
      <c r="AX53" s="341">
        <f t="shared" si="98"/>
        <v>1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52900000</v>
      </c>
      <c r="J54" s="190">
        <f t="shared" si="90"/>
        <v>26450</v>
      </c>
      <c r="K54" s="191">
        <f t="shared" si="100"/>
        <v>-647100000</v>
      </c>
      <c r="L54" s="190">
        <f t="shared" si="91"/>
        <v>-323550</v>
      </c>
      <c r="M54" s="192">
        <f t="shared" si="101"/>
        <v>7.5571428571428569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>
        <f>SUM('[1]MEI 26'!AP35)</f>
        <v>9090000</v>
      </c>
      <c r="AH54" s="339">
        <f t="shared" si="94"/>
        <v>4545</v>
      </c>
      <c r="AI54" s="338">
        <f>SUM('[1]JUNI 26'!AJ35)</f>
        <v>19460000</v>
      </c>
      <c r="AJ54" s="339">
        <f t="shared" si="104"/>
        <v>9730</v>
      </c>
      <c r="AK54" s="331"/>
      <c r="AL54" s="339">
        <f t="shared" si="105"/>
        <v>0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52900000</v>
      </c>
      <c r="AX54" s="341">
        <f t="shared" si="98"/>
        <v>26450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27100000</v>
      </c>
      <c r="J55" s="190">
        <f t="shared" si="90"/>
        <v>271</v>
      </c>
      <c r="K55" s="191">
        <f t="shared" si="100"/>
        <v>12100000</v>
      </c>
      <c r="L55" s="190">
        <f t="shared" si="91"/>
        <v>121</v>
      </c>
      <c r="M55" s="192">
        <f t="shared" si="101"/>
        <v>180.66666666666666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>
        <f>SUM('[1]MEI 26'!AP36)</f>
        <v>15500000</v>
      </c>
      <c r="AH55" s="339">
        <f t="shared" si="94"/>
        <v>155</v>
      </c>
      <c r="AI55" s="338">
        <f>SUM('[1]JUNI 26'!AJ36)</f>
        <v>2700000</v>
      </c>
      <c r="AJ55" s="339">
        <f t="shared" si="104"/>
        <v>27</v>
      </c>
      <c r="AK55" s="331"/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27100000</v>
      </c>
      <c r="AX55" s="341">
        <f t="shared" si="98"/>
        <v>271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64900000</v>
      </c>
      <c r="J56" s="190">
        <f t="shared" si="90"/>
        <v>649</v>
      </c>
      <c r="K56" s="191">
        <f t="shared" si="100"/>
        <v>-110100000</v>
      </c>
      <c r="L56" s="190">
        <f t="shared" si="91"/>
        <v>-1101</v>
      </c>
      <c r="M56" s="192">
        <f t="shared" si="101"/>
        <v>37.085714285714282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>
        <f>SUM('[1]MEI 26'!AP37)</f>
        <v>20800000</v>
      </c>
      <c r="AH56" s="339">
        <f t="shared" si="94"/>
        <v>208</v>
      </c>
      <c r="AI56" s="338">
        <f>SUM('[1]JUNI 26'!AJ37)</f>
        <v>3400000</v>
      </c>
      <c r="AJ56" s="339">
        <f t="shared" si="104"/>
        <v>34</v>
      </c>
      <c r="AK56" s="331"/>
      <c r="AL56" s="339">
        <f t="shared" si="105"/>
        <v>0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64900000</v>
      </c>
      <c r="AX56" s="341">
        <f t="shared" si="98"/>
        <v>649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117250000</v>
      </c>
      <c r="J57" s="190">
        <f t="shared" si="90"/>
        <v>469</v>
      </c>
      <c r="K57" s="191">
        <f t="shared" si="100"/>
        <v>-1257750000</v>
      </c>
      <c r="L57" s="190">
        <f t="shared" si="91"/>
        <v>-5031</v>
      </c>
      <c r="M57" s="192">
        <f t="shared" si="101"/>
        <v>8.5272727272727273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>
        <f>SUM('[1]MEI 26'!AP38)</f>
        <v>27250000</v>
      </c>
      <c r="AH57" s="339">
        <f t="shared" si="94"/>
        <v>109</v>
      </c>
      <c r="AI57" s="338">
        <f>SUM('[1]JUNI 26'!AJ38)</f>
        <v>24250000</v>
      </c>
      <c r="AJ57" s="339">
        <f t="shared" si="104"/>
        <v>97</v>
      </c>
      <c r="AK57" s="331"/>
      <c r="AL57" s="339">
        <f t="shared" si="105"/>
        <v>0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117250000</v>
      </c>
      <c r="AX57" s="341">
        <f t="shared" si="98"/>
        <v>469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>
        <f>SUM('[1]MEI 26'!AP39)</f>
        <v>0</v>
      </c>
      <c r="AH58" s="339">
        <f t="shared" si="94"/>
        <v>0</v>
      </c>
      <c r="AI58" s="338">
        <f>SUM('[1]JUNI 26'!AJ39)</f>
        <v>0</v>
      </c>
      <c r="AJ58" s="339">
        <f t="shared" si="104"/>
        <v>0</v>
      </c>
      <c r="AK58" s="331"/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16500000</v>
      </c>
      <c r="J59" s="190">
        <f t="shared" si="90"/>
        <v>22</v>
      </c>
      <c r="K59" s="191">
        <f t="shared" si="100"/>
        <v>-347250000</v>
      </c>
      <c r="L59" s="190">
        <f t="shared" si="91"/>
        <v>-463</v>
      </c>
      <c r="M59" s="192">
        <f t="shared" si="101"/>
        <v>4.536082474226804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>
        <f>SUM('[1]MEI 26'!AP40)</f>
        <v>3000000</v>
      </c>
      <c r="AH59" s="339">
        <f t="shared" si="94"/>
        <v>4</v>
      </c>
      <c r="AI59" s="338">
        <f>SUM('[1]JUNI 26'!AJ40)</f>
        <v>4500000</v>
      </c>
      <c r="AJ59" s="339">
        <f t="shared" si="104"/>
        <v>6</v>
      </c>
      <c r="AK59" s="331"/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16500000</v>
      </c>
      <c r="AX59" s="341">
        <f t="shared" si="98"/>
        <v>22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19000000</v>
      </c>
      <c r="J60" s="190">
        <f t="shared" si="90"/>
        <v>19</v>
      </c>
      <c r="K60" s="191">
        <f t="shared" si="100"/>
        <v>-368000000</v>
      </c>
      <c r="L60" s="190">
        <f t="shared" si="91"/>
        <v>-368</v>
      </c>
      <c r="M60" s="192">
        <f t="shared" si="101"/>
        <v>4.909560723514212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>
        <f>SUM('[1]MEI 26'!AP41)</f>
        <v>4000000</v>
      </c>
      <c r="AH60" s="339">
        <f t="shared" si="94"/>
        <v>4</v>
      </c>
      <c r="AI60" s="338">
        <f>SUM('[1]JUNI 26'!AJ41)</f>
        <v>6000000</v>
      </c>
      <c r="AJ60" s="339">
        <f t="shared" si="104"/>
        <v>6</v>
      </c>
      <c r="AK60" s="331"/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19000000</v>
      </c>
      <c r="AX60" s="341">
        <f t="shared" si="98"/>
        <v>19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4900000</v>
      </c>
      <c r="J61" s="190">
        <f t="shared" si="90"/>
        <v>49</v>
      </c>
      <c r="K61" s="191">
        <f t="shared" si="100"/>
        <v>-85100000</v>
      </c>
      <c r="L61" s="190">
        <f t="shared" si="91"/>
        <v>-851</v>
      </c>
      <c r="M61" s="192">
        <f t="shared" si="101"/>
        <v>5.4444444444444438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>
        <f>SUM('[1]MEI 26'!AP42)</f>
        <v>1300000</v>
      </c>
      <c r="AH61" s="339">
        <f t="shared" si="94"/>
        <v>13</v>
      </c>
      <c r="AI61" s="338">
        <f>SUM('[1]JUNI 26'!AJ42)</f>
        <v>1400000</v>
      </c>
      <c r="AJ61" s="339">
        <f t="shared" si="104"/>
        <v>14</v>
      </c>
      <c r="AK61" s="331"/>
      <c r="AL61" s="339">
        <f t="shared" si="105"/>
        <v>0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4900000</v>
      </c>
      <c r="AX61" s="341">
        <f t="shared" si="98"/>
        <v>49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63900000</v>
      </c>
      <c r="J62" s="190">
        <f t="shared" si="90"/>
        <v>4260</v>
      </c>
      <c r="K62" s="191">
        <f t="shared" si="100"/>
        <v>-216150000</v>
      </c>
      <c r="L62" s="190">
        <f t="shared" si="91"/>
        <v>-14410</v>
      </c>
      <c r="M62" s="192">
        <f t="shared" si="101"/>
        <v>22.81735404392073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>
        <f>SUM('[1]MEI 26'!AP43)</f>
        <v>14205000</v>
      </c>
      <c r="AH62" s="339">
        <f t="shared" si="94"/>
        <v>947</v>
      </c>
      <c r="AI62" s="338">
        <f>SUM('[1]JUNI 26'!AJ43)</f>
        <v>13095000</v>
      </c>
      <c r="AJ62" s="339">
        <f t="shared" si="104"/>
        <v>873</v>
      </c>
      <c r="AK62" s="331"/>
      <c r="AL62" s="339">
        <f t="shared" si="105"/>
        <v>0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63900000</v>
      </c>
      <c r="AX62" s="341">
        <f t="shared" si="98"/>
        <v>4260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45445000</v>
      </c>
      <c r="J63" s="190">
        <f t="shared" si="90"/>
        <v>9089</v>
      </c>
      <c r="K63" s="191">
        <f t="shared" si="100"/>
        <v>45445000</v>
      </c>
      <c r="L63" s="190">
        <f t="shared" si="91"/>
        <v>9089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>
        <f>SUM('[1]MEI 26'!AP44)</f>
        <v>7055000</v>
      </c>
      <c r="AH63" s="339">
        <f t="shared" si="94"/>
        <v>1411</v>
      </c>
      <c r="AI63" s="338">
        <f>SUM('[1]JUNI 26'!AJ44)</f>
        <v>6645000</v>
      </c>
      <c r="AJ63" s="339">
        <f t="shared" si="104"/>
        <v>1329</v>
      </c>
      <c r="AK63" s="331"/>
      <c r="AL63" s="339">
        <f t="shared" si="105"/>
        <v>0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45445000</v>
      </c>
      <c r="AX63" s="341">
        <f t="shared" si="98"/>
        <v>9089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>
        <f>SUM('[1]MEI 26'!AP45)</f>
        <v>0</v>
      </c>
      <c r="AH64" s="339">
        <f t="shared" si="94"/>
        <v>0</v>
      </c>
      <c r="AI64" s="338">
        <f>SUM('[1]JUNI 26'!AJ45)</f>
        <v>0</v>
      </c>
      <c r="AJ64" s="339">
        <f t="shared" si="104"/>
        <v>0</v>
      </c>
      <c r="AK64" s="331"/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2475000</v>
      </c>
      <c r="J65" s="190">
        <f t="shared" si="90"/>
        <v>33</v>
      </c>
      <c r="K65" s="191">
        <f t="shared" si="100"/>
        <v>-17475000</v>
      </c>
      <c r="L65" s="190">
        <f t="shared" si="91"/>
        <v>-233</v>
      </c>
      <c r="M65" s="192">
        <f t="shared" si="101"/>
        <v>12.406015037593985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>
        <f>SUM('[1]MEI 26'!AP46)</f>
        <v>225000</v>
      </c>
      <c r="AH65" s="339">
        <f t="shared" si="94"/>
        <v>3</v>
      </c>
      <c r="AI65" s="338">
        <f>SUM('[1]JUNI 26'!AJ46)</f>
        <v>450000</v>
      </c>
      <c r="AJ65" s="339">
        <f t="shared" si="104"/>
        <v>6</v>
      </c>
      <c r="AK65" s="331"/>
      <c r="AL65" s="339">
        <f t="shared" si="105"/>
        <v>0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2475000</v>
      </c>
      <c r="AX65" s="341">
        <f t="shared" si="98"/>
        <v>33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>
        <f>SUM('[1]MEI 26'!AP47)</f>
        <v>0</v>
      </c>
      <c r="AH66" s="339">
        <f t="shared" si="94"/>
        <v>0</v>
      </c>
      <c r="AI66" s="338">
        <f>SUM('[1]JUNI 26'!AJ47)</f>
        <v>0</v>
      </c>
      <c r="AJ66" s="339">
        <f t="shared" si="104"/>
        <v>0</v>
      </c>
      <c r="AK66" s="331"/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5635200000</v>
      </c>
      <c r="J67" s="277"/>
      <c r="K67" s="277">
        <f>I67-G67</f>
        <v>635200000</v>
      </c>
      <c r="L67" s="278"/>
      <c r="M67" s="279">
        <f>SUM(I67/G67*100)</f>
        <v>112.70400000000001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>
        <f>SUM('[1]JUNI 26'!$AJ$56)</f>
        <v>1244500000</v>
      </c>
      <c r="AJ67" s="429"/>
      <c r="AK67" s="429"/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5635200000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52238113</v>
      </c>
      <c r="J68" s="282"/>
      <c r="K68" s="277">
        <f>I68-G68</f>
        <v>-187761887</v>
      </c>
      <c r="L68" s="281"/>
      <c r="M68" s="279">
        <f>SUM(I68/G68*100)</f>
        <v>21.765880416666665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>
        <f>SUM('[1]MEI 26'!$AP$54+'[1]MEI 26'!$AP$55)</f>
        <v>16157772</v>
      </c>
      <c r="AH68" s="429"/>
      <c r="AI68" s="428">
        <f>SUM('[1]JUNI 26'!$AJ$54)</f>
        <v>19313094</v>
      </c>
      <c r="AJ68" s="429"/>
      <c r="AK68" s="434"/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52238113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411646290</v>
      </c>
      <c r="J69" s="286"/>
      <c r="K69" s="277">
        <f>I69-G69</f>
        <v>-188353710</v>
      </c>
      <c r="L69" s="285"/>
      <c r="M69" s="279">
        <f>SUM(I69/G69*100)</f>
        <v>68.607714999999999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>
        <f>SUM('[1]MEI 26'!$AP$49+'[1]MEI 26'!$AP$50+'[1]MEI 26'!$AP$51+'[1]MEI 26'!$AP$52+'[1]MEI 26'!$AP$53)</f>
        <v>84747275</v>
      </c>
      <c r="AH69" s="429"/>
      <c r="AI69" s="428">
        <f>SUM('[1]JUNI 26'!$AJ$49+'[1]JUNI 26'!$AJ$50+'[1]JUNI 26'!$AJ$51+'[1]JUNI 26'!$AJ$52+'[1]JUNI 26'!$AJ$53)</f>
        <v>71026350</v>
      </c>
      <c r="AJ69" s="429"/>
      <c r="AK69" s="434"/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411646290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21887663028</v>
      </c>
      <c r="J70" s="287"/>
      <c r="K70" s="287">
        <f>K9+K67+K68+K69</f>
        <v>-80432336972</v>
      </c>
      <c r="L70" s="287"/>
      <c r="M70" s="287">
        <f>SUM(I70/G70*100)</f>
        <v>21.39138294370602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3511930297</v>
      </c>
      <c r="AH70" s="437">
        <f t="shared" si="112"/>
        <v>710617</v>
      </c>
      <c r="AI70" s="437">
        <f>AI9+AI67+AI68+AI69</f>
        <v>4267689069</v>
      </c>
      <c r="AJ70" s="437">
        <f t="shared" ref="AJ70:AV70" si="113">AJ9+AJ67+AJ68+AJ69</f>
        <v>629101</v>
      </c>
      <c r="AK70" s="437">
        <f t="shared" si="113"/>
        <v>0</v>
      </c>
      <c r="AL70" s="437">
        <f t="shared" si="113"/>
        <v>0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21887663028</v>
      </c>
      <c r="AX70" s="440">
        <f>Z70+AB70+AD70+AF70+AH70+AJ70+AL70+AN70+AP70+AR70+AT70+AV70</f>
        <v>3353012</v>
      </c>
      <c r="AY70" s="5"/>
      <c r="BB70" s="1"/>
      <c r="BC70" s="1"/>
      <c r="BD70" s="1"/>
      <c r="BE70" s="1"/>
      <c r="BF70" s="1"/>
      <c r="BG70" s="1"/>
    </row>
    <row r="73" spans="1:59" ht="15.75" customHeight="1" x14ac:dyDescent="0.25">
      <c r="J73" s="676" t="s">
        <v>238</v>
      </c>
      <c r="K73" s="676"/>
      <c r="L73" s="676"/>
      <c r="M73" s="676"/>
    </row>
    <row r="74" spans="1:59" ht="15.75" customHeight="1" x14ac:dyDescent="0.25">
      <c r="J74" s="676" t="s">
        <v>201</v>
      </c>
      <c r="K74" s="676"/>
      <c r="L74" s="676"/>
      <c r="M74" s="676"/>
    </row>
    <row r="75" spans="1:59" ht="15.75" customHeight="1" x14ac:dyDescent="0.25">
      <c r="J75" s="676" t="s">
        <v>20</v>
      </c>
      <c r="K75" s="676"/>
      <c r="L75" s="676"/>
      <c r="M75" s="676"/>
    </row>
    <row r="76" spans="1:59" ht="15.75" customHeight="1" x14ac:dyDescent="0.25">
      <c r="J76" s="676" t="s">
        <v>53</v>
      </c>
      <c r="K76" s="676"/>
      <c r="L76" s="676"/>
      <c r="M76" s="676"/>
    </row>
    <row r="77" spans="1:59" x14ac:dyDescent="0.25">
      <c r="J77" s="303"/>
      <c r="K77" s="677" t="s">
        <v>54</v>
      </c>
      <c r="L77" s="677"/>
      <c r="M77" s="303"/>
    </row>
    <row r="78" spans="1:59" x14ac:dyDescent="0.25">
      <c r="J78" s="303"/>
      <c r="K78" s="303"/>
      <c r="L78" s="303"/>
      <c r="M78" s="303"/>
    </row>
    <row r="79" spans="1:59" x14ac:dyDescent="0.25">
      <c r="J79" s="303"/>
      <c r="K79" s="303"/>
      <c r="L79" s="303"/>
      <c r="M79" s="303"/>
    </row>
    <row r="80" spans="1:59" ht="15.75" customHeight="1" x14ac:dyDescent="0.25">
      <c r="J80" s="676" t="s">
        <v>198</v>
      </c>
      <c r="K80" s="676"/>
      <c r="L80" s="676"/>
      <c r="M80" s="676"/>
    </row>
    <row r="81" spans="10:13" ht="15.75" customHeight="1" x14ac:dyDescent="0.25">
      <c r="J81" s="676" t="s">
        <v>199</v>
      </c>
      <c r="K81" s="676"/>
      <c r="L81" s="676"/>
      <c r="M81" s="676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4:M74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3:M73"/>
    <mergeCell ref="J75:M75"/>
    <mergeCell ref="J76:M76"/>
    <mergeCell ref="K77:L77"/>
    <mergeCell ref="J80:M80"/>
    <mergeCell ref="J81:M81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3FF0-D46B-4064-8BAE-22D03535FA0B}">
  <dimension ref="A1:BG81"/>
  <sheetViews>
    <sheetView showOutlineSymbols="0" zoomScale="110" zoomScaleNormal="110" workbookViewId="0">
      <selection activeCell="N44" sqref="N44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242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241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19368347875</v>
      </c>
      <c r="J9" s="165">
        <f t="shared" si="0"/>
        <v>4146780</v>
      </c>
      <c r="K9" s="164">
        <f>SUM(K10+K30+K36+K44)</f>
        <v>-77111652125</v>
      </c>
      <c r="L9" s="165">
        <f t="shared" si="0"/>
        <v>-17983435.800000001</v>
      </c>
      <c r="M9" s="166">
        <f>SUM(I9/G9*100)</f>
        <v>20.074987432628525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3411025250</v>
      </c>
      <c r="AH9" s="312">
        <f t="shared" si="3"/>
        <v>710617</v>
      </c>
      <c r="AI9" s="312">
        <f>AI10+AI30+AI36+AI44</f>
        <v>2932849625</v>
      </c>
      <c r="AJ9" s="312">
        <f t="shared" ref="AJ9:AV9" si="4">AJ10+AJ30+AJ36+AJ44</f>
        <v>629101</v>
      </c>
      <c r="AK9" s="312">
        <f t="shared" si="4"/>
        <v>3579769250</v>
      </c>
      <c r="AL9" s="312">
        <f t="shared" si="4"/>
        <v>793768</v>
      </c>
      <c r="AM9" s="312">
        <f t="shared" si="4"/>
        <v>0</v>
      </c>
      <c r="AN9" s="313">
        <f t="shared" si="4"/>
        <v>0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19368347875</v>
      </c>
      <c r="AX9" s="315">
        <f t="shared" ref="AX9:AX16" si="6">Z9+AB9+AD9+AF9+AH9+AJ9+AL9+AN9+AP9+AR9+AT9+AV9</f>
        <v>4146780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14299602875</v>
      </c>
      <c r="J10" s="171">
        <f t="shared" si="7"/>
        <v>3487259</v>
      </c>
      <c r="K10" s="170">
        <f>SUM(K12:K29)</f>
        <v>-60631597125</v>
      </c>
      <c r="L10" s="171">
        <f t="shared" si="7"/>
        <v>-15085039</v>
      </c>
      <c r="M10" s="170">
        <f>SUM(I10/G10*100)</f>
        <v>19.083643228721815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2443191750</v>
      </c>
      <c r="AH10" s="320">
        <f t="shared" si="10"/>
        <v>592423</v>
      </c>
      <c r="AI10" s="320">
        <f>SUM(AI12:AI29)</f>
        <v>2130154625</v>
      </c>
      <c r="AJ10" s="320">
        <f t="shared" ref="AJ10:AV10" si="11">SUM(AJ12:AJ29)</f>
        <v>510005</v>
      </c>
      <c r="AK10" s="320">
        <f t="shared" si="11"/>
        <v>2766047750</v>
      </c>
      <c r="AL10" s="320">
        <f t="shared" si="11"/>
        <v>678842</v>
      </c>
      <c r="AM10" s="320">
        <f t="shared" si="11"/>
        <v>0</v>
      </c>
      <c r="AN10" s="321">
        <f t="shared" si="11"/>
        <v>0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14299602875</v>
      </c>
      <c r="AX10" s="323">
        <f t="shared" si="6"/>
        <v>3487259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8552136000</v>
      </c>
      <c r="J12" s="184">
        <f>I12/R12</f>
        <v>2138034</v>
      </c>
      <c r="K12" s="185">
        <f>I12-G12</f>
        <v>-28847864000</v>
      </c>
      <c r="L12" s="184">
        <f>J12-H12</f>
        <v>-7211966</v>
      </c>
      <c r="M12" s="186">
        <f>SUM(I12/G12*100)</f>
        <v>22.866673796791446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>
        <f>SUM('[1]MEI 26'!AP3)</f>
        <v>1489940000</v>
      </c>
      <c r="AH12" s="339">
        <f>SUM(AG12/R12)</f>
        <v>372485</v>
      </c>
      <c r="AI12" s="338">
        <f>SUM('[1]JUNI 26'!AJ3)</f>
        <v>1166488000</v>
      </c>
      <c r="AJ12" s="339">
        <f>SUM(AI12/R12)</f>
        <v>291622</v>
      </c>
      <c r="AK12" s="338">
        <f>SUM('[1]JULI 26'!AM3)</f>
        <v>1655792000</v>
      </c>
      <c r="AL12" s="339">
        <f>SUM(AK12/R12)</f>
        <v>413948</v>
      </c>
      <c r="AM12" s="338"/>
      <c r="AN12" s="339">
        <f>SUM(AM12/R12)</f>
        <v>0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8552136000</v>
      </c>
      <c r="AX12" s="341">
        <f t="shared" si="6"/>
        <v>2138034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2155791000</v>
      </c>
      <c r="J13" s="190">
        <f t="shared" ref="J13:J29" si="14">I13/R13</f>
        <v>718597</v>
      </c>
      <c r="K13" s="191">
        <f t="shared" ref="K13:L29" si="15">I13-G13</f>
        <v>-9094209000</v>
      </c>
      <c r="L13" s="190">
        <f t="shared" si="15"/>
        <v>-3031403</v>
      </c>
      <c r="M13" s="192">
        <f t="shared" ref="M13:M28" si="16">SUM(I13/G13*100)</f>
        <v>19.162586666666666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>
        <f>SUM('[1]MEI 26'!AP4)</f>
        <v>343857000</v>
      </c>
      <c r="AH13" s="339">
        <f>SUM(AG13/R13)</f>
        <v>114619</v>
      </c>
      <c r="AI13" s="338">
        <f>SUM('[1]JUNI 26'!AJ4)</f>
        <v>294618000</v>
      </c>
      <c r="AJ13" s="339">
        <f>SUM(AI13/R13)</f>
        <v>98206</v>
      </c>
      <c r="AK13" s="338">
        <f>SUM('[1]JULI 26'!AM4)</f>
        <v>439446000</v>
      </c>
      <c r="AL13" s="339">
        <f>SUM(AK13/R13)</f>
        <v>146482</v>
      </c>
      <c r="AM13" s="338"/>
      <c r="AN13" s="339">
        <f>SUM(AM13/R13)</f>
        <v>0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2155791000</v>
      </c>
      <c r="AX13" s="341">
        <f t="shared" si="6"/>
        <v>718597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8391000</v>
      </c>
      <c r="J15" s="190">
        <f t="shared" si="14"/>
        <v>2797</v>
      </c>
      <c r="K15" s="191">
        <f t="shared" si="15"/>
        <v>-201609000</v>
      </c>
      <c r="L15" s="190">
        <f t="shared" si="15"/>
        <v>-67203</v>
      </c>
      <c r="M15" s="192">
        <f t="shared" si="16"/>
        <v>3.9957142857142856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>
        <f>SUM('[1]MEI 26'!AP5)</f>
        <v>1230000</v>
      </c>
      <c r="AH15" s="339">
        <f>SUM(AG15/R15)</f>
        <v>410</v>
      </c>
      <c r="AI15" s="338">
        <f>SUM('[1]JUNI 26'!AJ5)</f>
        <v>2439000</v>
      </c>
      <c r="AJ15" s="339">
        <f>SUM(AI15/R15)</f>
        <v>813</v>
      </c>
      <c r="AK15" s="338">
        <f>SUM('[1]JULI 26'!AM5)</f>
        <v>255000</v>
      </c>
      <c r="AL15" s="339">
        <f>SUM(AK15/R15)</f>
        <v>85</v>
      </c>
      <c r="AM15" s="338"/>
      <c r="AN15" s="339">
        <f>SUM(AM15/R15)</f>
        <v>0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8391000</v>
      </c>
      <c r="AX15" s="341">
        <f t="shared" si="6"/>
        <v>2797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25825500</v>
      </c>
      <c r="J16" s="197">
        <f t="shared" si="14"/>
        <v>11478</v>
      </c>
      <c r="K16" s="198">
        <f t="shared" si="15"/>
        <v>-198173250</v>
      </c>
      <c r="L16" s="197">
        <f t="shared" si="15"/>
        <v>-88077</v>
      </c>
      <c r="M16" s="199">
        <f t="shared" si="16"/>
        <v>11.529305409070362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>
        <f>SUM('[1]MEI 26'!AP6)</f>
        <v>4979250</v>
      </c>
      <c r="AH16" s="339">
        <f>SUM(AG16/R16)</f>
        <v>2213</v>
      </c>
      <c r="AI16" s="338">
        <f>SUM('[1]JUNI 26'!AJ6)</f>
        <v>4036500</v>
      </c>
      <c r="AJ16" s="339">
        <f>SUM(AI16/R16)</f>
        <v>1794</v>
      </c>
      <c r="AK16" s="338">
        <f>SUM('[1]JULI 26'!AM6)</f>
        <v>301500</v>
      </c>
      <c r="AL16" s="339">
        <f>SUM(AK16/R16)</f>
        <v>134</v>
      </c>
      <c r="AM16" s="338"/>
      <c r="AN16" s="339">
        <f>SUM(AM16/R16)</f>
        <v>0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25825500</v>
      </c>
      <c r="AX16" s="356">
        <f t="shared" si="6"/>
        <v>11478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>
        <f>SUM('[1]MEI 26'!AP7)</f>
        <v>0</v>
      </c>
      <c r="AH19" s="339">
        <f>SUM(AG19/R19)</f>
        <v>0</v>
      </c>
      <c r="AI19" s="338">
        <f>SUM('[1]JUNI 26'!AJ7)</f>
        <v>0</v>
      </c>
      <c r="AJ19" s="339">
        <f>SUM(AI19/R19)</f>
        <v>0</v>
      </c>
      <c r="AK19" s="338">
        <f>SUM('[1]JULI 26'!AM7)</f>
        <v>0</v>
      </c>
      <c r="AL19" s="339">
        <f>SUM(AK19/R19)</f>
        <v>0</v>
      </c>
      <c r="AM19" s="338"/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>
        <f>SUM('[1]MEI 26'!AP8)</f>
        <v>0</v>
      </c>
      <c r="AH20" s="339">
        <f t="shared" ref="AH20:AH22" si="25">SUM(AG20/R20)</f>
        <v>0</v>
      </c>
      <c r="AI20" s="338">
        <f>SUM('[1]JUNI 26'!AJ8)</f>
        <v>0</v>
      </c>
      <c r="AJ20" s="339">
        <f t="shared" ref="AJ20:AJ22" si="26">SUM(AI20/R20)</f>
        <v>0</v>
      </c>
      <c r="AK20" s="338">
        <f>SUM('[1]JULI 26'!AM8)</f>
        <v>0</v>
      </c>
      <c r="AL20" s="339">
        <f t="shared" ref="AL20:AL22" si="27">SUM(AK20/R20)</f>
        <v>0</v>
      </c>
      <c r="AM20" s="338"/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>
        <f>SUM('[1]MEI 26'!AP9)</f>
        <v>0</v>
      </c>
      <c r="AH21" s="339">
        <f t="shared" si="25"/>
        <v>0</v>
      </c>
      <c r="AI21" s="338">
        <f>SUM('[1]JUNI 26'!AJ9)</f>
        <v>0</v>
      </c>
      <c r="AJ21" s="339">
        <f t="shared" si="26"/>
        <v>0</v>
      </c>
      <c r="AK21" s="338">
        <f>SUM('[1]JULI 26'!AM9)</f>
        <v>0</v>
      </c>
      <c r="AL21" s="339">
        <f t="shared" si="27"/>
        <v>0</v>
      </c>
      <c r="AM21" s="338"/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440922500</v>
      </c>
      <c r="J22" s="190">
        <f t="shared" si="14"/>
        <v>176369</v>
      </c>
      <c r="K22" s="191">
        <f t="shared" si="15"/>
        <v>-5719810000</v>
      </c>
      <c r="L22" s="190">
        <f t="shared" si="15"/>
        <v>-2287924</v>
      </c>
      <c r="M22" s="192">
        <f t="shared" si="16"/>
        <v>7.1569817387786268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>
        <f>SUM('[1]MEI 26'!AP10)</f>
        <v>77042500</v>
      </c>
      <c r="AH22" s="339">
        <f t="shared" si="25"/>
        <v>30817</v>
      </c>
      <c r="AI22" s="338">
        <f>SUM('[1]JUNI 26'!AJ10)</f>
        <v>88975000</v>
      </c>
      <c r="AJ22" s="339">
        <f t="shared" si="26"/>
        <v>35590</v>
      </c>
      <c r="AK22" s="338">
        <f>SUM('[1]JULI 26'!AM10)</f>
        <v>80670000</v>
      </c>
      <c r="AL22" s="339">
        <f t="shared" si="27"/>
        <v>32268</v>
      </c>
      <c r="AM22" s="338"/>
      <c r="AN22" s="339">
        <f t="shared" si="28"/>
        <v>0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440922500</v>
      </c>
      <c r="AX22" s="341">
        <f t="shared" si="19"/>
        <v>176369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704280000</v>
      </c>
      <c r="J24" s="190">
        <f t="shared" si="14"/>
        <v>117380</v>
      </c>
      <c r="K24" s="191">
        <f t="shared" si="15"/>
        <v>-5295720000</v>
      </c>
      <c r="L24" s="190">
        <f t="shared" si="15"/>
        <v>-882620</v>
      </c>
      <c r="M24" s="192">
        <f t="shared" si="16"/>
        <v>11.738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>
        <f>SUM('[1]MEI 26'!$AP$11+'[1]MEI 26'!$AP$12)</f>
        <v>44862000</v>
      </c>
      <c r="AH24" s="339">
        <f>SUM(AG24/R24)</f>
        <v>7477</v>
      </c>
      <c r="AI24" s="331">
        <f>SUM('[1]JUNI 26'!$AJ$11+'[1]JUNI 26'!$AJ$12)</f>
        <v>157500000</v>
      </c>
      <c r="AJ24" s="339">
        <f>SUM(AI24/R24)</f>
        <v>26250</v>
      </c>
      <c r="AK24" s="331">
        <f>SUM('[1]JULI 26'!$AM$11+'[1]JULI 26'!$AM$12)</f>
        <v>218952000</v>
      </c>
      <c r="AL24" s="339">
        <f>SUM(AK24/R24)</f>
        <v>36492</v>
      </c>
      <c r="AM24" s="331"/>
      <c r="AN24" s="339">
        <f t="shared" si="28"/>
        <v>0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704280000</v>
      </c>
      <c r="AX24" s="341">
        <f t="shared" si="19"/>
        <v>117380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2399662500</v>
      </c>
      <c r="J25" s="190">
        <f t="shared" si="14"/>
        <v>319955</v>
      </c>
      <c r="K25" s="191">
        <f t="shared" si="15"/>
        <v>-11100337500</v>
      </c>
      <c r="L25" s="190">
        <f t="shared" si="15"/>
        <v>-1480045</v>
      </c>
      <c r="M25" s="192">
        <f t="shared" si="16"/>
        <v>17.775277777777777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>
        <f>SUM('[1]MEI 26'!$AP$15+'[1]MEI 26'!$AP$16)</f>
        <v>477870000</v>
      </c>
      <c r="AH25" s="339">
        <f>SUM(AG25/R25)</f>
        <v>63716</v>
      </c>
      <c r="AI25" s="331">
        <f>SUM('[1]JUNI 26'!$AJ$15+'[1]JUNI 26'!$AJ$16)</f>
        <v>412582500</v>
      </c>
      <c r="AJ25" s="339">
        <f>SUM(AI25/R25)</f>
        <v>55011</v>
      </c>
      <c r="AK25" s="331">
        <f>SUM('[1]JULI 26'!$AM$15+'[1]JULI 26'!$AM$16)</f>
        <v>370282500</v>
      </c>
      <c r="AL25" s="339">
        <f>SUM(AK25/R25)</f>
        <v>49371</v>
      </c>
      <c r="AM25" s="331"/>
      <c r="AN25" s="339">
        <f t="shared" si="28"/>
        <v>0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2399662500</v>
      </c>
      <c r="AX25" s="341">
        <f t="shared" si="19"/>
        <v>319955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9225000</v>
      </c>
      <c r="J27" s="190">
        <f t="shared" si="14"/>
        <v>2050</v>
      </c>
      <c r="K27" s="191">
        <f t="shared" si="15"/>
        <v>-110025000</v>
      </c>
      <c r="L27" s="190">
        <f t="shared" si="15"/>
        <v>-24450</v>
      </c>
      <c r="M27" s="192">
        <f t="shared" si="16"/>
        <v>7.7358490566037732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>
        <f>SUM('[1]MEI 26'!$AP$13+'[1]MEI 26'!$AP$14)</f>
        <v>1791000</v>
      </c>
      <c r="AH27" s="339">
        <f>SUM(AG27/R27)</f>
        <v>398</v>
      </c>
      <c r="AI27" s="331">
        <f>SUM('[1]JUNI 26'!$AJ$13+'[1]JUNI 26'!$AJ$14)</f>
        <v>2115000</v>
      </c>
      <c r="AJ27" s="339">
        <f>SUM(AI27/R27)</f>
        <v>470</v>
      </c>
      <c r="AK27" s="331">
        <f>SUM('[1]JULI 26'!$AM$13+'[1]JULI 26'!$AM$14)</f>
        <v>0</v>
      </c>
      <c r="AL27" s="339">
        <f>SUM(AK27/R27)</f>
        <v>0</v>
      </c>
      <c r="AM27" s="331"/>
      <c r="AN27" s="339">
        <f t="shared" si="28"/>
        <v>0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9225000</v>
      </c>
      <c r="AX27" s="341">
        <f t="shared" si="19"/>
        <v>2050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3369375</v>
      </c>
      <c r="J28" s="190">
        <f t="shared" si="14"/>
        <v>599</v>
      </c>
      <c r="K28" s="191">
        <f t="shared" si="15"/>
        <v>-63849375</v>
      </c>
      <c r="L28" s="190">
        <f t="shared" si="15"/>
        <v>-11351</v>
      </c>
      <c r="M28" s="192">
        <f t="shared" si="16"/>
        <v>5.0125523012552309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>
        <f>SUM('[1]MEI 26'!$AP$17+'[1]MEI 26'!$AP$18)</f>
        <v>1620000</v>
      </c>
      <c r="AH28" s="339">
        <f t="shared" ref="AH28:AH29" si="35">SUM(AG28/R28)</f>
        <v>288</v>
      </c>
      <c r="AI28" s="331">
        <f>SUM('[1]JUNI 26'!$AJ$17+'[1]JUNI 26'!$AJ$18)</f>
        <v>1400625</v>
      </c>
      <c r="AJ28" s="339">
        <f t="shared" ref="AJ28:AJ29" si="36">SUM(AI28/R28)</f>
        <v>249</v>
      </c>
      <c r="AK28" s="331">
        <f>SUM('[1]JULI 26'!$AM$17+'[1]JULI 26'!$AM$18)</f>
        <v>348750</v>
      </c>
      <c r="AL28" s="339">
        <f t="shared" ref="AL28:AL29" si="37">SUM(AK28/R28)</f>
        <v>62</v>
      </c>
      <c r="AM28" s="331"/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3369375</v>
      </c>
      <c r="AX28" s="341">
        <f t="shared" si="19"/>
        <v>599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>
        <f>SUM('[1]MEI 26'!AP19)</f>
        <v>0</v>
      </c>
      <c r="AH29" s="339">
        <f t="shared" si="35"/>
        <v>0</v>
      </c>
      <c r="AI29" s="338">
        <f>SUM('[1]JUNI 26'!AJ19)</f>
        <v>0</v>
      </c>
      <c r="AJ29" s="339">
        <f t="shared" si="36"/>
        <v>0</v>
      </c>
      <c r="AK29" s="338">
        <f>SUM('[1]JULI 26'!AM19)</f>
        <v>0</v>
      </c>
      <c r="AL29" s="339">
        <f t="shared" si="37"/>
        <v>0</v>
      </c>
      <c r="AM29" s="338"/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2290360000</v>
      </c>
      <c r="J30" s="219">
        <f t="shared" si="40"/>
        <v>44091</v>
      </c>
      <c r="K30" s="218">
        <f>SUM(K32:K35)</f>
        <v>-3205940000</v>
      </c>
      <c r="L30" s="218">
        <f t="shared" si="40"/>
        <v>-115717.8</v>
      </c>
      <c r="M30" s="220">
        <f>SUM(I30/G30*100)</f>
        <v>41.670942270254535</v>
      </c>
      <c r="N30" s="6" t="s">
        <v>69</v>
      </c>
      <c r="O30" s="488"/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439495000</v>
      </c>
      <c r="AH30" s="373">
        <f t="shared" si="43"/>
        <v>6680</v>
      </c>
      <c r="AI30" s="373">
        <f>SUM(AI32:AI35)</f>
        <v>307315000</v>
      </c>
      <c r="AJ30" s="373">
        <f t="shared" ref="AJ30:AV30" si="44">SUM(AJ32:AJ35)</f>
        <v>6078</v>
      </c>
      <c r="AK30" s="373">
        <f t="shared" si="44"/>
        <v>358305000</v>
      </c>
      <c r="AL30" s="373">
        <f t="shared" si="44"/>
        <v>8610</v>
      </c>
      <c r="AM30" s="373">
        <f t="shared" si="44"/>
        <v>0</v>
      </c>
      <c r="AN30" s="374">
        <f t="shared" si="44"/>
        <v>0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2290360000</v>
      </c>
      <c r="AX30" s="375">
        <f t="shared" si="19"/>
        <v>44091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258460000</v>
      </c>
      <c r="J33" s="190">
        <f t="shared" ref="J33:J35" si="46">I33/R33</f>
        <v>25846</v>
      </c>
      <c r="K33" s="191">
        <f t="shared" ref="K33:L35" si="47">I33-G33</f>
        <v>-554040000</v>
      </c>
      <c r="L33" s="190">
        <f t="shared" si="47"/>
        <v>-55404</v>
      </c>
      <c r="M33" s="192">
        <f>SUM(I33/G33*100)</f>
        <v>31.810461538461539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>
        <f>SUM('[1]MEI 26'!AP20)</f>
        <v>30610000</v>
      </c>
      <c r="AH33" s="339">
        <f>SUM(AG33/R33)</f>
        <v>3061</v>
      </c>
      <c r="AI33" s="338">
        <f>SUM('[1]JUNI 26'!AJ20)</f>
        <v>32630000</v>
      </c>
      <c r="AJ33" s="339">
        <f>SUM(AI33/R33)</f>
        <v>3263</v>
      </c>
      <c r="AK33" s="338">
        <f>SUM('[1]JULI 26'!AM20)</f>
        <v>65710000</v>
      </c>
      <c r="AL33" s="339">
        <f>SUM(AK33/R33)</f>
        <v>6571</v>
      </c>
      <c r="AM33" s="338"/>
      <c r="AN33" s="339">
        <f t="shared" ref="AN33:AN35" si="49">SUM(AM33/R33)</f>
        <v>0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258460000</v>
      </c>
      <c r="AX33" s="341">
        <f>Z33+AB33+AD33+AF33+AH33+AJ33+AL33+AN33+AP33+AR33+AT33+AV33</f>
        <v>25846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246900000</v>
      </c>
      <c r="J34" s="190">
        <f t="shared" si="46"/>
        <v>16460</v>
      </c>
      <c r="K34" s="191">
        <f t="shared" si="47"/>
        <v>-878100000</v>
      </c>
      <c r="L34" s="190">
        <f t="shared" si="47"/>
        <v>-58540</v>
      </c>
      <c r="M34" s="192">
        <f t="shared" ref="M34:M35" si="52">SUM(I34/G34*100)</f>
        <v>21.946666666666665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>
        <f>SUM('[1]MEI 26'!AP21)</f>
        <v>48885000</v>
      </c>
      <c r="AH34" s="339">
        <f t="shared" ref="AH34:AH35" si="56">SUM(AG34/R34)</f>
        <v>3259</v>
      </c>
      <c r="AI34" s="338">
        <f>SUM('[1]JUNI 26'!AJ21)</f>
        <v>38685000</v>
      </c>
      <c r="AJ34" s="339">
        <f t="shared" ref="AJ34:AJ35" si="57">SUM(AI34/R34)</f>
        <v>2579</v>
      </c>
      <c r="AK34" s="338">
        <f>SUM('[1]JULI 26'!AM21)</f>
        <v>26595000</v>
      </c>
      <c r="AL34" s="339">
        <f t="shared" ref="AL34:AL35" si="58">SUM(AK34/R34)</f>
        <v>1773</v>
      </c>
      <c r="AM34" s="338"/>
      <c r="AN34" s="339">
        <f t="shared" si="49"/>
        <v>0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246900000</v>
      </c>
      <c r="AX34" s="341">
        <f>Z34+AB34+AD34+AF34+AH34+AJ34+AL34+AN34+AP34+AR34+AT34+AV34</f>
        <v>16460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1785000000</v>
      </c>
      <c r="J35" s="190">
        <f t="shared" si="46"/>
        <v>1785</v>
      </c>
      <c r="K35" s="191">
        <f t="shared" si="47"/>
        <v>-1773800000</v>
      </c>
      <c r="L35" s="190">
        <f t="shared" si="47"/>
        <v>-1773.8000000000002</v>
      </c>
      <c r="M35" s="192">
        <f t="shared" si="52"/>
        <v>50.157356412273799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>
        <f>SUM('[1]MEI 26'!AP22)</f>
        <v>360000000</v>
      </c>
      <c r="AH35" s="339">
        <f t="shared" si="56"/>
        <v>360</v>
      </c>
      <c r="AI35" s="338">
        <f>SUM('[1]JUNI 26'!AJ22)</f>
        <v>236000000</v>
      </c>
      <c r="AJ35" s="339">
        <f t="shared" si="57"/>
        <v>236</v>
      </c>
      <c r="AK35" s="338">
        <f>SUM('[1]JULI 26'!AM22)</f>
        <v>266000000</v>
      </c>
      <c r="AL35" s="339">
        <f t="shared" si="58"/>
        <v>266</v>
      </c>
      <c r="AM35" s="338"/>
      <c r="AN35" s="339">
        <f t="shared" si="49"/>
        <v>0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1785000000</v>
      </c>
      <c r="AX35" s="341">
        <f>Z35+AB35+AD35+AF35+AH35+AJ35+AL35+AN35+AP35+AR35+AT35+AV35</f>
        <v>1785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2315010000</v>
      </c>
      <c r="J36" s="219">
        <f t="shared" si="61"/>
        <v>567563</v>
      </c>
      <c r="K36" s="218">
        <f t="shared" si="61"/>
        <v>-10188990000</v>
      </c>
      <c r="L36" s="218">
        <f t="shared" si="61"/>
        <v>-2451625</v>
      </c>
      <c r="M36" s="218">
        <f>SUM(I36/G36*100)</f>
        <v>18.51415547024952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425913500</v>
      </c>
      <c r="AH36" s="373">
        <f t="shared" si="64"/>
        <v>104115</v>
      </c>
      <c r="AI36" s="373">
        <f>SUM(AI38:AI43)</f>
        <v>411980000</v>
      </c>
      <c r="AJ36" s="373">
        <f t="shared" ref="AJ36:AV36" si="65">SUM(AJ38:AJ43)</f>
        <v>100894</v>
      </c>
      <c r="AK36" s="373">
        <f t="shared" si="65"/>
        <v>408161500</v>
      </c>
      <c r="AL36" s="373">
        <f t="shared" si="65"/>
        <v>99763</v>
      </c>
      <c r="AM36" s="373">
        <f t="shared" si="65"/>
        <v>0</v>
      </c>
      <c r="AN36" s="374">
        <f t="shared" si="65"/>
        <v>0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2315010000</v>
      </c>
      <c r="AX36" s="393">
        <f>Z36+AB36+AD36+AF36+AH36+AJ36+AL36+AN36+AP36+AR36+AT36+AV36</f>
        <v>567563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52455000</v>
      </c>
      <c r="J39" s="190">
        <f t="shared" ref="J39:J43" si="69">I39/R39</f>
        <v>3497</v>
      </c>
      <c r="K39" s="191">
        <f t="shared" ref="K39:L43" si="70">I39-G39</f>
        <v>-307545000</v>
      </c>
      <c r="L39" s="190">
        <f t="shared" si="70"/>
        <v>-20503</v>
      </c>
      <c r="M39" s="192">
        <f>SUM(I39/G39*100)</f>
        <v>14.570833333333333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>
        <f>SUM('[1]MEI 26'!AP23)</f>
        <v>8445000</v>
      </c>
      <c r="AH39" s="399">
        <f>SUM(AG39/R39)</f>
        <v>563</v>
      </c>
      <c r="AI39" s="616">
        <f>SUM('[1]JUNI 26'!AJ23)</f>
        <v>13875000</v>
      </c>
      <c r="AJ39" s="399">
        <f>SUM(AI39/R39)</f>
        <v>925</v>
      </c>
      <c r="AK39" s="331">
        <f>SUM('[1]JULI 26'!AM23)</f>
        <v>7500000</v>
      </c>
      <c r="AL39" s="399">
        <f>SUM(AK39/R39)</f>
        <v>500</v>
      </c>
      <c r="AM39" s="331"/>
      <c r="AN39" s="399">
        <f t="shared" ref="AN39:AN43" si="73">SUM(AM39/R39)</f>
        <v>0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52455000</v>
      </c>
      <c r="AX39" s="341">
        <f t="shared" si="67"/>
        <v>3497</v>
      </c>
      <c r="AY39" s="5"/>
    </row>
    <row r="40" spans="1:59" ht="30" customHeight="1" x14ac:dyDescent="0.25">
      <c r="A40" s="655"/>
      <c r="B40" s="656"/>
      <c r="C40" s="246"/>
      <c r="D40" s="246"/>
      <c r="E40" s="247" t="s">
        <v>114</v>
      </c>
      <c r="F40" s="248" t="s">
        <v>108</v>
      </c>
      <c r="G40" s="249">
        <v>44000000</v>
      </c>
      <c r="H40" s="657">
        <f t="shared" si="68"/>
        <v>3520</v>
      </c>
      <c r="I40" s="658">
        <f t="shared" ref="I40:I43" si="75">AW40</f>
        <v>18600000</v>
      </c>
      <c r="J40" s="657">
        <f t="shared" si="69"/>
        <v>1488</v>
      </c>
      <c r="K40" s="659">
        <f t="shared" si="70"/>
        <v>-25400000</v>
      </c>
      <c r="L40" s="657">
        <f t="shared" si="70"/>
        <v>-2032</v>
      </c>
      <c r="M40" s="660">
        <f t="shared" ref="M40:M43" si="76">SUM(I40/G40*100)</f>
        <v>42.272727272727273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>
        <f>SUM('[1]MEI 26'!AP24)</f>
        <v>3137500</v>
      </c>
      <c r="AH40" s="339">
        <f t="shared" ref="AH40:AH43" si="78">SUM(AG40/R40)</f>
        <v>251</v>
      </c>
      <c r="AI40" s="338">
        <f>SUM('[1]JUNI 26'!AJ24)</f>
        <v>3425000</v>
      </c>
      <c r="AJ40" s="339">
        <f t="shared" ref="AJ40:AJ43" si="79">SUM(AI40/R40)</f>
        <v>274</v>
      </c>
      <c r="AK40" s="331">
        <f>SUM('[1]JULI 26'!AM24)</f>
        <v>3237500</v>
      </c>
      <c r="AL40" s="339">
        <f t="shared" ref="AL40:AL43" si="80">SUM(AK40/R40)</f>
        <v>259</v>
      </c>
      <c r="AM40" s="338"/>
      <c r="AN40" s="339">
        <f t="shared" si="73"/>
        <v>0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18600000</v>
      </c>
      <c r="AX40" s="341">
        <f t="shared" si="67"/>
        <v>1488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210">
        <f t="shared" si="68"/>
        <v>1125000</v>
      </c>
      <c r="I41" s="262">
        <f t="shared" si="75"/>
        <v>1187910000</v>
      </c>
      <c r="J41" s="210">
        <f t="shared" si="69"/>
        <v>197985</v>
      </c>
      <c r="K41" s="211">
        <f t="shared" si="70"/>
        <v>-5562090000</v>
      </c>
      <c r="L41" s="210">
        <f t="shared" si="70"/>
        <v>-927015</v>
      </c>
      <c r="M41" s="212">
        <f t="shared" si="76"/>
        <v>17.598666666666666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>
        <f>SUM('[1]MEI 26'!AP25)</f>
        <v>226320000</v>
      </c>
      <c r="AH41" s="339">
        <f t="shared" si="78"/>
        <v>37720</v>
      </c>
      <c r="AI41" s="338">
        <f>SUM('[1]JUNI 26'!AJ25)</f>
        <v>206886000</v>
      </c>
      <c r="AJ41" s="339">
        <f t="shared" si="79"/>
        <v>34481</v>
      </c>
      <c r="AK41" s="331">
        <f>SUM('[1]JULI 26'!AM25)</f>
        <v>218508000</v>
      </c>
      <c r="AL41" s="339">
        <f t="shared" si="80"/>
        <v>36418</v>
      </c>
      <c r="AM41" s="338"/>
      <c r="AN41" s="339">
        <f t="shared" si="73"/>
        <v>0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1187910000</v>
      </c>
      <c r="AX41" s="341">
        <f t="shared" si="67"/>
        <v>197985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1037178000</v>
      </c>
      <c r="J42" s="190">
        <f t="shared" si="69"/>
        <v>345726</v>
      </c>
      <c r="K42" s="191">
        <f t="shared" si="70"/>
        <v>-4187820000</v>
      </c>
      <c r="L42" s="190">
        <f t="shared" si="70"/>
        <v>-1395940</v>
      </c>
      <c r="M42" s="192">
        <f t="shared" si="76"/>
        <v>19.850304248920285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>
        <f>SUM('[1]MEI 26'!AP26)</f>
        <v>183645000</v>
      </c>
      <c r="AH42" s="339">
        <f t="shared" si="78"/>
        <v>61215</v>
      </c>
      <c r="AI42" s="338">
        <f>SUM('[1]JUNI 26'!AJ26)</f>
        <v>183870000</v>
      </c>
      <c r="AJ42" s="339">
        <f t="shared" si="79"/>
        <v>61290</v>
      </c>
      <c r="AK42" s="331">
        <f>SUM('[1]JULI 26'!AM26)</f>
        <v>174495000</v>
      </c>
      <c r="AL42" s="339">
        <f t="shared" si="80"/>
        <v>58165</v>
      </c>
      <c r="AM42" s="338"/>
      <c r="AN42" s="339">
        <f t="shared" si="73"/>
        <v>0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1037178000</v>
      </c>
      <c r="AX42" s="341">
        <f t="shared" si="67"/>
        <v>345726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18867000</v>
      </c>
      <c r="J43" s="190">
        <f t="shared" si="69"/>
        <v>18867</v>
      </c>
      <c r="K43" s="191">
        <f t="shared" si="70"/>
        <v>-106135000</v>
      </c>
      <c r="L43" s="190">
        <f t="shared" si="70"/>
        <v>-106135</v>
      </c>
      <c r="M43" s="192">
        <f t="shared" si="76"/>
        <v>15.093358506263899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>
        <f>SUM('[1]MEI 26'!AP27)</f>
        <v>4366000</v>
      </c>
      <c r="AH43" s="339">
        <f t="shared" si="78"/>
        <v>4366</v>
      </c>
      <c r="AI43" s="338">
        <f>SUM('[1]JUNI 26'!AJ27)</f>
        <v>3924000</v>
      </c>
      <c r="AJ43" s="339">
        <f t="shared" si="79"/>
        <v>3924</v>
      </c>
      <c r="AK43" s="331">
        <f>SUM('[1]JULI 26'!AM27)</f>
        <v>4421000</v>
      </c>
      <c r="AL43" s="339">
        <f t="shared" si="80"/>
        <v>4421</v>
      </c>
      <c r="AM43" s="338"/>
      <c r="AN43" s="339">
        <f t="shared" si="73"/>
        <v>0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18867000</v>
      </c>
      <c r="AX43" s="356">
        <f t="shared" si="67"/>
        <v>18867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463375000</v>
      </c>
      <c r="J44" s="257">
        <f t="shared" si="84"/>
        <v>47867</v>
      </c>
      <c r="K44" s="256">
        <f t="shared" si="84"/>
        <v>-3085125000</v>
      </c>
      <c r="L44" s="257">
        <f t="shared" si="84"/>
        <v>-331054</v>
      </c>
      <c r="M44" s="256">
        <f>SUM(I44/G44*100)</f>
        <v>13.058334507538397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102425000</v>
      </c>
      <c r="AH44" s="408">
        <f t="shared" si="87"/>
        <v>7399</v>
      </c>
      <c r="AI44" s="408">
        <f>SUM(AI46:AI66)</f>
        <v>83400000</v>
      </c>
      <c r="AJ44" s="408">
        <f t="shared" ref="AJ44:AV44" si="88">SUM(AJ46:AJ66)</f>
        <v>12124</v>
      </c>
      <c r="AK44" s="408">
        <f t="shared" si="88"/>
        <v>47255000</v>
      </c>
      <c r="AL44" s="408">
        <f t="shared" si="88"/>
        <v>6553</v>
      </c>
      <c r="AM44" s="408">
        <f t="shared" si="88"/>
        <v>0</v>
      </c>
      <c r="AN44" s="409">
        <f t="shared" si="88"/>
        <v>0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463375000</v>
      </c>
      <c r="AX44" s="360">
        <f t="shared" si="67"/>
        <v>47867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0</v>
      </c>
      <c r="J47" s="190">
        <f t="shared" ref="J47:J66" si="90">I47/R47</f>
        <v>0</v>
      </c>
      <c r="K47" s="191">
        <f>I47-G47</f>
        <v>-7500000</v>
      </c>
      <c r="L47" s="190">
        <f t="shared" ref="L47:L66" si="91">J47-H47</f>
        <v>-5</v>
      </c>
      <c r="M47" s="192">
        <f>SUM(I47/G47*100)</f>
        <v>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>
        <f>SUM('[1]MEI 26'!AP28)</f>
        <v>0</v>
      </c>
      <c r="AH47" s="339">
        <f t="shared" ref="AH47:AH66" si="94">SUM(AG47/R47)</f>
        <v>0</v>
      </c>
      <c r="AI47" s="338">
        <f>SUM('[1]JUNI 26'!AJ28)</f>
        <v>0</v>
      </c>
      <c r="AJ47" s="339">
        <f>SUM(AI47/R47)</f>
        <v>0</v>
      </c>
      <c r="AK47" s="331">
        <f>SUM('[1]JULI 26'!AM28)</f>
        <v>0</v>
      </c>
      <c r="AL47" s="339">
        <f>SUM(AK47/R47)</f>
        <v>0</v>
      </c>
      <c r="AM47" s="331"/>
      <c r="AN47" s="399">
        <f t="shared" ref="AN47:AN66" si="95">SUM(AM47/R47)</f>
        <v>0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0</v>
      </c>
      <c r="AX47" s="341">
        <f t="shared" ref="AX47:AX66" si="98">Z47+AB47+AD47+AF47+AH47+AJ47+AL47+AN47+AP47+AR47+AT47+AV47</f>
        <v>0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2500000</v>
      </c>
      <c r="J48" s="190">
        <f t="shared" si="90"/>
        <v>1</v>
      </c>
      <c r="K48" s="191">
        <f t="shared" ref="K48:K66" si="100">I48-G48</f>
        <v>-5000000</v>
      </c>
      <c r="L48" s="190">
        <f t="shared" si="91"/>
        <v>-2</v>
      </c>
      <c r="M48" s="192">
        <f t="shared" ref="M48:M66" si="101">SUM(I48/G48*100)</f>
        <v>33.333333333333329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>
        <f>SUM('[1]MEI 26'!AP29)</f>
        <v>0</v>
      </c>
      <c r="AH48" s="339">
        <f t="shared" si="94"/>
        <v>0</v>
      </c>
      <c r="AI48" s="338">
        <f>SUM('[1]JUNI 26'!AJ29)</f>
        <v>0</v>
      </c>
      <c r="AJ48" s="339">
        <f t="shared" ref="AJ48:AJ66" si="104">SUM(AI48/R48)</f>
        <v>0</v>
      </c>
      <c r="AK48" s="331">
        <f>SUM('[1]JULI 26'!AM29)</f>
        <v>2500000</v>
      </c>
      <c r="AL48" s="339">
        <f t="shared" ref="AL48:AL66" si="105">SUM(AK48/R48)</f>
        <v>1</v>
      </c>
      <c r="AM48" s="331"/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2500000</v>
      </c>
      <c r="AX48" s="341">
        <f t="shared" si="98"/>
        <v>1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>
        <f>SUM('[1]MEI 26'!AP30)</f>
        <v>0</v>
      </c>
      <c r="AH49" s="339">
        <f t="shared" si="94"/>
        <v>0</v>
      </c>
      <c r="AI49" s="338">
        <f>SUM('[1]JUNI 26'!AJ30)</f>
        <v>0</v>
      </c>
      <c r="AJ49" s="339">
        <f t="shared" si="104"/>
        <v>0</v>
      </c>
      <c r="AK49" s="331">
        <f>SUM('[1]JULI 26'!AM30)</f>
        <v>0</v>
      </c>
      <c r="AL49" s="339">
        <f t="shared" si="105"/>
        <v>0</v>
      </c>
      <c r="AM49" s="331"/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>
        <f>SUM('[1]MEI 26'!AP31)</f>
        <v>0</v>
      </c>
      <c r="AH50" s="339">
        <f t="shared" si="94"/>
        <v>0</v>
      </c>
      <c r="AI50" s="338">
        <f>SUM('[1]JUNI 26'!AJ31)</f>
        <v>0</v>
      </c>
      <c r="AJ50" s="339">
        <f t="shared" si="104"/>
        <v>0</v>
      </c>
      <c r="AK50" s="331">
        <f>SUM('[1]JULI 26'!AM31)</f>
        <v>0</v>
      </c>
      <c r="AL50" s="339">
        <f t="shared" si="105"/>
        <v>0</v>
      </c>
      <c r="AM50" s="331"/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2250000</v>
      </c>
      <c r="J51" s="190">
        <f t="shared" si="90"/>
        <v>3</v>
      </c>
      <c r="K51" s="191">
        <f t="shared" si="100"/>
        <v>-11250000</v>
      </c>
      <c r="L51" s="190">
        <f t="shared" si="91"/>
        <v>-15</v>
      </c>
      <c r="M51" s="192">
        <f t="shared" si="101"/>
        <v>16.666666666666664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>
        <f>SUM('[1]MEI 26'!AP32)</f>
        <v>0</v>
      </c>
      <c r="AH51" s="339">
        <f t="shared" si="94"/>
        <v>0</v>
      </c>
      <c r="AI51" s="338">
        <f>SUM('[1]JUNI 26'!AJ32)</f>
        <v>1500000</v>
      </c>
      <c r="AJ51" s="339">
        <f t="shared" si="104"/>
        <v>2</v>
      </c>
      <c r="AK51" s="331">
        <f>SUM('[1]JULI 26'!AM32)</f>
        <v>750000</v>
      </c>
      <c r="AL51" s="339">
        <f t="shared" si="105"/>
        <v>1</v>
      </c>
      <c r="AM51" s="331"/>
      <c r="AN51" s="399">
        <f t="shared" si="95"/>
        <v>0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2250000</v>
      </c>
      <c r="AX51" s="341">
        <f t="shared" si="98"/>
        <v>3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>
        <f>SUM('[1]MEI 26'!AP33)</f>
        <v>0</v>
      </c>
      <c r="AH52" s="339">
        <f t="shared" si="94"/>
        <v>0</v>
      </c>
      <c r="AI52" s="338">
        <f>SUM('[1]JUNI 26'!AJ33)</f>
        <v>0</v>
      </c>
      <c r="AJ52" s="339">
        <f t="shared" si="104"/>
        <v>0</v>
      </c>
      <c r="AK52" s="331">
        <f>SUM('[1]JULI 26'!AM33)</f>
        <v>0</v>
      </c>
      <c r="AL52" s="339">
        <f t="shared" si="105"/>
        <v>0</v>
      </c>
      <c r="AM52" s="331"/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500000</v>
      </c>
      <c r="J53" s="190">
        <f t="shared" si="90"/>
        <v>2</v>
      </c>
      <c r="K53" s="191">
        <f t="shared" si="100"/>
        <v>-3750000</v>
      </c>
      <c r="L53" s="190">
        <f t="shared" si="91"/>
        <v>-15</v>
      </c>
      <c r="M53" s="192">
        <f t="shared" si="101"/>
        <v>11.76470588235294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>
        <f>SUM('[1]MEI 26'!AP34)</f>
        <v>0</v>
      </c>
      <c r="AH53" s="339">
        <f t="shared" si="94"/>
        <v>0</v>
      </c>
      <c r="AI53" s="338">
        <f>SUM('[1]JUNI 26'!AJ34)</f>
        <v>0</v>
      </c>
      <c r="AJ53" s="339">
        <f t="shared" si="104"/>
        <v>0</v>
      </c>
      <c r="AK53" s="331">
        <f>SUM('[1]JULI 26'!AM34)</f>
        <v>250000</v>
      </c>
      <c r="AL53" s="339">
        <f t="shared" si="105"/>
        <v>1</v>
      </c>
      <c r="AM53" s="331"/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500000</v>
      </c>
      <c r="AX53" s="341">
        <f t="shared" si="98"/>
        <v>2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63390000</v>
      </c>
      <c r="J54" s="190">
        <f t="shared" si="90"/>
        <v>31695</v>
      </c>
      <c r="K54" s="191">
        <f t="shared" si="100"/>
        <v>-636610000</v>
      </c>
      <c r="L54" s="190">
        <f t="shared" si="91"/>
        <v>-318305</v>
      </c>
      <c r="M54" s="192">
        <f t="shared" si="101"/>
        <v>9.055714285714286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>
        <f>SUM('[1]MEI 26'!AP35)</f>
        <v>9090000</v>
      </c>
      <c r="AH54" s="339">
        <f t="shared" si="94"/>
        <v>4545</v>
      </c>
      <c r="AI54" s="338">
        <f>SUM('[1]JUNI 26'!AJ35)</f>
        <v>19460000</v>
      </c>
      <c r="AJ54" s="339">
        <f t="shared" si="104"/>
        <v>9730</v>
      </c>
      <c r="AK54" s="331">
        <f>SUM('[1]JULI 26'!AM35)</f>
        <v>10490000</v>
      </c>
      <c r="AL54" s="339">
        <f t="shared" si="105"/>
        <v>5245</v>
      </c>
      <c r="AM54" s="331"/>
      <c r="AN54" s="399">
        <f t="shared" si="95"/>
        <v>0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63390000</v>
      </c>
      <c r="AX54" s="341">
        <f t="shared" si="98"/>
        <v>31695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27100000</v>
      </c>
      <c r="J55" s="190">
        <f t="shared" si="90"/>
        <v>271</v>
      </c>
      <c r="K55" s="191">
        <f t="shared" si="100"/>
        <v>12100000</v>
      </c>
      <c r="L55" s="190">
        <f t="shared" si="91"/>
        <v>121</v>
      </c>
      <c r="M55" s="192">
        <f t="shared" si="101"/>
        <v>180.66666666666666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>
        <f>SUM('[1]MEI 26'!AP36)</f>
        <v>15500000</v>
      </c>
      <c r="AH55" s="339">
        <f t="shared" si="94"/>
        <v>155</v>
      </c>
      <c r="AI55" s="338">
        <f>SUM('[1]JUNI 26'!AJ36)</f>
        <v>2700000</v>
      </c>
      <c r="AJ55" s="339">
        <f t="shared" si="104"/>
        <v>27</v>
      </c>
      <c r="AK55" s="331">
        <f>SUM('[1]JULI 26'!AM36)</f>
        <v>0</v>
      </c>
      <c r="AL55" s="339">
        <f t="shared" si="105"/>
        <v>0</v>
      </c>
      <c r="AM55" s="331"/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27100000</v>
      </c>
      <c r="AX55" s="341">
        <f t="shared" si="98"/>
        <v>271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70100000</v>
      </c>
      <c r="J56" s="190">
        <f t="shared" si="90"/>
        <v>701</v>
      </c>
      <c r="K56" s="191">
        <f t="shared" si="100"/>
        <v>-104900000</v>
      </c>
      <c r="L56" s="190">
        <f t="shared" si="91"/>
        <v>-1049</v>
      </c>
      <c r="M56" s="192">
        <f t="shared" si="101"/>
        <v>40.057142857142857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>
        <f>SUM('[1]MEI 26'!AP37)</f>
        <v>20800000</v>
      </c>
      <c r="AH56" s="339">
        <f t="shared" si="94"/>
        <v>208</v>
      </c>
      <c r="AI56" s="338">
        <f>SUM('[1]JUNI 26'!AJ37)</f>
        <v>3400000</v>
      </c>
      <c r="AJ56" s="339">
        <f t="shared" si="104"/>
        <v>34</v>
      </c>
      <c r="AK56" s="331">
        <f>SUM('[1]JULI 26'!AM37)</f>
        <v>5200000</v>
      </c>
      <c r="AL56" s="339">
        <f t="shared" si="105"/>
        <v>52</v>
      </c>
      <c r="AM56" s="331"/>
      <c r="AN56" s="399">
        <f t="shared" si="95"/>
        <v>0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70100000</v>
      </c>
      <c r="AX56" s="341">
        <f t="shared" si="98"/>
        <v>701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133500000</v>
      </c>
      <c r="J57" s="190">
        <f t="shared" si="90"/>
        <v>534</v>
      </c>
      <c r="K57" s="191">
        <f t="shared" si="100"/>
        <v>-1241500000</v>
      </c>
      <c r="L57" s="190">
        <f t="shared" si="91"/>
        <v>-4966</v>
      </c>
      <c r="M57" s="192">
        <f t="shared" si="101"/>
        <v>9.709090909090909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>
        <f>SUM('[1]MEI 26'!AP38)</f>
        <v>27250000</v>
      </c>
      <c r="AH57" s="339">
        <f t="shared" si="94"/>
        <v>109</v>
      </c>
      <c r="AI57" s="338">
        <f>SUM('[1]JUNI 26'!AJ38)</f>
        <v>24250000</v>
      </c>
      <c r="AJ57" s="339">
        <f t="shared" si="104"/>
        <v>97</v>
      </c>
      <c r="AK57" s="331">
        <f>SUM('[1]JULI 26'!AM38)</f>
        <v>16250000</v>
      </c>
      <c r="AL57" s="339">
        <f t="shared" si="105"/>
        <v>65</v>
      </c>
      <c r="AM57" s="331"/>
      <c r="AN57" s="399">
        <f t="shared" si="95"/>
        <v>0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133500000</v>
      </c>
      <c r="AX57" s="341">
        <f t="shared" si="98"/>
        <v>534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>
        <f>SUM('[1]MEI 26'!AP39)</f>
        <v>0</v>
      </c>
      <c r="AH58" s="339">
        <f t="shared" si="94"/>
        <v>0</v>
      </c>
      <c r="AI58" s="338">
        <f>SUM('[1]JUNI 26'!AJ39)</f>
        <v>0</v>
      </c>
      <c r="AJ58" s="339">
        <f t="shared" si="104"/>
        <v>0</v>
      </c>
      <c r="AK58" s="331">
        <f>SUM('[1]JULI 26'!AM39)</f>
        <v>0</v>
      </c>
      <c r="AL58" s="339">
        <f t="shared" si="105"/>
        <v>0</v>
      </c>
      <c r="AM58" s="331"/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16500000</v>
      </c>
      <c r="J59" s="190">
        <f t="shared" si="90"/>
        <v>22</v>
      </c>
      <c r="K59" s="191">
        <f t="shared" si="100"/>
        <v>-347250000</v>
      </c>
      <c r="L59" s="190">
        <f t="shared" si="91"/>
        <v>-463</v>
      </c>
      <c r="M59" s="192">
        <f t="shared" si="101"/>
        <v>4.536082474226804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>
        <f>SUM('[1]MEI 26'!AP40)</f>
        <v>3000000</v>
      </c>
      <c r="AH59" s="339">
        <f t="shared" si="94"/>
        <v>4</v>
      </c>
      <c r="AI59" s="338">
        <f>SUM('[1]JUNI 26'!AJ40)</f>
        <v>4500000</v>
      </c>
      <c r="AJ59" s="339">
        <f t="shared" si="104"/>
        <v>6</v>
      </c>
      <c r="AK59" s="331">
        <f>SUM('[1]JULI 26'!AM40)</f>
        <v>0</v>
      </c>
      <c r="AL59" s="339">
        <f t="shared" si="105"/>
        <v>0</v>
      </c>
      <c r="AM59" s="331"/>
      <c r="AN59" s="399">
        <f t="shared" si="95"/>
        <v>0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16500000</v>
      </c>
      <c r="AX59" s="341">
        <f t="shared" si="98"/>
        <v>22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19000000</v>
      </c>
      <c r="J60" s="190">
        <f t="shared" si="90"/>
        <v>19</v>
      </c>
      <c r="K60" s="191">
        <f t="shared" si="100"/>
        <v>-368000000</v>
      </c>
      <c r="L60" s="190">
        <f t="shared" si="91"/>
        <v>-368</v>
      </c>
      <c r="M60" s="192">
        <f t="shared" si="101"/>
        <v>4.909560723514212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>
        <f>SUM('[1]MEI 26'!AP41)</f>
        <v>4000000</v>
      </c>
      <c r="AH60" s="339">
        <f t="shared" si="94"/>
        <v>4</v>
      </c>
      <c r="AI60" s="338">
        <f>SUM('[1]JUNI 26'!AJ41)</f>
        <v>6000000</v>
      </c>
      <c r="AJ60" s="339">
        <f t="shared" si="104"/>
        <v>6</v>
      </c>
      <c r="AK60" s="331">
        <f>SUM('[1]JULI 26'!AM41)</f>
        <v>0</v>
      </c>
      <c r="AL60" s="339">
        <f t="shared" si="105"/>
        <v>0</v>
      </c>
      <c r="AM60" s="331"/>
      <c r="AN60" s="399">
        <f t="shared" si="95"/>
        <v>0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19000000</v>
      </c>
      <c r="AX60" s="341">
        <f t="shared" si="98"/>
        <v>19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6000000</v>
      </c>
      <c r="J61" s="190">
        <f t="shared" si="90"/>
        <v>60</v>
      </c>
      <c r="K61" s="191">
        <f t="shared" si="100"/>
        <v>-84000000</v>
      </c>
      <c r="L61" s="190">
        <f t="shared" si="91"/>
        <v>-840</v>
      </c>
      <c r="M61" s="192">
        <f t="shared" si="101"/>
        <v>6.666666666666667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>
        <f>SUM('[1]MEI 26'!AP42)</f>
        <v>1300000</v>
      </c>
      <c r="AH61" s="339">
        <f t="shared" si="94"/>
        <v>13</v>
      </c>
      <c r="AI61" s="338">
        <f>SUM('[1]JUNI 26'!AJ42)</f>
        <v>1400000</v>
      </c>
      <c r="AJ61" s="339">
        <f t="shared" si="104"/>
        <v>14</v>
      </c>
      <c r="AK61" s="331">
        <f>SUM('[1]JULI 26'!AM42)</f>
        <v>1100000</v>
      </c>
      <c r="AL61" s="339">
        <f t="shared" si="105"/>
        <v>11</v>
      </c>
      <c r="AM61" s="331"/>
      <c r="AN61" s="399">
        <f t="shared" si="95"/>
        <v>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6000000</v>
      </c>
      <c r="AX61" s="341">
        <f t="shared" si="98"/>
        <v>60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70830000</v>
      </c>
      <c r="J62" s="190">
        <f t="shared" si="90"/>
        <v>4722</v>
      </c>
      <c r="K62" s="191">
        <f t="shared" si="100"/>
        <v>-209220000</v>
      </c>
      <c r="L62" s="190">
        <f t="shared" si="91"/>
        <v>-13948</v>
      </c>
      <c r="M62" s="192">
        <f t="shared" si="101"/>
        <v>25.291912158543116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>
        <f>SUM('[1]MEI 26'!AP43)</f>
        <v>14205000</v>
      </c>
      <c r="AH62" s="339">
        <f t="shared" si="94"/>
        <v>947</v>
      </c>
      <c r="AI62" s="338">
        <f>SUM('[1]JUNI 26'!AJ43)</f>
        <v>13095000</v>
      </c>
      <c r="AJ62" s="339">
        <f t="shared" si="104"/>
        <v>873</v>
      </c>
      <c r="AK62" s="331">
        <f>SUM('[1]JULI 26'!AM43)</f>
        <v>6930000</v>
      </c>
      <c r="AL62" s="339">
        <f t="shared" si="105"/>
        <v>462</v>
      </c>
      <c r="AM62" s="331"/>
      <c r="AN62" s="399">
        <f t="shared" si="95"/>
        <v>0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70830000</v>
      </c>
      <c r="AX62" s="341">
        <f t="shared" si="98"/>
        <v>4722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49005000</v>
      </c>
      <c r="J63" s="190">
        <f t="shared" si="90"/>
        <v>9801</v>
      </c>
      <c r="K63" s="191">
        <f t="shared" si="100"/>
        <v>49005000</v>
      </c>
      <c r="L63" s="190">
        <f t="shared" si="91"/>
        <v>9801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>
        <f>SUM('[1]MEI 26'!AP44)</f>
        <v>7055000</v>
      </c>
      <c r="AH63" s="339">
        <f t="shared" si="94"/>
        <v>1411</v>
      </c>
      <c r="AI63" s="338">
        <f>SUM('[1]JUNI 26'!AJ44)</f>
        <v>6645000</v>
      </c>
      <c r="AJ63" s="339">
        <f t="shared" si="104"/>
        <v>1329</v>
      </c>
      <c r="AK63" s="331">
        <f>SUM('[1]JULI 26'!AM44)</f>
        <v>3560000</v>
      </c>
      <c r="AL63" s="339">
        <f t="shared" si="105"/>
        <v>712</v>
      </c>
      <c r="AM63" s="331"/>
      <c r="AN63" s="399">
        <f t="shared" si="95"/>
        <v>0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49005000</v>
      </c>
      <c r="AX63" s="341">
        <f t="shared" si="98"/>
        <v>9801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0</v>
      </c>
      <c r="J64" s="190">
        <f t="shared" si="90"/>
        <v>0</v>
      </c>
      <c r="K64" s="191">
        <f t="shared" si="100"/>
        <v>-60000000</v>
      </c>
      <c r="L64" s="190">
        <f t="shared" si="91"/>
        <v>-400</v>
      </c>
      <c r="M64" s="192">
        <f t="shared" si="101"/>
        <v>0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>
        <f>SUM('[1]MEI 26'!AP45)</f>
        <v>0</v>
      </c>
      <c r="AH64" s="339">
        <f t="shared" si="94"/>
        <v>0</v>
      </c>
      <c r="AI64" s="338">
        <f>SUM('[1]JUNI 26'!AJ45)</f>
        <v>0</v>
      </c>
      <c r="AJ64" s="339">
        <f t="shared" si="104"/>
        <v>0</v>
      </c>
      <c r="AK64" s="331">
        <f>SUM('[1]JULI 26'!AM45)</f>
        <v>0</v>
      </c>
      <c r="AL64" s="339">
        <f t="shared" si="105"/>
        <v>0</v>
      </c>
      <c r="AM64" s="331"/>
      <c r="AN64" s="399">
        <f t="shared" si="95"/>
        <v>0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0</v>
      </c>
      <c r="AX64" s="341">
        <f t="shared" si="98"/>
        <v>0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2700000</v>
      </c>
      <c r="J65" s="190">
        <f t="shared" si="90"/>
        <v>36</v>
      </c>
      <c r="K65" s="191">
        <f t="shared" si="100"/>
        <v>-17250000</v>
      </c>
      <c r="L65" s="190">
        <f t="shared" si="91"/>
        <v>-230</v>
      </c>
      <c r="M65" s="192">
        <f t="shared" si="101"/>
        <v>13.533834586466165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>
        <f>SUM('[1]MEI 26'!AP46)</f>
        <v>225000</v>
      </c>
      <c r="AH65" s="339">
        <f t="shared" si="94"/>
        <v>3</v>
      </c>
      <c r="AI65" s="338">
        <f>SUM('[1]JUNI 26'!AJ46)</f>
        <v>450000</v>
      </c>
      <c r="AJ65" s="339">
        <f t="shared" si="104"/>
        <v>6</v>
      </c>
      <c r="AK65" s="331">
        <f>SUM('[1]JULI 26'!AM46)</f>
        <v>225000</v>
      </c>
      <c r="AL65" s="339">
        <f t="shared" si="105"/>
        <v>3</v>
      </c>
      <c r="AM65" s="331"/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2700000</v>
      </c>
      <c r="AX65" s="341">
        <f t="shared" si="98"/>
        <v>36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0</v>
      </c>
      <c r="J66" s="190">
        <f t="shared" si="90"/>
        <v>0</v>
      </c>
      <c r="K66" s="191">
        <f t="shared" si="100"/>
        <v>-34000000</v>
      </c>
      <c r="L66" s="190">
        <f t="shared" si="91"/>
        <v>-340</v>
      </c>
      <c r="M66" s="192">
        <f t="shared" si="101"/>
        <v>0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>
        <f>SUM('[1]MEI 26'!AP47)</f>
        <v>0</v>
      </c>
      <c r="AH66" s="339">
        <f t="shared" si="94"/>
        <v>0</v>
      </c>
      <c r="AI66" s="338">
        <f>SUM('[1]JUNI 26'!AJ47)</f>
        <v>0</v>
      </c>
      <c r="AJ66" s="339">
        <f t="shared" si="104"/>
        <v>0</v>
      </c>
      <c r="AK66" s="331">
        <f>SUM('[1]JULI 26'!AM47)</f>
        <v>0</v>
      </c>
      <c r="AL66" s="339">
        <f t="shared" si="105"/>
        <v>0</v>
      </c>
      <c r="AM66" s="331"/>
      <c r="AN66" s="399">
        <f t="shared" si="95"/>
        <v>0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0</v>
      </c>
      <c r="AX66" s="356">
        <f t="shared" si="98"/>
        <v>0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5877200000</v>
      </c>
      <c r="J67" s="277"/>
      <c r="K67" s="277">
        <f>I67-G67</f>
        <v>877200000</v>
      </c>
      <c r="L67" s="278"/>
      <c r="M67" s="279">
        <f>SUM(I67/G67*100)</f>
        <v>117.54400000000001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>
        <f>SUM('[1]JUNI 26'!$AJ$56)</f>
        <v>1244500000</v>
      </c>
      <c r="AJ67" s="429"/>
      <c r="AK67" s="621">
        <f>SUM('[1]JULI 26'!$AM$56)</f>
        <v>242000000</v>
      </c>
      <c r="AL67" s="429"/>
      <c r="AM67" s="428"/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5877200000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73552880</v>
      </c>
      <c r="J68" s="282"/>
      <c r="K68" s="277">
        <f>I68-G68</f>
        <v>-166447120</v>
      </c>
      <c r="L68" s="281"/>
      <c r="M68" s="279">
        <f>SUM(I68/G68*100)</f>
        <v>30.647033333333333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>
        <f>SUM('[1]MEI 26'!$AP$54+'[1]MEI 26'!$AP$55)</f>
        <v>16157772</v>
      </c>
      <c r="AH68" s="429"/>
      <c r="AI68" s="428">
        <f>SUM('[1]JUNI 26'!$AJ$54)</f>
        <v>19313094</v>
      </c>
      <c r="AJ68" s="429"/>
      <c r="AK68" s="622">
        <f>SUM('[1]JULI 26'!$AM$54)</f>
        <v>21314767</v>
      </c>
      <c r="AL68" s="429"/>
      <c r="AM68" s="428"/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73552880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484856015</v>
      </c>
      <c r="J69" s="286"/>
      <c r="K69" s="277">
        <f>I69-G69</f>
        <v>-115143985</v>
      </c>
      <c r="L69" s="285"/>
      <c r="M69" s="279">
        <f>SUM(I69/G69*100)</f>
        <v>80.809335833333336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>
        <f>SUM('[1]MEI 26'!$AP$49+'[1]MEI 26'!$AP$50+'[1]MEI 26'!$AP$51+'[1]MEI 26'!$AP$52+'[1]MEI 26'!$AP$53)</f>
        <v>84747275</v>
      </c>
      <c r="AH69" s="429"/>
      <c r="AI69" s="428">
        <f>SUM('[1]JUNI 26'!$AJ$49+'[1]JUNI 26'!$AJ$50+'[1]JUNI 26'!$AJ$51+'[1]JUNI 26'!$AJ$52+'[1]JUNI 26'!$AJ$53)</f>
        <v>71026350</v>
      </c>
      <c r="AJ69" s="429"/>
      <c r="AK69" s="622">
        <f>SUM('[1]JULI 26'!$AM$49+'[1]JULI 26'!$AM$50+'[1]JULI 26'!$AM$51+'[1]JULI 26'!$AM$52+'[1]JULI 26'!$AM$53)</f>
        <v>73209725</v>
      </c>
      <c r="AL69" s="429"/>
      <c r="AM69" s="428"/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484856015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25803956770</v>
      </c>
      <c r="J70" s="287"/>
      <c r="K70" s="287">
        <f>K9+K67+K68+K69</f>
        <v>-76516043230</v>
      </c>
      <c r="L70" s="287"/>
      <c r="M70" s="287">
        <f>SUM(I70/G70*100)</f>
        <v>25.218878782251757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3511930297</v>
      </c>
      <c r="AH70" s="437">
        <f t="shared" si="112"/>
        <v>710617</v>
      </c>
      <c r="AI70" s="437">
        <f>AI9+AI67+AI68+AI69</f>
        <v>4267689069</v>
      </c>
      <c r="AJ70" s="437">
        <f t="shared" ref="AJ70:AV70" si="113">AJ9+AJ67+AJ68+AJ69</f>
        <v>629101</v>
      </c>
      <c r="AK70" s="437">
        <f t="shared" si="113"/>
        <v>3916293742</v>
      </c>
      <c r="AL70" s="437">
        <f t="shared" si="113"/>
        <v>793768</v>
      </c>
      <c r="AM70" s="437">
        <f t="shared" si="113"/>
        <v>0</v>
      </c>
      <c r="AN70" s="437">
        <f t="shared" si="113"/>
        <v>0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25803956770</v>
      </c>
      <c r="AX70" s="440">
        <f>Z70+AB70+AD70+AF70+AH70+AJ70+AL70+AN70+AP70+AR70+AT70+AV70</f>
        <v>4146780</v>
      </c>
      <c r="AY70" s="5"/>
      <c r="BB70" s="1"/>
      <c r="BC70" s="1"/>
      <c r="BD70" s="1"/>
      <c r="BE70" s="1"/>
      <c r="BF70" s="1"/>
      <c r="BG70" s="1"/>
    </row>
    <row r="73" spans="1:59" ht="15.75" customHeight="1" x14ac:dyDescent="0.25">
      <c r="J73" s="676" t="s">
        <v>243</v>
      </c>
      <c r="K73" s="676"/>
      <c r="L73" s="676"/>
      <c r="M73" s="676"/>
    </row>
    <row r="74" spans="1:59" ht="15.75" customHeight="1" x14ac:dyDescent="0.25">
      <c r="J74" s="676" t="s">
        <v>201</v>
      </c>
      <c r="K74" s="676"/>
      <c r="L74" s="676"/>
      <c r="M74" s="676"/>
    </row>
    <row r="75" spans="1:59" ht="15.75" customHeight="1" x14ac:dyDescent="0.25">
      <c r="J75" s="676" t="s">
        <v>20</v>
      </c>
      <c r="K75" s="676"/>
      <c r="L75" s="676"/>
      <c r="M75" s="676"/>
    </row>
    <row r="76" spans="1:59" ht="15.75" customHeight="1" x14ac:dyDescent="0.25">
      <c r="J76" s="676" t="s">
        <v>53</v>
      </c>
      <c r="K76" s="676"/>
      <c r="L76" s="676"/>
      <c r="M76" s="676"/>
    </row>
    <row r="77" spans="1:59" x14ac:dyDescent="0.25">
      <c r="J77" s="303"/>
      <c r="K77" s="677" t="s">
        <v>54</v>
      </c>
      <c r="L77" s="677"/>
      <c r="M77" s="303"/>
    </row>
    <row r="78" spans="1:59" x14ac:dyDescent="0.25">
      <c r="J78" s="303"/>
      <c r="K78" s="303"/>
      <c r="L78" s="303"/>
      <c r="M78" s="303"/>
    </row>
    <row r="79" spans="1:59" x14ac:dyDescent="0.25">
      <c r="J79" s="303"/>
      <c r="K79" s="303"/>
      <c r="L79" s="303"/>
      <c r="M79" s="303"/>
    </row>
    <row r="80" spans="1:59" ht="15.75" customHeight="1" x14ac:dyDescent="0.25">
      <c r="J80" s="676" t="s">
        <v>198</v>
      </c>
      <c r="K80" s="676"/>
      <c r="L80" s="676"/>
      <c r="M80" s="676"/>
    </row>
    <row r="81" spans="10:13" ht="15.75" customHeight="1" x14ac:dyDescent="0.25">
      <c r="J81" s="676" t="s">
        <v>199</v>
      </c>
      <c r="K81" s="676"/>
      <c r="L81" s="676"/>
      <c r="M81" s="676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4:M74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3:M73"/>
    <mergeCell ref="J75:M75"/>
    <mergeCell ref="J76:M76"/>
    <mergeCell ref="K77:L77"/>
    <mergeCell ref="J80:M80"/>
    <mergeCell ref="J81:M81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DA9A-DE8A-4636-8F8C-DCAFC3FF916B}">
  <dimension ref="A1:BG81"/>
  <sheetViews>
    <sheetView showOutlineSymbols="0" zoomScale="110" zoomScaleNormal="110" workbookViewId="0">
      <selection activeCell="M9" sqref="M9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246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241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22053055125</v>
      </c>
      <c r="J9" s="165">
        <f t="shared" si="0"/>
        <v>4718864</v>
      </c>
      <c r="K9" s="164">
        <f>SUM(K10+K30+K36+K44)</f>
        <v>-74426944875</v>
      </c>
      <c r="L9" s="165">
        <f t="shared" si="0"/>
        <v>-17411351.800000001</v>
      </c>
      <c r="M9" s="166">
        <f>SUM(I9/G9*100)</f>
        <v>22.857644200870649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3411025250</v>
      </c>
      <c r="AH9" s="312">
        <f t="shared" si="3"/>
        <v>710617</v>
      </c>
      <c r="AI9" s="312">
        <f>AI10+AI30+AI36+AI44</f>
        <v>2932849625</v>
      </c>
      <c r="AJ9" s="312">
        <f t="shared" ref="AJ9:AV9" si="4">AJ10+AJ30+AJ36+AJ44</f>
        <v>629101</v>
      </c>
      <c r="AK9" s="312">
        <f t="shared" si="4"/>
        <v>3579769250</v>
      </c>
      <c r="AL9" s="312">
        <f t="shared" si="4"/>
        <v>793768</v>
      </c>
      <c r="AM9" s="312">
        <f t="shared" si="4"/>
        <v>2684707250</v>
      </c>
      <c r="AN9" s="313">
        <f t="shared" si="4"/>
        <v>572084</v>
      </c>
      <c r="AO9" s="312">
        <f t="shared" si="4"/>
        <v>0</v>
      </c>
      <c r="AP9" s="312">
        <f t="shared" si="4"/>
        <v>0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22053055125</v>
      </c>
      <c r="AX9" s="315">
        <f t="shared" ref="AX9:AX16" si="6">Z9+AB9+AD9+AF9+AH9+AJ9+AL9+AN9+AP9+AR9+AT9+AV9</f>
        <v>4718864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16258154125</v>
      </c>
      <c r="J10" s="171">
        <f t="shared" si="7"/>
        <v>3956525</v>
      </c>
      <c r="K10" s="170">
        <f>SUM(K12:K29)</f>
        <v>-58673045875</v>
      </c>
      <c r="L10" s="171">
        <f t="shared" si="7"/>
        <v>-14615773</v>
      </c>
      <c r="M10" s="170">
        <f>SUM(I10/G10*100)</f>
        <v>21.697442620697384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2443191750</v>
      </c>
      <c r="AH10" s="320">
        <f t="shared" si="10"/>
        <v>592423</v>
      </c>
      <c r="AI10" s="320">
        <f>SUM(AI12:AI29)</f>
        <v>2130154625</v>
      </c>
      <c r="AJ10" s="320">
        <f t="shared" ref="AJ10:AV10" si="11">SUM(AJ12:AJ29)</f>
        <v>510005</v>
      </c>
      <c r="AK10" s="320">
        <f t="shared" si="11"/>
        <v>2766047750</v>
      </c>
      <c r="AL10" s="320">
        <f t="shared" si="11"/>
        <v>678842</v>
      </c>
      <c r="AM10" s="320">
        <f t="shared" si="11"/>
        <v>1958551250</v>
      </c>
      <c r="AN10" s="321">
        <f t="shared" si="11"/>
        <v>469266</v>
      </c>
      <c r="AO10" s="320">
        <f t="shared" si="11"/>
        <v>0</v>
      </c>
      <c r="AP10" s="320">
        <f t="shared" si="11"/>
        <v>0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16258154125</v>
      </c>
      <c r="AX10" s="323">
        <f t="shared" si="6"/>
        <v>3956525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9791580000</v>
      </c>
      <c r="J12" s="184">
        <f>I12/R12</f>
        <v>2447895</v>
      </c>
      <c r="K12" s="185">
        <f>I12-G12</f>
        <v>-27608420000</v>
      </c>
      <c r="L12" s="184">
        <f>J12-H12</f>
        <v>-6902105</v>
      </c>
      <c r="M12" s="186">
        <f>SUM(I12/G12*100)</f>
        <v>26.180695187165774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>
        <f>SUM('[1]MEI 26'!AP3)</f>
        <v>1489940000</v>
      </c>
      <c r="AH12" s="339">
        <f>SUM(AG12/R12)</f>
        <v>372485</v>
      </c>
      <c r="AI12" s="338">
        <f>SUM('[1]JUNI 26'!AJ3)</f>
        <v>1166488000</v>
      </c>
      <c r="AJ12" s="339">
        <f>SUM(AI12/R12)</f>
        <v>291622</v>
      </c>
      <c r="AK12" s="338">
        <f>SUM('[1]JULI 26'!AM3)</f>
        <v>1655792000</v>
      </c>
      <c r="AL12" s="339">
        <f>SUM(AK12/R12)</f>
        <v>413948</v>
      </c>
      <c r="AM12" s="338">
        <f>SUM('[1]AGUSTUS 26'!AQ3)</f>
        <v>1239444000</v>
      </c>
      <c r="AN12" s="339">
        <f>SUM(AM12/R12)</f>
        <v>309861</v>
      </c>
      <c r="AO12" s="338"/>
      <c r="AP12" s="339">
        <f>SUM(AO12/R12)</f>
        <v>0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9791580000</v>
      </c>
      <c r="AX12" s="341">
        <f t="shared" si="6"/>
        <v>2447895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2381220000</v>
      </c>
      <c r="J13" s="190">
        <f t="shared" ref="J13:J29" si="14">I13/R13</f>
        <v>793740</v>
      </c>
      <c r="K13" s="191">
        <f t="shared" ref="K13:L29" si="15">I13-G13</f>
        <v>-8868780000</v>
      </c>
      <c r="L13" s="190">
        <f t="shared" si="15"/>
        <v>-2956260</v>
      </c>
      <c r="M13" s="192">
        <f t="shared" ref="M13:M28" si="16">SUM(I13/G13*100)</f>
        <v>21.166399999999999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>
        <f>SUM('[1]MEI 26'!AP4)</f>
        <v>343857000</v>
      </c>
      <c r="AH13" s="339">
        <f>SUM(AG13/R13)</f>
        <v>114619</v>
      </c>
      <c r="AI13" s="338">
        <f>SUM('[1]JUNI 26'!AJ4)</f>
        <v>294618000</v>
      </c>
      <c r="AJ13" s="339">
        <f>SUM(AI13/R13)</f>
        <v>98206</v>
      </c>
      <c r="AK13" s="338">
        <f>SUM('[1]JULI 26'!AM4)</f>
        <v>439446000</v>
      </c>
      <c r="AL13" s="339">
        <f>SUM(AK13/R13)</f>
        <v>146482</v>
      </c>
      <c r="AM13" s="338">
        <f>SUM('[1]AGUSTUS 26'!AQ4)</f>
        <v>225429000</v>
      </c>
      <c r="AN13" s="339">
        <f>SUM(AM13/R13)</f>
        <v>75143</v>
      </c>
      <c r="AO13" s="338"/>
      <c r="AP13" s="339">
        <f>SUM(AO13/R13)</f>
        <v>0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2381220000</v>
      </c>
      <c r="AX13" s="341">
        <f t="shared" si="6"/>
        <v>793740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9687000</v>
      </c>
      <c r="J15" s="190">
        <f t="shared" si="14"/>
        <v>3229</v>
      </c>
      <c r="K15" s="191">
        <f t="shared" si="15"/>
        <v>-200313000</v>
      </c>
      <c r="L15" s="190">
        <f t="shared" si="15"/>
        <v>-66771</v>
      </c>
      <c r="M15" s="192">
        <f t="shared" si="16"/>
        <v>4.612857142857143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>
        <f>SUM('[1]MEI 26'!AP5)</f>
        <v>1230000</v>
      </c>
      <c r="AH15" s="339">
        <f>SUM(AG15/R15)</f>
        <v>410</v>
      </c>
      <c r="AI15" s="338">
        <f>SUM('[1]JUNI 26'!AJ5)</f>
        <v>2439000</v>
      </c>
      <c r="AJ15" s="339">
        <f>SUM(AI15/R15)</f>
        <v>813</v>
      </c>
      <c r="AK15" s="338">
        <f>SUM('[1]JULI 26'!AM5)</f>
        <v>255000</v>
      </c>
      <c r="AL15" s="339">
        <f>SUM(AK15/R15)</f>
        <v>85</v>
      </c>
      <c r="AM15" s="338">
        <f>SUM('[1]AGUSTUS 26'!AQ5)</f>
        <v>1296000</v>
      </c>
      <c r="AN15" s="339">
        <f>SUM(AM15/R15)</f>
        <v>432</v>
      </c>
      <c r="AO15" s="338"/>
      <c r="AP15" s="339">
        <f t="shared" ref="AP15:AP16" si="17">SUM(AO15/R15)</f>
        <v>0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9687000</v>
      </c>
      <c r="AX15" s="341">
        <f t="shared" si="6"/>
        <v>3229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27519750</v>
      </c>
      <c r="J16" s="197">
        <f t="shared" si="14"/>
        <v>12231</v>
      </c>
      <c r="K16" s="198">
        <f t="shared" si="15"/>
        <v>-196479000</v>
      </c>
      <c r="L16" s="197">
        <f t="shared" si="15"/>
        <v>-87324</v>
      </c>
      <c r="M16" s="199">
        <f t="shared" si="16"/>
        <v>12.285671237004671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>
        <f>SUM('[1]MEI 26'!AP6)</f>
        <v>4979250</v>
      </c>
      <c r="AH16" s="339">
        <f>SUM(AG16/R16)</f>
        <v>2213</v>
      </c>
      <c r="AI16" s="338">
        <f>SUM('[1]JUNI 26'!AJ6)</f>
        <v>4036500</v>
      </c>
      <c r="AJ16" s="339">
        <f>SUM(AI16/R16)</f>
        <v>1794</v>
      </c>
      <c r="AK16" s="338">
        <f>SUM('[1]JULI 26'!AM6)</f>
        <v>301500</v>
      </c>
      <c r="AL16" s="339">
        <f>SUM(AK16/R16)</f>
        <v>134</v>
      </c>
      <c r="AM16" s="338">
        <f>SUM('[1]AGUSTUS 26'!AQ6)</f>
        <v>1694250</v>
      </c>
      <c r="AN16" s="339">
        <f>SUM(AM16/R16)</f>
        <v>753</v>
      </c>
      <c r="AO16" s="338"/>
      <c r="AP16" s="339">
        <f t="shared" si="17"/>
        <v>0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27519750</v>
      </c>
      <c r="AX16" s="356">
        <f t="shared" si="6"/>
        <v>12231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>
        <f>SUM('[1]MEI 26'!AP7)</f>
        <v>0</v>
      </c>
      <c r="AH19" s="339">
        <f>SUM(AG19/R19)</f>
        <v>0</v>
      </c>
      <c r="AI19" s="338">
        <f>SUM('[1]JUNI 26'!AJ7)</f>
        <v>0</v>
      </c>
      <c r="AJ19" s="339">
        <f>SUM(AI19/R19)</f>
        <v>0</v>
      </c>
      <c r="AK19" s="338">
        <f>SUM('[1]JULI 26'!AM7)</f>
        <v>0</v>
      </c>
      <c r="AL19" s="339">
        <f>SUM(AK19/R19)</f>
        <v>0</v>
      </c>
      <c r="AM19" s="338">
        <f>SUM('[1]AGUSTUS 26'!AQ7)</f>
        <v>0</v>
      </c>
      <c r="AN19" s="339">
        <f>SUM(AM19/R19)</f>
        <v>0</v>
      </c>
      <c r="AO19" s="338"/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>
        <f>SUM('[1]MEI 26'!AP8)</f>
        <v>0</v>
      </c>
      <c r="AH20" s="339">
        <f t="shared" ref="AH20:AH22" si="25">SUM(AG20/R20)</f>
        <v>0</v>
      </c>
      <c r="AI20" s="338">
        <f>SUM('[1]JUNI 26'!AJ8)</f>
        <v>0</v>
      </c>
      <c r="AJ20" s="339">
        <f t="shared" ref="AJ20:AJ22" si="26">SUM(AI20/R20)</f>
        <v>0</v>
      </c>
      <c r="AK20" s="338">
        <f>SUM('[1]JULI 26'!AM8)</f>
        <v>0</v>
      </c>
      <c r="AL20" s="339">
        <f t="shared" ref="AL20:AL22" si="27">SUM(AK20/R20)</f>
        <v>0</v>
      </c>
      <c r="AM20" s="338">
        <f>SUM('[1]AGUSTUS 26'!AQ8)</f>
        <v>0</v>
      </c>
      <c r="AN20" s="339">
        <f t="shared" ref="AN20:AN29" si="28">SUM(AM20/R20)</f>
        <v>0</v>
      </c>
      <c r="AO20" s="338"/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>
        <f>SUM('[1]MEI 26'!AP9)</f>
        <v>0</v>
      </c>
      <c r="AH21" s="339">
        <f t="shared" si="25"/>
        <v>0</v>
      </c>
      <c r="AI21" s="338">
        <f>SUM('[1]JUNI 26'!AJ9)</f>
        <v>0</v>
      </c>
      <c r="AJ21" s="339">
        <f t="shared" si="26"/>
        <v>0</v>
      </c>
      <c r="AK21" s="338">
        <f>SUM('[1]JULI 26'!AM9)</f>
        <v>0</v>
      </c>
      <c r="AL21" s="339">
        <f t="shared" si="27"/>
        <v>0</v>
      </c>
      <c r="AM21" s="338">
        <f>SUM('[1]AGUSTUS 26'!AQ9)</f>
        <v>0</v>
      </c>
      <c r="AN21" s="339">
        <f t="shared" si="28"/>
        <v>0</v>
      </c>
      <c r="AO21" s="338"/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500290000</v>
      </c>
      <c r="J22" s="190">
        <f t="shared" si="14"/>
        <v>200116</v>
      </c>
      <c r="K22" s="191">
        <f t="shared" si="15"/>
        <v>-5660442500</v>
      </c>
      <c r="L22" s="190">
        <f t="shared" si="15"/>
        <v>-2264177</v>
      </c>
      <c r="M22" s="192">
        <f t="shared" si="16"/>
        <v>8.1206252665571821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>
        <f>SUM('[1]MEI 26'!AP10)</f>
        <v>77042500</v>
      </c>
      <c r="AH22" s="339">
        <f t="shared" si="25"/>
        <v>30817</v>
      </c>
      <c r="AI22" s="338">
        <f>SUM('[1]JUNI 26'!AJ10)</f>
        <v>88975000</v>
      </c>
      <c r="AJ22" s="339">
        <f t="shared" si="26"/>
        <v>35590</v>
      </c>
      <c r="AK22" s="338">
        <f>SUM('[1]JULI 26'!AM10)</f>
        <v>80670000</v>
      </c>
      <c r="AL22" s="339">
        <f t="shared" si="27"/>
        <v>32268</v>
      </c>
      <c r="AM22" s="338">
        <f>SUM('[1]AGUSTUS 26'!AQ10)</f>
        <v>59367500</v>
      </c>
      <c r="AN22" s="339">
        <f t="shared" si="28"/>
        <v>23747</v>
      </c>
      <c r="AO22" s="338"/>
      <c r="AP22" s="339">
        <f t="shared" si="20"/>
        <v>0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500290000</v>
      </c>
      <c r="AX22" s="341">
        <f t="shared" si="19"/>
        <v>200116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754170000</v>
      </c>
      <c r="J24" s="190">
        <f t="shared" si="14"/>
        <v>125695</v>
      </c>
      <c r="K24" s="191">
        <f t="shared" si="15"/>
        <v>-5245830000</v>
      </c>
      <c r="L24" s="190">
        <f t="shared" si="15"/>
        <v>-874305</v>
      </c>
      <c r="M24" s="192">
        <f t="shared" si="16"/>
        <v>12.5695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>
        <f>SUM('[1]MEI 26'!$AP$11+'[1]MEI 26'!$AP$12)</f>
        <v>44862000</v>
      </c>
      <c r="AH24" s="339">
        <f>SUM(AG24/R24)</f>
        <v>7477</v>
      </c>
      <c r="AI24" s="331">
        <f>SUM('[1]JUNI 26'!$AJ$11+'[1]JUNI 26'!$AJ$12)</f>
        <v>157500000</v>
      </c>
      <c r="AJ24" s="339">
        <f>SUM(AI24/R24)</f>
        <v>26250</v>
      </c>
      <c r="AK24" s="331">
        <f>SUM('[1]JULI 26'!$AM$11+'[1]JULI 26'!$AM$12)</f>
        <v>218952000</v>
      </c>
      <c r="AL24" s="339">
        <f>SUM(AK24/R24)</f>
        <v>36492</v>
      </c>
      <c r="AM24" s="331">
        <f>SUM('[1]AGUSTUS 26'!$AQ$11+'[1]AGUSTUS 26'!$AQ$12)</f>
        <v>49890000</v>
      </c>
      <c r="AN24" s="339">
        <f t="shared" si="28"/>
        <v>8315</v>
      </c>
      <c r="AO24" s="331"/>
      <c r="AP24" s="339">
        <f t="shared" ref="AP24:AP25" si="31">SUM(AO24/R24)</f>
        <v>0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754170000</v>
      </c>
      <c r="AX24" s="341">
        <f t="shared" si="19"/>
        <v>125695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2779320000</v>
      </c>
      <c r="J25" s="190">
        <f t="shared" si="14"/>
        <v>370576</v>
      </c>
      <c r="K25" s="191">
        <f t="shared" si="15"/>
        <v>-10720680000</v>
      </c>
      <c r="L25" s="190">
        <f t="shared" si="15"/>
        <v>-1429424</v>
      </c>
      <c r="M25" s="192">
        <f t="shared" si="16"/>
        <v>20.587555555555557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>
        <f>SUM('[1]MEI 26'!$AP$15+'[1]MEI 26'!$AP$16)</f>
        <v>477870000</v>
      </c>
      <c r="AH25" s="339">
        <f>SUM(AG25/R25)</f>
        <v>63716</v>
      </c>
      <c r="AI25" s="331">
        <f>SUM('[1]JUNI 26'!$AJ$15+'[1]JUNI 26'!$AJ$16)</f>
        <v>412582500</v>
      </c>
      <c r="AJ25" s="339">
        <f>SUM(AI25/R25)</f>
        <v>55011</v>
      </c>
      <c r="AK25" s="331">
        <f>SUM('[1]JULI 26'!$AM$15+'[1]JULI 26'!$AM$16)</f>
        <v>370282500</v>
      </c>
      <c r="AL25" s="339">
        <f>SUM(AK25/R25)</f>
        <v>49371</v>
      </c>
      <c r="AM25" s="331">
        <f>SUM('[1]AGUSTUS 26'!$AQ$15+'[1]AGUSTUS 26'!$AQ$16)</f>
        <v>379657500</v>
      </c>
      <c r="AN25" s="339">
        <f t="shared" si="28"/>
        <v>50621</v>
      </c>
      <c r="AO25" s="331"/>
      <c r="AP25" s="339">
        <f t="shared" si="31"/>
        <v>0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2779320000</v>
      </c>
      <c r="AX25" s="341">
        <f t="shared" si="19"/>
        <v>370576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10998000</v>
      </c>
      <c r="J27" s="190">
        <f t="shared" si="14"/>
        <v>2444</v>
      </c>
      <c r="K27" s="191">
        <f t="shared" si="15"/>
        <v>-108252000</v>
      </c>
      <c r="L27" s="190">
        <f t="shared" si="15"/>
        <v>-24056</v>
      </c>
      <c r="M27" s="192">
        <f t="shared" si="16"/>
        <v>9.2226415094339629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>
        <f>SUM('[1]MEI 26'!$AP$13+'[1]MEI 26'!$AP$14)</f>
        <v>1791000</v>
      </c>
      <c r="AH27" s="339">
        <f>SUM(AG27/R27)</f>
        <v>398</v>
      </c>
      <c r="AI27" s="331">
        <f>SUM('[1]JUNI 26'!$AJ$13+'[1]JUNI 26'!$AJ$14)</f>
        <v>2115000</v>
      </c>
      <c r="AJ27" s="339">
        <f>SUM(AI27/R27)</f>
        <v>470</v>
      </c>
      <c r="AK27" s="331">
        <f>SUM('[1]JULI 26'!$AM$13+'[1]JULI 26'!$AM$14)</f>
        <v>0</v>
      </c>
      <c r="AL27" s="339">
        <f>SUM(AK27/R27)</f>
        <v>0</v>
      </c>
      <c r="AM27" s="331">
        <f>SUM('[1]AGUSTUS 26'!$AQ$13+'[1]AGUSTUS 26'!$AQ$14)</f>
        <v>1773000</v>
      </c>
      <c r="AN27" s="339">
        <f t="shared" si="28"/>
        <v>394</v>
      </c>
      <c r="AO27" s="331"/>
      <c r="AP27" s="339">
        <f t="shared" ref="AP27:AP29" si="32">SUM(AO27/R27)</f>
        <v>0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10998000</v>
      </c>
      <c r="AX27" s="341">
        <f t="shared" si="19"/>
        <v>2444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3369375</v>
      </c>
      <c r="J28" s="190">
        <f t="shared" si="14"/>
        <v>599</v>
      </c>
      <c r="K28" s="191">
        <f t="shared" si="15"/>
        <v>-63849375</v>
      </c>
      <c r="L28" s="190">
        <f t="shared" si="15"/>
        <v>-11351</v>
      </c>
      <c r="M28" s="192">
        <f t="shared" si="16"/>
        <v>5.0125523012552309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>
        <f>SUM('[1]MEI 26'!$AP$17+'[1]MEI 26'!$AP$18)</f>
        <v>1620000</v>
      </c>
      <c r="AH28" s="339">
        <f t="shared" ref="AH28:AH29" si="35">SUM(AG28/R28)</f>
        <v>288</v>
      </c>
      <c r="AI28" s="331">
        <f>SUM('[1]JUNI 26'!$AJ$17+'[1]JUNI 26'!$AJ$18)</f>
        <v>1400625</v>
      </c>
      <c r="AJ28" s="339">
        <f t="shared" ref="AJ28:AJ29" si="36">SUM(AI28/R28)</f>
        <v>249</v>
      </c>
      <c r="AK28" s="331">
        <f>SUM('[1]JULI 26'!$AM$17+'[1]JULI 26'!$AM$18)</f>
        <v>348750</v>
      </c>
      <c r="AL28" s="339">
        <f t="shared" ref="AL28:AL29" si="37">SUM(AK28/R28)</f>
        <v>62</v>
      </c>
      <c r="AM28" s="331">
        <f>SUM('[1]AGUSTUS 26'!$AQ$17+'[1]AGUSTUS 26'!$AQ$18)</f>
        <v>0</v>
      </c>
      <c r="AN28" s="339">
        <f t="shared" si="28"/>
        <v>0</v>
      </c>
      <c r="AO28" s="331"/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3369375</v>
      </c>
      <c r="AX28" s="341">
        <f t="shared" si="19"/>
        <v>599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>
        <f>SUM('[1]MEI 26'!AP19)</f>
        <v>0</v>
      </c>
      <c r="AH29" s="339">
        <f t="shared" si="35"/>
        <v>0</v>
      </c>
      <c r="AI29" s="338">
        <f>SUM('[1]JUNI 26'!AJ19)</f>
        <v>0</v>
      </c>
      <c r="AJ29" s="339">
        <f t="shared" si="36"/>
        <v>0</v>
      </c>
      <c r="AK29" s="338">
        <f>SUM('[1]JULI 26'!AM19)</f>
        <v>0</v>
      </c>
      <c r="AL29" s="339">
        <f t="shared" si="37"/>
        <v>0</v>
      </c>
      <c r="AM29" s="338">
        <f>SUM('[1]AGUSTUS 26'!AQ19)</f>
        <v>0</v>
      </c>
      <c r="AN29" s="339">
        <f t="shared" si="28"/>
        <v>0</v>
      </c>
      <c r="AO29" s="338"/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2603605000</v>
      </c>
      <c r="J30" s="219">
        <f t="shared" si="40"/>
        <v>49664</v>
      </c>
      <c r="K30" s="218">
        <f>SUM(K32:K35)</f>
        <v>-2892695000</v>
      </c>
      <c r="L30" s="218">
        <f t="shared" si="40"/>
        <v>-110144.8</v>
      </c>
      <c r="M30" s="220">
        <f>SUM(I30/G30*100)</f>
        <v>47.370139912304644</v>
      </c>
      <c r="N30" s="6" t="s">
        <v>69</v>
      </c>
      <c r="O30" s="488"/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439495000</v>
      </c>
      <c r="AH30" s="373">
        <f t="shared" si="43"/>
        <v>6680</v>
      </c>
      <c r="AI30" s="373">
        <f>SUM(AI32:AI35)</f>
        <v>307315000</v>
      </c>
      <c r="AJ30" s="373">
        <f t="shared" ref="AJ30:AV30" si="44">SUM(AJ32:AJ35)</f>
        <v>6078</v>
      </c>
      <c r="AK30" s="373">
        <f t="shared" si="44"/>
        <v>358305000</v>
      </c>
      <c r="AL30" s="373">
        <f t="shared" si="44"/>
        <v>8610</v>
      </c>
      <c r="AM30" s="373">
        <f t="shared" si="44"/>
        <v>313245000</v>
      </c>
      <c r="AN30" s="374">
        <f t="shared" si="44"/>
        <v>5573</v>
      </c>
      <c r="AO30" s="373">
        <f t="shared" si="44"/>
        <v>0</v>
      </c>
      <c r="AP30" s="373">
        <f t="shared" si="44"/>
        <v>0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2603605000</v>
      </c>
      <c r="AX30" s="375">
        <f t="shared" si="19"/>
        <v>49664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289690000</v>
      </c>
      <c r="J33" s="190">
        <f t="shared" ref="J33:J35" si="46">I33/R33</f>
        <v>28969</v>
      </c>
      <c r="K33" s="191">
        <f t="shared" ref="K33:L35" si="47">I33-G33</f>
        <v>-522810000</v>
      </c>
      <c r="L33" s="190">
        <f t="shared" si="47"/>
        <v>-52281</v>
      </c>
      <c r="M33" s="192">
        <f>SUM(I33/G33*100)</f>
        <v>35.654153846153847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>
        <f>SUM('[1]MEI 26'!AP20)</f>
        <v>30610000</v>
      </c>
      <c r="AH33" s="339">
        <f>SUM(AG33/R33)</f>
        <v>3061</v>
      </c>
      <c r="AI33" s="338">
        <f>SUM('[1]JUNI 26'!AJ20)</f>
        <v>32630000</v>
      </c>
      <c r="AJ33" s="339">
        <f>SUM(AI33/R33)</f>
        <v>3263</v>
      </c>
      <c r="AK33" s="338">
        <f>SUM('[1]JULI 26'!AM20)</f>
        <v>65710000</v>
      </c>
      <c r="AL33" s="339">
        <f>SUM(AK33/R33)</f>
        <v>6571</v>
      </c>
      <c r="AM33" s="338">
        <f>SUM('[1]AGUSTUS 26'!AQ20)</f>
        <v>31230000</v>
      </c>
      <c r="AN33" s="339">
        <f t="shared" ref="AN33:AN35" si="49">SUM(AM33/R33)</f>
        <v>3123</v>
      </c>
      <c r="AO33" s="338"/>
      <c r="AP33" s="339">
        <f t="shared" ref="AP33:AP35" si="50">SUM(AO33/R33)</f>
        <v>0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289690000</v>
      </c>
      <c r="AX33" s="341">
        <f>Z33+AB33+AD33+AF33+AH33+AJ33+AL33+AN33+AP33+AR33+AT33+AV33</f>
        <v>28969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279915000</v>
      </c>
      <c r="J34" s="190">
        <f t="shared" si="46"/>
        <v>18661</v>
      </c>
      <c r="K34" s="191">
        <f t="shared" si="47"/>
        <v>-845085000</v>
      </c>
      <c r="L34" s="190">
        <f t="shared" si="47"/>
        <v>-56339</v>
      </c>
      <c r="M34" s="192">
        <f t="shared" ref="M34:M35" si="52">SUM(I34/G34*100)</f>
        <v>24.881333333333334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>
        <f>SUM('[1]MEI 26'!AP21)</f>
        <v>48885000</v>
      </c>
      <c r="AH34" s="339">
        <f t="shared" ref="AH34:AH35" si="56">SUM(AG34/R34)</f>
        <v>3259</v>
      </c>
      <c r="AI34" s="338">
        <f>SUM('[1]JUNI 26'!AJ21)</f>
        <v>38685000</v>
      </c>
      <c r="AJ34" s="339">
        <f t="shared" ref="AJ34:AJ35" si="57">SUM(AI34/R34)</f>
        <v>2579</v>
      </c>
      <c r="AK34" s="338">
        <f>SUM('[1]JULI 26'!AM21)</f>
        <v>26595000</v>
      </c>
      <c r="AL34" s="339">
        <f t="shared" ref="AL34:AL35" si="58">SUM(AK34/R34)</f>
        <v>1773</v>
      </c>
      <c r="AM34" s="338">
        <f>SUM('[1]AGUSTUS 26'!AQ21)</f>
        <v>33015000</v>
      </c>
      <c r="AN34" s="339">
        <f t="shared" si="49"/>
        <v>2201</v>
      </c>
      <c r="AO34" s="338"/>
      <c r="AP34" s="339">
        <f t="shared" si="50"/>
        <v>0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279915000</v>
      </c>
      <c r="AX34" s="341">
        <f>Z34+AB34+AD34+AF34+AH34+AJ34+AL34+AN34+AP34+AR34+AT34+AV34</f>
        <v>18661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2034000000</v>
      </c>
      <c r="J35" s="190">
        <f t="shared" si="46"/>
        <v>2034</v>
      </c>
      <c r="K35" s="191">
        <f t="shared" si="47"/>
        <v>-1524800000</v>
      </c>
      <c r="L35" s="190">
        <f t="shared" si="47"/>
        <v>-1524.8000000000002</v>
      </c>
      <c r="M35" s="192">
        <f t="shared" si="52"/>
        <v>57.154096886590992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>
        <f>SUM('[1]MEI 26'!AP22)</f>
        <v>360000000</v>
      </c>
      <c r="AH35" s="339">
        <f t="shared" si="56"/>
        <v>360</v>
      </c>
      <c r="AI35" s="338">
        <f>SUM('[1]JUNI 26'!AJ22)</f>
        <v>236000000</v>
      </c>
      <c r="AJ35" s="339">
        <f t="shared" si="57"/>
        <v>236</v>
      </c>
      <c r="AK35" s="338">
        <f>SUM('[1]JULI 26'!AM22)</f>
        <v>266000000</v>
      </c>
      <c r="AL35" s="339">
        <f t="shared" si="58"/>
        <v>266</v>
      </c>
      <c r="AM35" s="338">
        <f>SUM('[1]AGUSTUS 26'!AQ22)</f>
        <v>249000000</v>
      </c>
      <c r="AN35" s="339">
        <f t="shared" si="49"/>
        <v>249</v>
      </c>
      <c r="AO35" s="338"/>
      <c r="AP35" s="339">
        <f t="shared" si="50"/>
        <v>0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2034000000</v>
      </c>
      <c r="AX35" s="341">
        <f>Z35+AB35+AD35+AF35+AH35+AJ35+AL35+AN35+AP35+AR35+AT35+AV35</f>
        <v>2034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2661711000</v>
      </c>
      <c r="J36" s="219">
        <f t="shared" si="61"/>
        <v>654654</v>
      </c>
      <c r="K36" s="218">
        <f t="shared" si="61"/>
        <v>-9842289000</v>
      </c>
      <c r="L36" s="218">
        <f t="shared" si="61"/>
        <v>-2364534</v>
      </c>
      <c r="M36" s="218">
        <f>SUM(I36/G36*100)</f>
        <v>21.286876199616124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425913500</v>
      </c>
      <c r="AH36" s="373">
        <f t="shared" si="64"/>
        <v>104115</v>
      </c>
      <c r="AI36" s="373">
        <f>SUM(AI38:AI43)</f>
        <v>411980000</v>
      </c>
      <c r="AJ36" s="373">
        <f t="shared" ref="AJ36:AV36" si="65">SUM(AJ38:AJ43)</f>
        <v>100894</v>
      </c>
      <c r="AK36" s="373">
        <f t="shared" si="65"/>
        <v>408161500</v>
      </c>
      <c r="AL36" s="373">
        <f t="shared" si="65"/>
        <v>99763</v>
      </c>
      <c r="AM36" s="373">
        <f t="shared" si="65"/>
        <v>346701000</v>
      </c>
      <c r="AN36" s="374">
        <f t="shared" si="65"/>
        <v>87091</v>
      </c>
      <c r="AO36" s="373">
        <f t="shared" si="65"/>
        <v>0</v>
      </c>
      <c r="AP36" s="373">
        <f t="shared" si="65"/>
        <v>0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2661711000</v>
      </c>
      <c r="AX36" s="393">
        <f>Z36+AB36+AD36+AF36+AH36+AJ36+AL36+AN36+AP36+AR36+AT36+AV36</f>
        <v>654654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58035000</v>
      </c>
      <c r="J39" s="190">
        <f t="shared" ref="J39:J43" si="69">I39/R39</f>
        <v>3869</v>
      </c>
      <c r="K39" s="191">
        <f t="shared" ref="K39:L43" si="70">I39-G39</f>
        <v>-301965000</v>
      </c>
      <c r="L39" s="190">
        <f t="shared" si="70"/>
        <v>-20131</v>
      </c>
      <c r="M39" s="192">
        <f>SUM(I39/G39*100)</f>
        <v>16.120833333333334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>
        <f>SUM('[1]MEI 26'!AP23)</f>
        <v>8445000</v>
      </c>
      <c r="AH39" s="399">
        <f>SUM(AG39/R39)</f>
        <v>563</v>
      </c>
      <c r="AI39" s="616">
        <f>SUM('[1]JUNI 26'!AJ23)</f>
        <v>13875000</v>
      </c>
      <c r="AJ39" s="399">
        <f>SUM(AI39/R39)</f>
        <v>925</v>
      </c>
      <c r="AK39" s="331">
        <f>SUM('[1]JULI 26'!AM23)</f>
        <v>7500000</v>
      </c>
      <c r="AL39" s="399">
        <f>SUM(AK39/R39)</f>
        <v>500</v>
      </c>
      <c r="AM39" s="331">
        <f>SUM('[1]AGUSTUS 26'!AQ23)</f>
        <v>5580000</v>
      </c>
      <c r="AN39" s="399">
        <f t="shared" ref="AN39:AN43" si="73">SUM(AM39/R39)</f>
        <v>372</v>
      </c>
      <c r="AO39" s="331"/>
      <c r="AP39" s="399">
        <f t="shared" ref="AP39:AP43" si="74">SUM(AO39/R39)</f>
        <v>0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58035000</v>
      </c>
      <c r="AX39" s="341">
        <f t="shared" si="67"/>
        <v>3869</v>
      </c>
      <c r="AY39" s="5"/>
    </row>
    <row r="40" spans="1:59" ht="30" customHeight="1" x14ac:dyDescent="0.25">
      <c r="A40" s="661"/>
      <c r="B40" s="662"/>
      <c r="C40" s="663"/>
      <c r="D40" s="663"/>
      <c r="E40" s="664" t="s">
        <v>114</v>
      </c>
      <c r="F40" s="665" t="s">
        <v>108</v>
      </c>
      <c r="G40" s="666">
        <v>44000000</v>
      </c>
      <c r="H40" s="667">
        <f t="shared" si="68"/>
        <v>3520</v>
      </c>
      <c r="I40" s="668">
        <f t="shared" ref="I40:I43" si="75">AW40</f>
        <v>20900000</v>
      </c>
      <c r="J40" s="667">
        <f t="shared" si="69"/>
        <v>1672</v>
      </c>
      <c r="K40" s="669">
        <f t="shared" si="70"/>
        <v>-23100000</v>
      </c>
      <c r="L40" s="667">
        <f t="shared" si="70"/>
        <v>-1848</v>
      </c>
      <c r="M40" s="670">
        <f t="shared" ref="M40:M43" si="76">SUM(I40/G40*100)</f>
        <v>47.5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>
        <f>SUM('[1]MEI 26'!AP24)</f>
        <v>3137500</v>
      </c>
      <c r="AH40" s="339">
        <f t="shared" ref="AH40:AH43" si="78">SUM(AG40/R40)</f>
        <v>251</v>
      </c>
      <c r="AI40" s="338">
        <f>SUM('[1]JUNI 26'!AJ24)</f>
        <v>3425000</v>
      </c>
      <c r="AJ40" s="339">
        <f t="shared" ref="AJ40:AJ43" si="79">SUM(AI40/R40)</f>
        <v>274</v>
      </c>
      <c r="AK40" s="331">
        <f>SUM('[1]JULI 26'!AM24)</f>
        <v>3237500</v>
      </c>
      <c r="AL40" s="339">
        <f t="shared" ref="AL40:AL43" si="80">SUM(AK40/R40)</f>
        <v>259</v>
      </c>
      <c r="AM40" s="338">
        <f>SUM('[1]AGUSTUS 26'!AQ24)</f>
        <v>2300000</v>
      </c>
      <c r="AN40" s="339">
        <f t="shared" si="73"/>
        <v>184</v>
      </c>
      <c r="AO40" s="331"/>
      <c r="AP40" s="339">
        <f t="shared" si="74"/>
        <v>0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20900000</v>
      </c>
      <c r="AX40" s="341">
        <f t="shared" si="67"/>
        <v>1672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210">
        <f t="shared" si="68"/>
        <v>1125000</v>
      </c>
      <c r="I41" s="262">
        <f t="shared" si="75"/>
        <v>1368042000</v>
      </c>
      <c r="J41" s="210">
        <f t="shared" si="69"/>
        <v>228007</v>
      </c>
      <c r="K41" s="211">
        <f t="shared" si="70"/>
        <v>-5381958000</v>
      </c>
      <c r="L41" s="210">
        <f t="shared" si="70"/>
        <v>-896993</v>
      </c>
      <c r="M41" s="212">
        <f t="shared" si="76"/>
        <v>20.267288888888892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>
        <f>SUM('[1]MEI 26'!AP25)</f>
        <v>226320000</v>
      </c>
      <c r="AH41" s="339">
        <f t="shared" si="78"/>
        <v>37720</v>
      </c>
      <c r="AI41" s="338">
        <f>SUM('[1]JUNI 26'!AJ25)</f>
        <v>206886000</v>
      </c>
      <c r="AJ41" s="339">
        <f t="shared" si="79"/>
        <v>34481</v>
      </c>
      <c r="AK41" s="331">
        <f>SUM('[1]JULI 26'!AM25)</f>
        <v>218508000</v>
      </c>
      <c r="AL41" s="339">
        <f t="shared" si="80"/>
        <v>36418</v>
      </c>
      <c r="AM41" s="338">
        <f>SUM('[1]AGUSTUS 26'!AQ25)</f>
        <v>180132000</v>
      </c>
      <c r="AN41" s="339">
        <f t="shared" si="73"/>
        <v>30022</v>
      </c>
      <c r="AO41" s="331"/>
      <c r="AP41" s="339">
        <f t="shared" si="74"/>
        <v>0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1368042000</v>
      </c>
      <c r="AX41" s="341">
        <f t="shared" si="67"/>
        <v>228007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1190442000</v>
      </c>
      <c r="J42" s="190">
        <f t="shared" si="69"/>
        <v>396814</v>
      </c>
      <c r="K42" s="191">
        <f t="shared" si="70"/>
        <v>-4034556000</v>
      </c>
      <c r="L42" s="190">
        <f t="shared" si="70"/>
        <v>-1344852</v>
      </c>
      <c r="M42" s="192">
        <f t="shared" si="76"/>
        <v>22.783587668358916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>
        <f>SUM('[1]MEI 26'!AP26)</f>
        <v>183645000</v>
      </c>
      <c r="AH42" s="339">
        <f t="shared" si="78"/>
        <v>61215</v>
      </c>
      <c r="AI42" s="338">
        <f>SUM('[1]JUNI 26'!AJ26)</f>
        <v>183870000</v>
      </c>
      <c r="AJ42" s="339">
        <f t="shared" si="79"/>
        <v>61290</v>
      </c>
      <c r="AK42" s="331">
        <f>SUM('[1]JULI 26'!AM26)</f>
        <v>174495000</v>
      </c>
      <c r="AL42" s="339">
        <f t="shared" si="80"/>
        <v>58165</v>
      </c>
      <c r="AM42" s="338">
        <f>SUM('[1]AGUSTUS 26'!AQ26)</f>
        <v>153264000</v>
      </c>
      <c r="AN42" s="339">
        <f t="shared" si="73"/>
        <v>51088</v>
      </c>
      <c r="AO42" s="331"/>
      <c r="AP42" s="339">
        <f t="shared" si="74"/>
        <v>0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1190442000</v>
      </c>
      <c r="AX42" s="341">
        <f t="shared" si="67"/>
        <v>396814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24292000</v>
      </c>
      <c r="J43" s="190">
        <f t="shared" si="69"/>
        <v>24292</v>
      </c>
      <c r="K43" s="191">
        <f t="shared" si="70"/>
        <v>-100710000</v>
      </c>
      <c r="L43" s="190">
        <f t="shared" si="70"/>
        <v>-100710</v>
      </c>
      <c r="M43" s="192">
        <f t="shared" si="76"/>
        <v>19.433289067374922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>
        <f>SUM('[1]MEI 26'!AP27)</f>
        <v>4366000</v>
      </c>
      <c r="AH43" s="339">
        <f t="shared" si="78"/>
        <v>4366</v>
      </c>
      <c r="AI43" s="338">
        <f>SUM('[1]JUNI 26'!AJ27)</f>
        <v>3924000</v>
      </c>
      <c r="AJ43" s="339">
        <f t="shared" si="79"/>
        <v>3924</v>
      </c>
      <c r="AK43" s="331">
        <f>SUM('[1]JULI 26'!AM27)</f>
        <v>4421000</v>
      </c>
      <c r="AL43" s="339">
        <f t="shared" si="80"/>
        <v>4421</v>
      </c>
      <c r="AM43" s="338">
        <f>SUM('[1]AGUSTUS 26'!AQ27)</f>
        <v>5425000</v>
      </c>
      <c r="AN43" s="339">
        <f t="shared" si="73"/>
        <v>5425</v>
      </c>
      <c r="AO43" s="331"/>
      <c r="AP43" s="339">
        <f t="shared" si="74"/>
        <v>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24292000</v>
      </c>
      <c r="AX43" s="356">
        <f t="shared" si="67"/>
        <v>24292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529585000</v>
      </c>
      <c r="J44" s="257">
        <f t="shared" si="84"/>
        <v>58021</v>
      </c>
      <c r="K44" s="256">
        <f t="shared" si="84"/>
        <v>-3018915000</v>
      </c>
      <c r="L44" s="257">
        <f t="shared" si="84"/>
        <v>-320900</v>
      </c>
      <c r="M44" s="256">
        <f>SUM(I44/G44*100)</f>
        <v>14.924193321121601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102425000</v>
      </c>
      <c r="AH44" s="408">
        <f t="shared" si="87"/>
        <v>7399</v>
      </c>
      <c r="AI44" s="408">
        <f>SUM(AI46:AI66)</f>
        <v>83400000</v>
      </c>
      <c r="AJ44" s="408">
        <f t="shared" ref="AJ44:AV44" si="88">SUM(AJ46:AJ66)</f>
        <v>12124</v>
      </c>
      <c r="AK44" s="408">
        <f t="shared" si="88"/>
        <v>47255000</v>
      </c>
      <c r="AL44" s="408">
        <f t="shared" si="88"/>
        <v>6553</v>
      </c>
      <c r="AM44" s="408">
        <f t="shared" si="88"/>
        <v>66210000</v>
      </c>
      <c r="AN44" s="409">
        <f t="shared" si="88"/>
        <v>10154</v>
      </c>
      <c r="AO44" s="408">
        <f t="shared" si="88"/>
        <v>0</v>
      </c>
      <c r="AP44" s="408">
        <f t="shared" si="88"/>
        <v>0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529585000</v>
      </c>
      <c r="AX44" s="360">
        <f t="shared" si="67"/>
        <v>58021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1500000</v>
      </c>
      <c r="J47" s="190">
        <f t="shared" ref="J47:J66" si="90">I47/R47</f>
        <v>1</v>
      </c>
      <c r="K47" s="191">
        <f>I47-G47</f>
        <v>-6000000</v>
      </c>
      <c r="L47" s="190">
        <f t="shared" ref="L47:L66" si="91">J47-H47</f>
        <v>-4</v>
      </c>
      <c r="M47" s="192">
        <f>SUM(I47/G47*100)</f>
        <v>20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>
        <f>SUM('[1]MEI 26'!AP28)</f>
        <v>0</v>
      </c>
      <c r="AH47" s="339">
        <f t="shared" ref="AH47:AH66" si="94">SUM(AG47/R47)</f>
        <v>0</v>
      </c>
      <c r="AI47" s="338">
        <f>SUM('[1]JUNI 26'!AJ28)</f>
        <v>0</v>
      </c>
      <c r="AJ47" s="339">
        <f>SUM(AI47/R47)</f>
        <v>0</v>
      </c>
      <c r="AK47" s="331">
        <f>SUM('[1]JULI 26'!AM28)</f>
        <v>0</v>
      </c>
      <c r="AL47" s="339">
        <f>SUM(AK47/R47)</f>
        <v>0</v>
      </c>
      <c r="AM47" s="338">
        <f>SUM('[1]AGUSTUS 26'!AQ28)</f>
        <v>1500000</v>
      </c>
      <c r="AN47" s="399">
        <f t="shared" ref="AN47:AN66" si="95">SUM(AM47/R47)</f>
        <v>1</v>
      </c>
      <c r="AO47" s="331"/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1500000</v>
      </c>
      <c r="AX47" s="341">
        <f t="shared" ref="AX47:AX66" si="98">Z47+AB47+AD47+AF47+AH47+AJ47+AL47+AN47+AP47+AR47+AT47+AV47</f>
        <v>1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2500000</v>
      </c>
      <c r="J48" s="190">
        <f t="shared" si="90"/>
        <v>1</v>
      </c>
      <c r="K48" s="191">
        <f t="shared" ref="K48:K66" si="100">I48-G48</f>
        <v>-5000000</v>
      </c>
      <c r="L48" s="190">
        <f t="shared" si="91"/>
        <v>-2</v>
      </c>
      <c r="M48" s="192">
        <f t="shared" ref="M48:M66" si="101">SUM(I48/G48*100)</f>
        <v>33.333333333333329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>
        <f>SUM('[1]MEI 26'!AP29)</f>
        <v>0</v>
      </c>
      <c r="AH48" s="339">
        <f t="shared" si="94"/>
        <v>0</v>
      </c>
      <c r="AI48" s="338">
        <f>SUM('[1]JUNI 26'!AJ29)</f>
        <v>0</v>
      </c>
      <c r="AJ48" s="339">
        <f t="shared" ref="AJ48:AJ66" si="104">SUM(AI48/R48)</f>
        <v>0</v>
      </c>
      <c r="AK48" s="331">
        <f>SUM('[1]JULI 26'!AM29)</f>
        <v>2500000</v>
      </c>
      <c r="AL48" s="339">
        <f t="shared" ref="AL48:AL66" si="105">SUM(AK48/R48)</f>
        <v>1</v>
      </c>
      <c r="AM48" s="338">
        <f>SUM('[1]AGUSTUS 26'!AQ29)</f>
        <v>0</v>
      </c>
      <c r="AN48" s="399">
        <f t="shared" si="95"/>
        <v>0</v>
      </c>
      <c r="AO48" s="331"/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2500000</v>
      </c>
      <c r="AX48" s="341">
        <f t="shared" si="98"/>
        <v>1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>
        <f>SUM('[1]MEI 26'!AP30)</f>
        <v>0</v>
      </c>
      <c r="AH49" s="339">
        <f t="shared" si="94"/>
        <v>0</v>
      </c>
      <c r="AI49" s="338">
        <f>SUM('[1]JUNI 26'!AJ30)</f>
        <v>0</v>
      </c>
      <c r="AJ49" s="339">
        <f t="shared" si="104"/>
        <v>0</v>
      </c>
      <c r="AK49" s="331">
        <f>SUM('[1]JULI 26'!AM30)</f>
        <v>0</v>
      </c>
      <c r="AL49" s="339">
        <f t="shared" si="105"/>
        <v>0</v>
      </c>
      <c r="AM49" s="338">
        <f>SUM('[1]AGUSTUS 26'!AQ30)</f>
        <v>0</v>
      </c>
      <c r="AN49" s="399">
        <f t="shared" si="95"/>
        <v>0</v>
      </c>
      <c r="AO49" s="331"/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>
        <f>SUM('[1]MEI 26'!AP31)</f>
        <v>0</v>
      </c>
      <c r="AH50" s="339">
        <f t="shared" si="94"/>
        <v>0</v>
      </c>
      <c r="AI50" s="338">
        <f>SUM('[1]JUNI 26'!AJ31)</f>
        <v>0</v>
      </c>
      <c r="AJ50" s="339">
        <f t="shared" si="104"/>
        <v>0</v>
      </c>
      <c r="AK50" s="331">
        <f>SUM('[1]JULI 26'!AM31)</f>
        <v>0</v>
      </c>
      <c r="AL50" s="339">
        <f t="shared" si="105"/>
        <v>0</v>
      </c>
      <c r="AM50" s="338">
        <f>SUM('[1]AGUSTUS 26'!AQ31)</f>
        <v>0</v>
      </c>
      <c r="AN50" s="399">
        <f t="shared" si="95"/>
        <v>0</v>
      </c>
      <c r="AO50" s="331"/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3000000</v>
      </c>
      <c r="J51" s="190">
        <f t="shared" si="90"/>
        <v>4</v>
      </c>
      <c r="K51" s="191">
        <f t="shared" si="100"/>
        <v>-10500000</v>
      </c>
      <c r="L51" s="190">
        <f t="shared" si="91"/>
        <v>-14</v>
      </c>
      <c r="M51" s="192">
        <f t="shared" si="101"/>
        <v>22.222222222222221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>
        <f>SUM('[1]MEI 26'!AP32)</f>
        <v>0</v>
      </c>
      <c r="AH51" s="339">
        <f t="shared" si="94"/>
        <v>0</v>
      </c>
      <c r="AI51" s="338">
        <f>SUM('[1]JUNI 26'!AJ32)</f>
        <v>1500000</v>
      </c>
      <c r="AJ51" s="339">
        <f t="shared" si="104"/>
        <v>2</v>
      </c>
      <c r="AK51" s="331">
        <f>SUM('[1]JULI 26'!AM32)</f>
        <v>750000</v>
      </c>
      <c r="AL51" s="339">
        <f t="shared" si="105"/>
        <v>1</v>
      </c>
      <c r="AM51" s="338">
        <f>SUM('[1]AGUSTUS 26'!AQ32)</f>
        <v>750000</v>
      </c>
      <c r="AN51" s="399">
        <f t="shared" si="95"/>
        <v>1</v>
      </c>
      <c r="AO51" s="331"/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3000000</v>
      </c>
      <c r="AX51" s="341">
        <f t="shared" si="98"/>
        <v>4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>
        <f>SUM('[1]MEI 26'!AP33)</f>
        <v>0</v>
      </c>
      <c r="AH52" s="339">
        <f t="shared" si="94"/>
        <v>0</v>
      </c>
      <c r="AI52" s="338">
        <f>SUM('[1]JUNI 26'!AJ33)</f>
        <v>0</v>
      </c>
      <c r="AJ52" s="339">
        <f t="shared" si="104"/>
        <v>0</v>
      </c>
      <c r="AK52" s="331">
        <f>SUM('[1]JULI 26'!AM33)</f>
        <v>0</v>
      </c>
      <c r="AL52" s="339">
        <f t="shared" si="105"/>
        <v>0</v>
      </c>
      <c r="AM52" s="338">
        <f>SUM('[1]AGUSTUS 26'!AQ33)</f>
        <v>0</v>
      </c>
      <c r="AN52" s="399">
        <f t="shared" si="95"/>
        <v>0</v>
      </c>
      <c r="AO52" s="331"/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500000</v>
      </c>
      <c r="J53" s="190">
        <f t="shared" si="90"/>
        <v>2</v>
      </c>
      <c r="K53" s="191">
        <f t="shared" si="100"/>
        <v>-3750000</v>
      </c>
      <c r="L53" s="190">
        <f t="shared" si="91"/>
        <v>-15</v>
      </c>
      <c r="M53" s="192">
        <f t="shared" si="101"/>
        <v>11.76470588235294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>
        <f>SUM('[1]MEI 26'!AP34)</f>
        <v>0</v>
      </c>
      <c r="AH53" s="339">
        <f t="shared" si="94"/>
        <v>0</v>
      </c>
      <c r="AI53" s="338">
        <f>SUM('[1]JUNI 26'!AJ34)</f>
        <v>0</v>
      </c>
      <c r="AJ53" s="339">
        <f t="shared" si="104"/>
        <v>0</v>
      </c>
      <c r="AK53" s="331">
        <f>SUM('[1]JULI 26'!AM34)</f>
        <v>250000</v>
      </c>
      <c r="AL53" s="339">
        <f t="shared" si="105"/>
        <v>1</v>
      </c>
      <c r="AM53" s="338">
        <f>SUM('[1]AGUSTUS 26'!AQ34)</f>
        <v>0</v>
      </c>
      <c r="AN53" s="399">
        <f t="shared" si="95"/>
        <v>0</v>
      </c>
      <c r="AO53" s="331"/>
      <c r="AP53" s="339">
        <f t="shared" si="96"/>
        <v>0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500000</v>
      </c>
      <c r="AX53" s="341">
        <f t="shared" si="98"/>
        <v>2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80580000</v>
      </c>
      <c r="J54" s="190">
        <f t="shared" si="90"/>
        <v>40290</v>
      </c>
      <c r="K54" s="191">
        <f t="shared" si="100"/>
        <v>-619420000</v>
      </c>
      <c r="L54" s="190">
        <f t="shared" si="91"/>
        <v>-309710</v>
      </c>
      <c r="M54" s="192">
        <f t="shared" si="101"/>
        <v>11.511428571428571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>
        <f>SUM('[1]MEI 26'!AP35)</f>
        <v>9090000</v>
      </c>
      <c r="AH54" s="339">
        <f t="shared" si="94"/>
        <v>4545</v>
      </c>
      <c r="AI54" s="338">
        <f>SUM('[1]JUNI 26'!AJ35)</f>
        <v>19460000</v>
      </c>
      <c r="AJ54" s="339">
        <f t="shared" si="104"/>
        <v>9730</v>
      </c>
      <c r="AK54" s="331">
        <f>SUM('[1]JULI 26'!AM35)</f>
        <v>10490000</v>
      </c>
      <c r="AL54" s="339">
        <f t="shared" si="105"/>
        <v>5245</v>
      </c>
      <c r="AM54" s="338">
        <f>SUM('[1]AGUSTUS 26'!AQ35)</f>
        <v>17190000</v>
      </c>
      <c r="AN54" s="399">
        <f t="shared" si="95"/>
        <v>8595</v>
      </c>
      <c r="AO54" s="331"/>
      <c r="AP54" s="339">
        <f t="shared" si="96"/>
        <v>0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80580000</v>
      </c>
      <c r="AX54" s="341">
        <f t="shared" si="98"/>
        <v>40290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27100000</v>
      </c>
      <c r="J55" s="190">
        <f t="shared" si="90"/>
        <v>271</v>
      </c>
      <c r="K55" s="191">
        <f t="shared" si="100"/>
        <v>12100000</v>
      </c>
      <c r="L55" s="190">
        <f t="shared" si="91"/>
        <v>121</v>
      </c>
      <c r="M55" s="192">
        <f t="shared" si="101"/>
        <v>180.66666666666666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>
        <f>SUM('[1]MEI 26'!AP36)</f>
        <v>15500000</v>
      </c>
      <c r="AH55" s="339">
        <f t="shared" si="94"/>
        <v>155</v>
      </c>
      <c r="AI55" s="338">
        <f>SUM('[1]JUNI 26'!AJ36)</f>
        <v>2700000</v>
      </c>
      <c r="AJ55" s="339">
        <f t="shared" si="104"/>
        <v>27</v>
      </c>
      <c r="AK55" s="331">
        <f>SUM('[1]JULI 26'!AM36)</f>
        <v>0</v>
      </c>
      <c r="AL55" s="339">
        <f t="shared" si="105"/>
        <v>0</v>
      </c>
      <c r="AM55" s="338">
        <f>SUM('[1]AGUSTUS 26'!AQ36)</f>
        <v>0</v>
      </c>
      <c r="AN55" s="399">
        <f t="shared" si="95"/>
        <v>0</v>
      </c>
      <c r="AO55" s="331"/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27100000</v>
      </c>
      <c r="AX55" s="341">
        <f t="shared" si="98"/>
        <v>271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78600000</v>
      </c>
      <c r="J56" s="190">
        <f t="shared" si="90"/>
        <v>786</v>
      </c>
      <c r="K56" s="191">
        <f t="shared" si="100"/>
        <v>-96400000</v>
      </c>
      <c r="L56" s="190">
        <f t="shared" si="91"/>
        <v>-964</v>
      </c>
      <c r="M56" s="192">
        <f t="shared" si="101"/>
        <v>44.914285714285711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>
        <f>SUM('[1]MEI 26'!AP37)</f>
        <v>20800000</v>
      </c>
      <c r="AH56" s="339">
        <f t="shared" si="94"/>
        <v>208</v>
      </c>
      <c r="AI56" s="338">
        <f>SUM('[1]JUNI 26'!AJ37)</f>
        <v>3400000</v>
      </c>
      <c r="AJ56" s="339">
        <f t="shared" si="104"/>
        <v>34</v>
      </c>
      <c r="AK56" s="331">
        <f>SUM('[1]JULI 26'!AM37)</f>
        <v>5200000</v>
      </c>
      <c r="AL56" s="339">
        <f t="shared" si="105"/>
        <v>52</v>
      </c>
      <c r="AM56" s="338">
        <f>SUM('[1]AGUSTUS 26'!AQ37)</f>
        <v>8500000</v>
      </c>
      <c r="AN56" s="399">
        <f t="shared" si="95"/>
        <v>85</v>
      </c>
      <c r="AO56" s="331"/>
      <c r="AP56" s="339">
        <f t="shared" si="96"/>
        <v>0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78600000</v>
      </c>
      <c r="AX56" s="341">
        <f t="shared" si="98"/>
        <v>786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151250000</v>
      </c>
      <c r="J57" s="190">
        <f t="shared" si="90"/>
        <v>605</v>
      </c>
      <c r="K57" s="191">
        <f t="shared" si="100"/>
        <v>-1223750000</v>
      </c>
      <c r="L57" s="190">
        <f t="shared" si="91"/>
        <v>-4895</v>
      </c>
      <c r="M57" s="192">
        <f t="shared" si="101"/>
        <v>11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>
        <f>SUM('[1]MEI 26'!AP38)</f>
        <v>27250000</v>
      </c>
      <c r="AH57" s="339">
        <f t="shared" si="94"/>
        <v>109</v>
      </c>
      <c r="AI57" s="338">
        <f>SUM('[1]JUNI 26'!AJ38)</f>
        <v>24250000</v>
      </c>
      <c r="AJ57" s="339">
        <f t="shared" si="104"/>
        <v>97</v>
      </c>
      <c r="AK57" s="331">
        <f>SUM('[1]JULI 26'!AM38)</f>
        <v>16250000</v>
      </c>
      <c r="AL57" s="339">
        <f t="shared" si="105"/>
        <v>65</v>
      </c>
      <c r="AM57" s="338">
        <f>SUM('[1]AGUSTUS 26'!AQ38)</f>
        <v>17750000</v>
      </c>
      <c r="AN57" s="399">
        <f t="shared" si="95"/>
        <v>71</v>
      </c>
      <c r="AO57" s="331"/>
      <c r="AP57" s="339">
        <f t="shared" si="96"/>
        <v>0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151250000</v>
      </c>
      <c r="AX57" s="341">
        <f t="shared" si="98"/>
        <v>605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0</v>
      </c>
      <c r="J58" s="190">
        <f t="shared" si="90"/>
        <v>0</v>
      </c>
      <c r="K58" s="191">
        <f t="shared" si="100"/>
        <v>0</v>
      </c>
      <c r="L58" s="190">
        <f t="shared" si="91"/>
        <v>0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>
        <f>SUM('[1]MEI 26'!AP39)</f>
        <v>0</v>
      </c>
      <c r="AH58" s="339">
        <f t="shared" si="94"/>
        <v>0</v>
      </c>
      <c r="AI58" s="338">
        <f>SUM('[1]JUNI 26'!AJ39)</f>
        <v>0</v>
      </c>
      <c r="AJ58" s="339">
        <f t="shared" si="104"/>
        <v>0</v>
      </c>
      <c r="AK58" s="331">
        <f>SUM('[1]JULI 26'!AM39)</f>
        <v>0</v>
      </c>
      <c r="AL58" s="339">
        <f t="shared" si="105"/>
        <v>0</v>
      </c>
      <c r="AM58" s="338">
        <f>SUM('[1]AGUSTUS 26'!AQ39)</f>
        <v>0</v>
      </c>
      <c r="AN58" s="399">
        <f t="shared" si="95"/>
        <v>0</v>
      </c>
      <c r="AO58" s="331"/>
      <c r="AP58" s="339">
        <f t="shared" si="96"/>
        <v>0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0</v>
      </c>
      <c r="AX58" s="341">
        <f t="shared" si="98"/>
        <v>0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20250000</v>
      </c>
      <c r="J59" s="190">
        <f t="shared" si="90"/>
        <v>27</v>
      </c>
      <c r="K59" s="191">
        <f t="shared" si="100"/>
        <v>-343500000</v>
      </c>
      <c r="L59" s="190">
        <f t="shared" si="91"/>
        <v>-458</v>
      </c>
      <c r="M59" s="192">
        <f t="shared" si="101"/>
        <v>5.5670103092783512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>
        <f>SUM('[1]MEI 26'!AP40)</f>
        <v>3000000</v>
      </c>
      <c r="AH59" s="339">
        <f t="shared" si="94"/>
        <v>4</v>
      </c>
      <c r="AI59" s="338">
        <f>SUM('[1]JUNI 26'!AJ40)</f>
        <v>4500000</v>
      </c>
      <c r="AJ59" s="339">
        <f t="shared" si="104"/>
        <v>6</v>
      </c>
      <c r="AK59" s="331">
        <f>SUM('[1]JULI 26'!AM40)</f>
        <v>0</v>
      </c>
      <c r="AL59" s="339">
        <f t="shared" si="105"/>
        <v>0</v>
      </c>
      <c r="AM59" s="338">
        <f>SUM('[1]AGUSTUS 26'!AQ40)</f>
        <v>3750000</v>
      </c>
      <c r="AN59" s="399">
        <f t="shared" si="95"/>
        <v>5</v>
      </c>
      <c r="AO59" s="331"/>
      <c r="AP59" s="339">
        <f t="shared" si="96"/>
        <v>0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20250000</v>
      </c>
      <c r="AX59" s="341">
        <f t="shared" si="98"/>
        <v>27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23000000</v>
      </c>
      <c r="J60" s="190">
        <f t="shared" si="90"/>
        <v>23</v>
      </c>
      <c r="K60" s="191">
        <f t="shared" si="100"/>
        <v>-364000000</v>
      </c>
      <c r="L60" s="190">
        <f t="shared" si="91"/>
        <v>-364</v>
      </c>
      <c r="M60" s="192">
        <f t="shared" si="101"/>
        <v>5.9431524547803614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>
        <f>SUM('[1]MEI 26'!AP41)</f>
        <v>4000000</v>
      </c>
      <c r="AH60" s="339">
        <f t="shared" si="94"/>
        <v>4</v>
      </c>
      <c r="AI60" s="338">
        <f>SUM('[1]JUNI 26'!AJ41)</f>
        <v>6000000</v>
      </c>
      <c r="AJ60" s="339">
        <f t="shared" si="104"/>
        <v>6</v>
      </c>
      <c r="AK60" s="331">
        <f>SUM('[1]JULI 26'!AM41)</f>
        <v>0</v>
      </c>
      <c r="AL60" s="339">
        <f t="shared" si="105"/>
        <v>0</v>
      </c>
      <c r="AM60" s="338">
        <f>SUM('[1]AGUSTUS 26'!AQ41)</f>
        <v>4000000</v>
      </c>
      <c r="AN60" s="399">
        <f t="shared" si="95"/>
        <v>4</v>
      </c>
      <c r="AO60" s="331"/>
      <c r="AP60" s="339">
        <f t="shared" si="96"/>
        <v>0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23000000</v>
      </c>
      <c r="AX60" s="341">
        <f t="shared" si="98"/>
        <v>23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7000000</v>
      </c>
      <c r="J61" s="190">
        <f t="shared" si="90"/>
        <v>70</v>
      </c>
      <c r="K61" s="191">
        <f t="shared" si="100"/>
        <v>-83000000</v>
      </c>
      <c r="L61" s="190">
        <f t="shared" si="91"/>
        <v>-830</v>
      </c>
      <c r="M61" s="192">
        <f t="shared" si="101"/>
        <v>7.7777777777777777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>
        <f>SUM('[1]MEI 26'!AP42)</f>
        <v>1300000</v>
      </c>
      <c r="AH61" s="339">
        <f t="shared" si="94"/>
        <v>13</v>
      </c>
      <c r="AI61" s="338">
        <f>SUM('[1]JUNI 26'!AJ42)</f>
        <v>1400000</v>
      </c>
      <c r="AJ61" s="339">
        <f t="shared" si="104"/>
        <v>14</v>
      </c>
      <c r="AK61" s="331">
        <f>SUM('[1]JULI 26'!AM42)</f>
        <v>1100000</v>
      </c>
      <c r="AL61" s="339">
        <f t="shared" si="105"/>
        <v>11</v>
      </c>
      <c r="AM61" s="338">
        <f>SUM('[1]AGUSTUS 26'!AQ42)</f>
        <v>1000000</v>
      </c>
      <c r="AN61" s="399">
        <f t="shared" si="95"/>
        <v>10</v>
      </c>
      <c r="AO61" s="331"/>
      <c r="AP61" s="339">
        <f t="shared" si="96"/>
        <v>0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7000000</v>
      </c>
      <c r="AX61" s="341">
        <f t="shared" si="98"/>
        <v>70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75960000</v>
      </c>
      <c r="J62" s="190">
        <f t="shared" si="90"/>
        <v>5064</v>
      </c>
      <c r="K62" s="191">
        <f t="shared" si="100"/>
        <v>-204090000</v>
      </c>
      <c r="L62" s="190">
        <f t="shared" si="91"/>
        <v>-13606</v>
      </c>
      <c r="M62" s="192">
        <f t="shared" si="101"/>
        <v>27.123727905731123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>
        <f>SUM('[1]MEI 26'!AP43)</f>
        <v>14205000</v>
      </c>
      <c r="AH62" s="339">
        <f t="shared" si="94"/>
        <v>947</v>
      </c>
      <c r="AI62" s="338">
        <f>SUM('[1]JUNI 26'!AJ43)</f>
        <v>13095000</v>
      </c>
      <c r="AJ62" s="339">
        <f t="shared" si="104"/>
        <v>873</v>
      </c>
      <c r="AK62" s="331">
        <f>SUM('[1]JULI 26'!AM43)</f>
        <v>6930000</v>
      </c>
      <c r="AL62" s="339">
        <f t="shared" si="105"/>
        <v>462</v>
      </c>
      <c r="AM62" s="338">
        <f>SUM('[1]AGUSTUS 26'!AQ43)</f>
        <v>5130000</v>
      </c>
      <c r="AN62" s="399">
        <f t="shared" si="95"/>
        <v>342</v>
      </c>
      <c r="AO62" s="331"/>
      <c r="AP62" s="339">
        <f t="shared" si="96"/>
        <v>0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75960000</v>
      </c>
      <c r="AX62" s="341">
        <f t="shared" si="98"/>
        <v>5064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54145000</v>
      </c>
      <c r="J63" s="190">
        <f t="shared" si="90"/>
        <v>10829</v>
      </c>
      <c r="K63" s="191">
        <f t="shared" si="100"/>
        <v>54145000</v>
      </c>
      <c r="L63" s="190">
        <f t="shared" si="91"/>
        <v>10829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>
        <f>SUM('[1]MEI 26'!AP44)</f>
        <v>7055000</v>
      </c>
      <c r="AH63" s="339">
        <f t="shared" si="94"/>
        <v>1411</v>
      </c>
      <c r="AI63" s="338">
        <f>SUM('[1]JUNI 26'!AJ44)</f>
        <v>6645000</v>
      </c>
      <c r="AJ63" s="339">
        <f t="shared" si="104"/>
        <v>1329</v>
      </c>
      <c r="AK63" s="331">
        <f>SUM('[1]JULI 26'!AM44)</f>
        <v>3560000</v>
      </c>
      <c r="AL63" s="339">
        <f t="shared" si="105"/>
        <v>712</v>
      </c>
      <c r="AM63" s="338">
        <f>SUM('[1]AGUSTUS 26'!AQ44)</f>
        <v>5140000</v>
      </c>
      <c r="AN63" s="399">
        <f t="shared" si="95"/>
        <v>1028</v>
      </c>
      <c r="AO63" s="331"/>
      <c r="AP63" s="339">
        <f t="shared" si="96"/>
        <v>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54145000</v>
      </c>
      <c r="AX63" s="341">
        <f t="shared" si="98"/>
        <v>10829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900000</v>
      </c>
      <c r="J64" s="190">
        <f t="shared" si="90"/>
        <v>6</v>
      </c>
      <c r="K64" s="191">
        <f t="shared" si="100"/>
        <v>-59100000</v>
      </c>
      <c r="L64" s="190">
        <f t="shared" si="91"/>
        <v>-394</v>
      </c>
      <c r="M64" s="192">
        <f t="shared" si="101"/>
        <v>1.5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>
        <f>SUM('[1]MEI 26'!AP45)</f>
        <v>0</v>
      </c>
      <c r="AH64" s="339">
        <f t="shared" si="94"/>
        <v>0</v>
      </c>
      <c r="AI64" s="338">
        <f>SUM('[1]JUNI 26'!AJ45)</f>
        <v>0</v>
      </c>
      <c r="AJ64" s="339">
        <f t="shared" si="104"/>
        <v>0</v>
      </c>
      <c r="AK64" s="331">
        <f>SUM('[1]JULI 26'!AM45)</f>
        <v>0</v>
      </c>
      <c r="AL64" s="339">
        <f t="shared" si="105"/>
        <v>0</v>
      </c>
      <c r="AM64" s="338">
        <f>SUM('[1]AGUSTUS 26'!AQ45)</f>
        <v>900000</v>
      </c>
      <c r="AN64" s="399">
        <f t="shared" si="95"/>
        <v>6</v>
      </c>
      <c r="AO64" s="331"/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900000</v>
      </c>
      <c r="AX64" s="341">
        <f t="shared" si="98"/>
        <v>6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2700000</v>
      </c>
      <c r="J65" s="190">
        <f t="shared" si="90"/>
        <v>36</v>
      </c>
      <c r="K65" s="191">
        <f t="shared" si="100"/>
        <v>-17250000</v>
      </c>
      <c r="L65" s="190">
        <f t="shared" si="91"/>
        <v>-230</v>
      </c>
      <c r="M65" s="192">
        <f t="shared" si="101"/>
        <v>13.533834586466165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>
        <f>SUM('[1]MEI 26'!AP46)</f>
        <v>225000</v>
      </c>
      <c r="AH65" s="339">
        <f t="shared" si="94"/>
        <v>3</v>
      </c>
      <c r="AI65" s="338">
        <f>SUM('[1]JUNI 26'!AJ46)</f>
        <v>450000</v>
      </c>
      <c r="AJ65" s="339">
        <f t="shared" si="104"/>
        <v>6</v>
      </c>
      <c r="AK65" s="331">
        <f>SUM('[1]JULI 26'!AM46)</f>
        <v>225000</v>
      </c>
      <c r="AL65" s="339">
        <f t="shared" si="105"/>
        <v>3</v>
      </c>
      <c r="AM65" s="338">
        <f>SUM('[1]AGUSTUS 26'!AQ46)</f>
        <v>0</v>
      </c>
      <c r="AN65" s="399">
        <f t="shared" si="95"/>
        <v>0</v>
      </c>
      <c r="AO65" s="331"/>
      <c r="AP65" s="339">
        <f t="shared" si="96"/>
        <v>0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2700000</v>
      </c>
      <c r="AX65" s="341">
        <f t="shared" si="98"/>
        <v>36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600000</v>
      </c>
      <c r="J66" s="190">
        <f t="shared" si="90"/>
        <v>6</v>
      </c>
      <c r="K66" s="191">
        <f t="shared" si="100"/>
        <v>-33400000</v>
      </c>
      <c r="L66" s="190">
        <f t="shared" si="91"/>
        <v>-334</v>
      </c>
      <c r="M66" s="192">
        <f t="shared" si="101"/>
        <v>1.7647058823529411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>
        <f>SUM('[1]MEI 26'!AP47)</f>
        <v>0</v>
      </c>
      <c r="AH66" s="339">
        <f t="shared" si="94"/>
        <v>0</v>
      </c>
      <c r="AI66" s="338">
        <f>SUM('[1]JUNI 26'!AJ47)</f>
        <v>0</v>
      </c>
      <c r="AJ66" s="339">
        <f t="shared" si="104"/>
        <v>0</v>
      </c>
      <c r="AK66" s="331">
        <f>SUM('[1]JULI 26'!AM47)</f>
        <v>0</v>
      </c>
      <c r="AL66" s="339">
        <f t="shared" si="105"/>
        <v>0</v>
      </c>
      <c r="AM66" s="338">
        <f>SUM('[1]AGUSTUS 26'!AQ47)</f>
        <v>600000</v>
      </c>
      <c r="AN66" s="399">
        <f t="shared" si="95"/>
        <v>6</v>
      </c>
      <c r="AO66" s="331"/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600000</v>
      </c>
      <c r="AX66" s="356">
        <f t="shared" si="98"/>
        <v>6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5877200000</v>
      </c>
      <c r="J67" s="277"/>
      <c r="K67" s="277">
        <f>I67-G67</f>
        <v>877200000</v>
      </c>
      <c r="L67" s="278"/>
      <c r="M67" s="279">
        <f>SUM(I67/G67*100)</f>
        <v>117.54400000000001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>
        <f>SUM('[1]JUNI 26'!$AJ$56)</f>
        <v>1244500000</v>
      </c>
      <c r="AJ67" s="429"/>
      <c r="AK67" s="621">
        <f>SUM('[1]JULI 26'!$AM$56)</f>
        <v>242000000</v>
      </c>
      <c r="AL67" s="429"/>
      <c r="AM67" s="428">
        <f>SUM('[1]AGUSTUS 26'!$AQ$58)</f>
        <v>0</v>
      </c>
      <c r="AN67" s="430"/>
      <c r="AO67" s="431"/>
      <c r="AP67" s="429"/>
      <c r="AQ67" s="431"/>
      <c r="AR67" s="429"/>
      <c r="AS67" s="431"/>
      <c r="AT67" s="430"/>
      <c r="AU67" s="431"/>
      <c r="AV67" s="432"/>
      <c r="AW67" s="433">
        <f t="shared" si="97"/>
        <v>5877200000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:I69" si="108">AW68</f>
        <v>96332201</v>
      </c>
      <c r="J68" s="282"/>
      <c r="K68" s="277">
        <f>I68-G68</f>
        <v>-143667799</v>
      </c>
      <c r="L68" s="281"/>
      <c r="M68" s="279">
        <f>SUM(I68/G68*100)</f>
        <v>40.13841708333333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>
        <f>SUM('[1]MEI 26'!$AP$54+'[1]MEI 26'!$AP$55)</f>
        <v>16157772</v>
      </c>
      <c r="AH68" s="429"/>
      <c r="AI68" s="428">
        <f>SUM('[1]JUNI 26'!$AJ$54)</f>
        <v>19313094</v>
      </c>
      <c r="AJ68" s="429"/>
      <c r="AK68" s="622">
        <f>SUM('[1]JULI 26'!$AM$54)</f>
        <v>21314767</v>
      </c>
      <c r="AL68" s="429"/>
      <c r="AM68" s="428">
        <f>SUM('[1]AGUSTUS 26'!$AQ$54)</f>
        <v>22779321</v>
      </c>
      <c r="AN68" s="430"/>
      <c r="AO68" s="431"/>
      <c r="AP68" s="429"/>
      <c r="AQ68" s="431"/>
      <c r="AR68" s="429"/>
      <c r="AS68" s="431"/>
      <c r="AT68" s="430"/>
      <c r="AU68" s="431"/>
      <c r="AV68" s="432"/>
      <c r="AW68" s="433">
        <f t="shared" si="97"/>
        <v>96332201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 t="shared" si="108"/>
        <v>560673802</v>
      </c>
      <c r="J69" s="286"/>
      <c r="K69" s="277">
        <f>I69-G69</f>
        <v>-39326198</v>
      </c>
      <c r="L69" s="285"/>
      <c r="M69" s="279">
        <f>SUM(I69/G69*100)</f>
        <v>93.445633666666666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>
        <f>SUM('[1]MEI 26'!$AP$49+'[1]MEI 26'!$AP$50+'[1]MEI 26'!$AP$51+'[1]MEI 26'!$AP$52+'[1]MEI 26'!$AP$53)</f>
        <v>84747275</v>
      </c>
      <c r="AH69" s="429"/>
      <c r="AI69" s="428">
        <f>SUM('[1]JUNI 26'!$AJ$49+'[1]JUNI 26'!$AJ$50+'[1]JUNI 26'!$AJ$51+'[1]JUNI 26'!$AJ$52+'[1]JUNI 26'!$AJ$53)</f>
        <v>71026350</v>
      </c>
      <c r="AJ69" s="429"/>
      <c r="AK69" s="622">
        <f>SUM('[1]JULI 26'!$AM$49+'[1]JULI 26'!$AM$50+'[1]JULI 26'!$AM$51+'[1]JULI 26'!$AM$52+'[1]JULI 26'!$AM$53)</f>
        <v>73209725</v>
      </c>
      <c r="AL69" s="429"/>
      <c r="AM69" s="428">
        <f>SUM('[1]AGUSTUS 26'!$AQ$49+'[1]AGUSTUS 26'!$AQ$50+'[1]AGUSTUS 26'!$AQ$51+'[1]AGUSTUS 26'!$AQ$52+'[1]AGUSTUS 26'!$AQ$53)+'[1]AGUSTUS 26'!$AQ$56</f>
        <v>75817787</v>
      </c>
      <c r="AN69" s="430"/>
      <c r="AO69" s="431"/>
      <c r="AP69" s="429"/>
      <c r="AQ69" s="431"/>
      <c r="AR69" s="429"/>
      <c r="AS69" s="431"/>
      <c r="AT69" s="430"/>
      <c r="AU69" s="431"/>
      <c r="AV69" s="432"/>
      <c r="AW69" s="433">
        <f t="shared" si="97"/>
        <v>560673802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28587261128</v>
      </c>
      <c r="J70" s="287"/>
      <c r="K70" s="287">
        <f>K9+K67+K68+K69</f>
        <v>-73732738872</v>
      </c>
      <c r="L70" s="287"/>
      <c r="M70" s="287">
        <f>SUM(I70/G70*100)</f>
        <v>27.939074597341673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3511930297</v>
      </c>
      <c r="AH70" s="437">
        <f t="shared" si="112"/>
        <v>710617</v>
      </c>
      <c r="AI70" s="437">
        <f>AI9+AI67+AI68+AI69</f>
        <v>4267689069</v>
      </c>
      <c r="AJ70" s="437">
        <f t="shared" ref="AJ70:AV70" si="113">AJ9+AJ67+AJ68+AJ69</f>
        <v>629101</v>
      </c>
      <c r="AK70" s="437">
        <f t="shared" si="113"/>
        <v>3916293742</v>
      </c>
      <c r="AL70" s="437">
        <f t="shared" si="113"/>
        <v>793768</v>
      </c>
      <c r="AM70" s="437">
        <f t="shared" si="113"/>
        <v>2783304358</v>
      </c>
      <c r="AN70" s="437">
        <f t="shared" si="113"/>
        <v>572084</v>
      </c>
      <c r="AO70" s="437">
        <f t="shared" si="113"/>
        <v>0</v>
      </c>
      <c r="AP70" s="437">
        <f t="shared" si="113"/>
        <v>0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28587261128</v>
      </c>
      <c r="AX70" s="440">
        <f>Z70+AB70+AD70+AF70+AH70+AJ70+AL70+AN70+AP70+AR70+AT70+AV70</f>
        <v>4718864</v>
      </c>
      <c r="AY70" s="5"/>
      <c r="BB70" s="1"/>
      <c r="BC70" s="1"/>
      <c r="BD70" s="1"/>
      <c r="BE70" s="1"/>
      <c r="BF70" s="1"/>
      <c r="BG70" s="1"/>
    </row>
    <row r="73" spans="1:59" ht="15.75" customHeight="1" x14ac:dyDescent="0.25">
      <c r="J73" s="676" t="s">
        <v>247</v>
      </c>
      <c r="K73" s="676"/>
      <c r="L73" s="676"/>
      <c r="M73" s="676"/>
    </row>
    <row r="74" spans="1:59" ht="15.75" customHeight="1" x14ac:dyDescent="0.25">
      <c r="J74" s="676" t="s">
        <v>201</v>
      </c>
      <c r="K74" s="676"/>
      <c r="L74" s="676"/>
      <c r="M74" s="676"/>
    </row>
    <row r="75" spans="1:59" ht="15.75" customHeight="1" x14ac:dyDescent="0.25">
      <c r="J75" s="676" t="s">
        <v>20</v>
      </c>
      <c r="K75" s="676"/>
      <c r="L75" s="676"/>
      <c r="M75" s="676"/>
    </row>
    <row r="76" spans="1:59" ht="15.75" customHeight="1" x14ac:dyDescent="0.25">
      <c r="J76" s="676" t="s">
        <v>53</v>
      </c>
      <c r="K76" s="676"/>
      <c r="L76" s="676"/>
      <c r="M76" s="676"/>
    </row>
    <row r="77" spans="1:59" x14ac:dyDescent="0.25">
      <c r="J77" s="303"/>
      <c r="K77" s="677" t="s">
        <v>54</v>
      </c>
      <c r="L77" s="677"/>
      <c r="M77" s="303"/>
    </row>
    <row r="78" spans="1:59" x14ac:dyDescent="0.25">
      <c r="J78" s="303"/>
      <c r="K78" s="303"/>
      <c r="L78" s="303"/>
      <c r="M78" s="303"/>
    </row>
    <row r="79" spans="1:59" x14ac:dyDescent="0.25">
      <c r="J79" s="303"/>
      <c r="K79" s="303"/>
      <c r="L79" s="303"/>
      <c r="M79" s="303"/>
    </row>
    <row r="80" spans="1:59" ht="15.75" customHeight="1" x14ac:dyDescent="0.25">
      <c r="J80" s="676" t="s">
        <v>198</v>
      </c>
      <c r="K80" s="676"/>
      <c r="L80" s="676"/>
      <c r="M80" s="676"/>
    </row>
    <row r="81" spans="10:13" ht="15.75" customHeight="1" x14ac:dyDescent="0.25">
      <c r="J81" s="676" t="s">
        <v>199</v>
      </c>
      <c r="K81" s="676"/>
      <c r="L81" s="676"/>
      <c r="M81" s="676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4:M74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3:M73"/>
    <mergeCell ref="J75:M75"/>
    <mergeCell ref="J76:M76"/>
    <mergeCell ref="K77:L77"/>
    <mergeCell ref="J80:M80"/>
    <mergeCell ref="J81:M81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434F-4F52-4564-9DCF-3143CE94DECD}">
  <dimension ref="A1:BG81"/>
  <sheetViews>
    <sheetView tabSelected="1" showOutlineSymbols="0" topLeftCell="A14" zoomScaleNormal="100" workbookViewId="0">
      <selection activeCell="M83" sqref="M83"/>
    </sheetView>
  </sheetViews>
  <sheetFormatPr defaultColWidth="8.6640625" defaultRowHeight="15.75" x14ac:dyDescent="0.25"/>
  <cols>
    <col min="1" max="1" width="15.77734375" customWidth="1"/>
    <col min="2" max="2" width="2.6640625" customWidth="1"/>
    <col min="3" max="3" width="3.109375" customWidth="1"/>
    <col min="4" max="4" width="2.6640625" hidden="1" customWidth="1"/>
    <col min="5" max="5" width="9.21875" customWidth="1"/>
    <col min="6" max="6" width="57" style="18" customWidth="1"/>
    <col min="7" max="7" width="16.33203125" style="18" customWidth="1"/>
    <col min="8" max="8" width="11.77734375" style="18" customWidth="1"/>
    <col min="9" max="9" width="16.21875" style="18" customWidth="1"/>
    <col min="10" max="10" width="10.6640625" style="18" customWidth="1"/>
    <col min="11" max="11" width="15.6640625" style="18" customWidth="1"/>
    <col min="12" max="12" width="12.21875" style="18" customWidth="1"/>
    <col min="13" max="13" width="7.33203125" style="18" customWidth="1"/>
    <col min="14" max="14" width="11.44140625" style="4" customWidth="1"/>
    <col min="15" max="15" width="14.6640625" style="4" customWidth="1"/>
    <col min="16" max="17" width="11.44140625" style="4" customWidth="1"/>
    <col min="18" max="18" width="9" style="4" bestFit="1" customWidth="1"/>
    <col min="19" max="19" width="12.88671875" style="4" customWidth="1"/>
    <col min="20" max="20" width="2.21875" customWidth="1"/>
    <col min="21" max="21" width="2.6640625" customWidth="1"/>
    <col min="22" max="22" width="0.5546875" hidden="1" customWidth="1"/>
    <col min="23" max="23" width="9.5546875" customWidth="1"/>
    <col min="24" max="24" width="42.88671875" style="18" customWidth="1"/>
    <col min="25" max="25" width="11.44140625" style="18" customWidth="1"/>
    <col min="26" max="26" width="8" style="18" customWidth="1"/>
    <col min="27" max="27" width="12.21875" style="18" customWidth="1"/>
    <col min="28" max="28" width="8.33203125" style="18" customWidth="1"/>
    <col min="29" max="29" width="11.77734375" style="18" customWidth="1"/>
    <col min="30" max="30" width="8.5546875" style="18" customWidth="1"/>
    <col min="31" max="31" width="12.33203125" style="18" customWidth="1"/>
    <col min="32" max="32" width="8.6640625" style="18" customWidth="1"/>
    <col min="33" max="33" width="11.77734375" style="18" customWidth="1"/>
    <col min="34" max="34" width="7.88671875" style="18" customWidth="1"/>
    <col min="35" max="35" width="12.33203125" style="4" customWidth="1"/>
    <col min="36" max="36" width="7.5546875" style="4" customWidth="1"/>
    <col min="37" max="37" width="11.6640625" style="4" customWidth="1"/>
    <col min="38" max="38" width="8.21875" style="4" customWidth="1"/>
    <col min="39" max="39" width="11.33203125" style="4" bestFit="1" customWidth="1"/>
    <col min="40" max="40" width="7.21875" style="4" customWidth="1"/>
    <col min="41" max="41" width="11.33203125" style="4" bestFit="1" customWidth="1"/>
    <col min="42" max="42" width="8.21875" style="4" customWidth="1"/>
    <col min="43" max="43" width="12.88671875" style="4" customWidth="1"/>
    <col min="44" max="44" width="8.44140625" style="4" customWidth="1"/>
    <col min="45" max="45" width="12.6640625" style="4" bestFit="1" customWidth="1"/>
    <col min="46" max="46" width="7.21875" style="4" customWidth="1"/>
    <col min="47" max="47" width="11.33203125" style="4" bestFit="1" customWidth="1"/>
    <col min="48" max="48" width="5.33203125" style="4" bestFit="1" customWidth="1"/>
    <col min="49" max="49" width="12.5546875" style="4" customWidth="1"/>
    <col min="50" max="50" width="10.109375" style="4" customWidth="1"/>
    <col min="51" max="51" width="8.6640625" style="4"/>
    <col min="52" max="52" width="9.44140625" style="4" bestFit="1" customWidth="1"/>
    <col min="53" max="53" width="8.6640625" style="4"/>
    <col min="54" max="59" width="8.6640625" style="1"/>
  </cols>
  <sheetData>
    <row r="1" spans="1:59" x14ac:dyDescent="0.25">
      <c r="A1" s="734" t="s">
        <v>251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3"/>
      <c r="O1" s="3"/>
      <c r="P1" s="3"/>
      <c r="Q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59" x14ac:dyDescent="0.25">
      <c r="A2" s="734" t="s">
        <v>19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59" x14ac:dyDescent="0.25">
      <c r="A3" s="734" t="s">
        <v>55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59" ht="10.9" customHeight="1" x14ac:dyDescent="0.25">
      <c r="A4" s="20"/>
      <c r="B4" s="20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T4" s="2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</row>
    <row r="5" spans="1:59" ht="9" customHeight="1" x14ac:dyDescent="0.25">
      <c r="A5" s="20"/>
      <c r="B5" s="20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T5" s="21"/>
      <c r="U5" s="24"/>
      <c r="V5" s="24"/>
      <c r="W5" s="24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</row>
    <row r="6" spans="1:59" ht="15.75" customHeight="1" x14ac:dyDescent="0.25">
      <c r="A6" s="724" t="s">
        <v>10</v>
      </c>
      <c r="B6" s="146"/>
      <c r="C6" s="736" t="s">
        <v>159</v>
      </c>
      <c r="D6" s="147"/>
      <c r="E6" s="730" t="s">
        <v>72</v>
      </c>
      <c r="F6" s="739" t="s">
        <v>4</v>
      </c>
      <c r="G6" s="741" t="s">
        <v>0</v>
      </c>
      <c r="H6" s="742"/>
      <c r="I6" s="721" t="s">
        <v>1</v>
      </c>
      <c r="J6" s="721"/>
      <c r="K6" s="741" t="s">
        <v>2</v>
      </c>
      <c r="L6" s="743"/>
      <c r="M6" s="721" t="s">
        <v>6</v>
      </c>
      <c r="R6" s="722" t="s">
        <v>50</v>
      </c>
      <c r="S6" s="724" t="s">
        <v>10</v>
      </c>
      <c r="T6" s="290"/>
      <c r="U6" s="726" t="s">
        <v>159</v>
      </c>
      <c r="V6" s="291"/>
      <c r="W6" s="730" t="s">
        <v>72</v>
      </c>
      <c r="X6" s="732" t="s">
        <v>164</v>
      </c>
      <c r="Y6" s="719">
        <v>46023</v>
      </c>
      <c r="Z6" s="720"/>
      <c r="AA6" s="719">
        <v>46054</v>
      </c>
      <c r="AB6" s="720"/>
      <c r="AC6" s="719">
        <v>46082</v>
      </c>
      <c r="AD6" s="720"/>
      <c r="AE6" s="719">
        <v>46113</v>
      </c>
      <c r="AF6" s="720"/>
      <c r="AG6" s="719">
        <v>46143</v>
      </c>
      <c r="AH6" s="720"/>
      <c r="AI6" s="719">
        <v>46174</v>
      </c>
      <c r="AJ6" s="720"/>
      <c r="AK6" s="719">
        <v>46204</v>
      </c>
      <c r="AL6" s="720"/>
      <c r="AM6" s="719">
        <v>46235</v>
      </c>
      <c r="AN6" s="720"/>
      <c r="AO6" s="719">
        <v>46266</v>
      </c>
      <c r="AP6" s="720"/>
      <c r="AQ6" s="719">
        <v>46296</v>
      </c>
      <c r="AR6" s="720"/>
      <c r="AS6" s="719">
        <v>46327</v>
      </c>
      <c r="AT6" s="720"/>
      <c r="AU6" s="719">
        <v>46357</v>
      </c>
      <c r="AV6" s="720"/>
      <c r="AW6" s="709" t="s">
        <v>3</v>
      </c>
      <c r="AX6" s="710"/>
      <c r="AY6" s="5"/>
    </row>
    <row r="7" spans="1:59" ht="15" customHeight="1" x14ac:dyDescent="0.25">
      <c r="A7" s="735"/>
      <c r="B7" s="149"/>
      <c r="C7" s="737"/>
      <c r="D7" s="151"/>
      <c r="E7" s="738"/>
      <c r="F7" s="740"/>
      <c r="G7" s="153" t="s">
        <v>5</v>
      </c>
      <c r="H7" s="154" t="s">
        <v>8</v>
      </c>
      <c r="I7" s="154" t="s">
        <v>5</v>
      </c>
      <c r="J7" s="154" t="s">
        <v>8</v>
      </c>
      <c r="K7" s="154" t="s">
        <v>5</v>
      </c>
      <c r="L7" s="155" t="s">
        <v>8</v>
      </c>
      <c r="M7" s="721"/>
      <c r="N7" s="3"/>
      <c r="O7" s="3"/>
      <c r="P7" s="3"/>
      <c r="Q7" s="3"/>
      <c r="R7" s="723"/>
      <c r="S7" s="725"/>
      <c r="T7" s="292"/>
      <c r="U7" s="727"/>
      <c r="V7" s="293"/>
      <c r="W7" s="731"/>
      <c r="X7" s="733"/>
      <c r="Y7" s="304" t="s">
        <v>5</v>
      </c>
      <c r="Z7" s="305" t="s">
        <v>8</v>
      </c>
      <c r="AA7" s="304" t="s">
        <v>5</v>
      </c>
      <c r="AB7" s="305" t="s">
        <v>8</v>
      </c>
      <c r="AC7" s="304" t="s">
        <v>5</v>
      </c>
      <c r="AD7" s="305" t="s">
        <v>8</v>
      </c>
      <c r="AE7" s="304" t="s">
        <v>5</v>
      </c>
      <c r="AF7" s="305" t="s">
        <v>8</v>
      </c>
      <c r="AG7" s="304" t="s">
        <v>5</v>
      </c>
      <c r="AH7" s="305" t="s">
        <v>8</v>
      </c>
      <c r="AI7" s="304" t="s">
        <v>5</v>
      </c>
      <c r="AJ7" s="305" t="s">
        <v>8</v>
      </c>
      <c r="AK7" s="304" t="s">
        <v>5</v>
      </c>
      <c r="AL7" s="305" t="s">
        <v>8</v>
      </c>
      <c r="AM7" s="305" t="s">
        <v>5</v>
      </c>
      <c r="AN7" s="305" t="s">
        <v>8</v>
      </c>
      <c r="AO7" s="305" t="s">
        <v>5</v>
      </c>
      <c r="AP7" s="305" t="s">
        <v>8</v>
      </c>
      <c r="AQ7" s="305" t="s">
        <v>5</v>
      </c>
      <c r="AR7" s="305" t="s">
        <v>8</v>
      </c>
      <c r="AS7" s="305" t="s">
        <v>5</v>
      </c>
      <c r="AT7" s="305" t="s">
        <v>8</v>
      </c>
      <c r="AU7" s="305" t="s">
        <v>5</v>
      </c>
      <c r="AV7" s="305" t="s">
        <v>8</v>
      </c>
      <c r="AW7" s="305" t="s">
        <v>5</v>
      </c>
      <c r="AX7" s="305" t="s">
        <v>8</v>
      </c>
      <c r="AY7" s="5"/>
    </row>
    <row r="8" spans="1:59" s="17" customFormat="1" ht="16.899999999999999" customHeight="1" x14ac:dyDescent="0.2">
      <c r="A8" s="156">
        <v>1</v>
      </c>
      <c r="B8" s="157">
        <v>2</v>
      </c>
      <c r="C8" s="158">
        <v>3</v>
      </c>
      <c r="D8" s="159">
        <v>2</v>
      </c>
      <c r="E8" s="158">
        <v>4</v>
      </c>
      <c r="F8" s="148">
        <v>5</v>
      </c>
      <c r="G8" s="160">
        <v>6</v>
      </c>
      <c r="H8" s="161">
        <v>7</v>
      </c>
      <c r="I8" s="161">
        <v>8</v>
      </c>
      <c r="J8" s="161">
        <v>9</v>
      </c>
      <c r="K8" s="161">
        <v>10</v>
      </c>
      <c r="L8" s="161">
        <v>11</v>
      </c>
      <c r="M8" s="152">
        <v>12</v>
      </c>
      <c r="N8" s="13"/>
      <c r="O8" s="13"/>
      <c r="P8" s="13"/>
      <c r="Q8" s="13"/>
      <c r="R8" s="306"/>
      <c r="S8" s="294">
        <v>1</v>
      </c>
      <c r="T8" s="295"/>
      <c r="U8" s="296"/>
      <c r="V8" s="307">
        <v>2</v>
      </c>
      <c r="W8" s="308"/>
      <c r="X8" s="297">
        <v>2</v>
      </c>
      <c r="Y8" s="304"/>
      <c r="Z8" s="305"/>
      <c r="AA8" s="304"/>
      <c r="AB8" s="305"/>
      <c r="AC8" s="304"/>
      <c r="AD8" s="305"/>
      <c r="AE8" s="304"/>
      <c r="AF8" s="305"/>
      <c r="AG8" s="304"/>
      <c r="AH8" s="305"/>
      <c r="AI8" s="304"/>
      <c r="AJ8" s="305"/>
      <c r="AK8" s="304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14"/>
      <c r="AZ8" s="15"/>
      <c r="BA8" s="15"/>
      <c r="BB8" s="16"/>
      <c r="BC8" s="16"/>
      <c r="BD8" s="16"/>
      <c r="BE8" s="16"/>
      <c r="BF8" s="16"/>
      <c r="BG8" s="16"/>
    </row>
    <row r="9" spans="1:59" s="17" customFormat="1" ht="16.899999999999999" customHeight="1" x14ac:dyDescent="0.2">
      <c r="A9" s="162" t="s">
        <v>166</v>
      </c>
      <c r="B9" s="163" t="s">
        <v>7</v>
      </c>
      <c r="C9" s="711" t="s">
        <v>241</v>
      </c>
      <c r="D9" s="711"/>
      <c r="E9" s="711"/>
      <c r="F9" s="712"/>
      <c r="G9" s="164">
        <f t="shared" ref="G9:L9" si="0">SUM(G10+G30+G36+G44)</f>
        <v>96480000000</v>
      </c>
      <c r="H9" s="165">
        <f t="shared" si="0"/>
        <v>22130215.800000001</v>
      </c>
      <c r="I9" s="164">
        <f t="shared" si="0"/>
        <v>24098410375</v>
      </c>
      <c r="J9" s="165">
        <f t="shared" si="0"/>
        <v>5178153</v>
      </c>
      <c r="K9" s="164">
        <f>SUM(K10+K30+K36+K44)</f>
        <v>-72381589625</v>
      </c>
      <c r="L9" s="165">
        <f t="shared" si="0"/>
        <v>-16952062.800000001</v>
      </c>
      <c r="M9" s="166">
        <f>SUM(I9/G9*100)</f>
        <v>24.977622693822553</v>
      </c>
      <c r="N9" s="13"/>
      <c r="O9" s="487"/>
      <c r="P9" s="13"/>
      <c r="Q9" s="13"/>
      <c r="R9" s="309"/>
      <c r="S9" s="310" t="s">
        <v>166</v>
      </c>
      <c r="T9" s="311" t="s">
        <v>7</v>
      </c>
      <c r="U9" s="713" t="s">
        <v>67</v>
      </c>
      <c r="V9" s="713"/>
      <c r="W9" s="713"/>
      <c r="X9" s="714"/>
      <c r="Y9" s="312">
        <f>Y10+Y30+Y36+Y44</f>
        <v>2669871250</v>
      </c>
      <c r="Z9" s="312">
        <f t="shared" ref="Z9" si="1">Z10+Z30+Z36+Z44</f>
        <v>601069</v>
      </c>
      <c r="AA9" s="312">
        <f>AA10+AA30+AA36+AA44</f>
        <v>992717500</v>
      </c>
      <c r="AB9" s="312">
        <f t="shared" ref="AB9:AD9" si="2">AB10+AB30+AB36+AB44</f>
        <v>203402</v>
      </c>
      <c r="AC9" s="312">
        <f>AC10+AC30+AC36+AC44</f>
        <v>3161538250</v>
      </c>
      <c r="AD9" s="312">
        <f t="shared" si="2"/>
        <v>629974</v>
      </c>
      <c r="AE9" s="312">
        <f>AE10+AE30+AE36+AE44</f>
        <v>2620576750</v>
      </c>
      <c r="AF9" s="313">
        <f t="shared" ref="AF9:AH9" si="3">AF10+AF30+AF36+AF44</f>
        <v>578849</v>
      </c>
      <c r="AG9" s="312">
        <f>AG10+AG30+AG36+AG44</f>
        <v>3411025250</v>
      </c>
      <c r="AH9" s="312">
        <f t="shared" si="3"/>
        <v>710617</v>
      </c>
      <c r="AI9" s="312">
        <f>AI10+AI30+AI36+AI44</f>
        <v>2932849625</v>
      </c>
      <c r="AJ9" s="312">
        <f t="shared" ref="AJ9:AV9" si="4">AJ10+AJ30+AJ36+AJ44</f>
        <v>629101</v>
      </c>
      <c r="AK9" s="312">
        <f t="shared" si="4"/>
        <v>3579769250</v>
      </c>
      <c r="AL9" s="312">
        <f t="shared" si="4"/>
        <v>793768</v>
      </c>
      <c r="AM9" s="312">
        <f t="shared" si="4"/>
        <v>2684707250</v>
      </c>
      <c r="AN9" s="313">
        <f t="shared" si="4"/>
        <v>572084</v>
      </c>
      <c r="AO9" s="312">
        <f t="shared" si="4"/>
        <v>2045355250</v>
      </c>
      <c r="AP9" s="312">
        <f t="shared" si="4"/>
        <v>459289</v>
      </c>
      <c r="AQ9" s="312">
        <f t="shared" si="4"/>
        <v>0</v>
      </c>
      <c r="AR9" s="312">
        <f t="shared" si="4"/>
        <v>0</v>
      </c>
      <c r="AS9" s="312">
        <f t="shared" si="4"/>
        <v>0</v>
      </c>
      <c r="AT9" s="312">
        <f t="shared" si="4"/>
        <v>0</v>
      </c>
      <c r="AU9" s="312">
        <f t="shared" si="4"/>
        <v>0</v>
      </c>
      <c r="AV9" s="312">
        <f t="shared" si="4"/>
        <v>0</v>
      </c>
      <c r="AW9" s="314">
        <f t="shared" ref="AW9:AW16" si="5">SUM(Y9+AA9+AC9+AE9+AG9+AI9+AK9+AM9+AO9+AQ9+AS9+AU9)</f>
        <v>24098410375</v>
      </c>
      <c r="AX9" s="315">
        <f t="shared" ref="AX9:AX16" si="6">Z9+AB9+AD9+AF9+AH9+AJ9+AL9+AN9+AP9+AR9+AT9+AV9</f>
        <v>5178153</v>
      </c>
      <c r="AY9" s="14"/>
      <c r="AZ9" s="15"/>
      <c r="BA9" s="15"/>
      <c r="BB9" s="16"/>
      <c r="BC9" s="16"/>
      <c r="BD9" s="16"/>
      <c r="BE9" s="16"/>
      <c r="BF9" s="16"/>
      <c r="BG9" s="16"/>
    </row>
    <row r="10" spans="1:59" ht="16.899999999999999" customHeight="1" x14ac:dyDescent="0.25">
      <c r="A10" s="162" t="s">
        <v>203</v>
      </c>
      <c r="B10" s="167"/>
      <c r="C10" s="168">
        <v>1</v>
      </c>
      <c r="D10" s="169" t="s">
        <v>9</v>
      </c>
      <c r="E10" s="715" t="s">
        <v>211</v>
      </c>
      <c r="F10" s="716"/>
      <c r="G10" s="170">
        <f>SUM(G12:G29)</f>
        <v>74931200000</v>
      </c>
      <c r="H10" s="171">
        <f t="shared" ref="H10:L10" si="7">SUM(H12:H29)</f>
        <v>18572298</v>
      </c>
      <c r="I10" s="170">
        <f t="shared" si="7"/>
        <v>17787641375</v>
      </c>
      <c r="J10" s="171">
        <f t="shared" si="7"/>
        <v>4326252</v>
      </c>
      <c r="K10" s="170">
        <f>SUM(K12:K29)</f>
        <v>-57143558625</v>
      </c>
      <c r="L10" s="171">
        <f t="shared" si="7"/>
        <v>-14246046</v>
      </c>
      <c r="M10" s="170">
        <f>SUM(I10/G10*100)</f>
        <v>23.738631404541767</v>
      </c>
      <c r="N10" s="6"/>
      <c r="O10" s="488"/>
      <c r="R10" s="316"/>
      <c r="S10" s="310" t="s">
        <v>203</v>
      </c>
      <c r="T10" s="317"/>
      <c r="U10" s="318">
        <v>1</v>
      </c>
      <c r="V10" s="319" t="s">
        <v>9</v>
      </c>
      <c r="W10" s="717" t="s">
        <v>211</v>
      </c>
      <c r="X10" s="718"/>
      <c r="Y10" s="320">
        <f>SUM(Y12:Y29)</f>
        <v>2099172250</v>
      </c>
      <c r="Z10" s="320">
        <f t="shared" ref="Z10" si="8">SUM(Z12:Z29)</f>
        <v>515415</v>
      </c>
      <c r="AA10" s="320">
        <f>SUM(AA12:AA29)</f>
        <v>701860000</v>
      </c>
      <c r="AB10" s="320">
        <f t="shared" ref="AB10:AD10" si="9">SUM(AB12:AB29)</f>
        <v>169823</v>
      </c>
      <c r="AC10" s="320">
        <f>SUM(AC12:AC29)</f>
        <v>2188287250</v>
      </c>
      <c r="AD10" s="320">
        <f t="shared" si="9"/>
        <v>539474</v>
      </c>
      <c r="AE10" s="320">
        <f>SUM(AE12:AE29)</f>
        <v>1970889250</v>
      </c>
      <c r="AF10" s="321">
        <f t="shared" ref="AF10:AH10" si="10">SUM(AF12:AF29)</f>
        <v>481277</v>
      </c>
      <c r="AG10" s="320">
        <f>SUM(AG12:AG29)</f>
        <v>2443191750</v>
      </c>
      <c r="AH10" s="320">
        <f t="shared" si="10"/>
        <v>592423</v>
      </c>
      <c r="AI10" s="320">
        <f>SUM(AI12:AI29)</f>
        <v>2130154625</v>
      </c>
      <c r="AJ10" s="320">
        <f t="shared" ref="AJ10:AV10" si="11">SUM(AJ12:AJ29)</f>
        <v>510005</v>
      </c>
      <c r="AK10" s="320">
        <f t="shared" si="11"/>
        <v>2766047750</v>
      </c>
      <c r="AL10" s="320">
        <f t="shared" si="11"/>
        <v>678842</v>
      </c>
      <c r="AM10" s="320">
        <f t="shared" si="11"/>
        <v>1958551250</v>
      </c>
      <c r="AN10" s="321">
        <f t="shared" si="11"/>
        <v>469266</v>
      </c>
      <c r="AO10" s="320">
        <f t="shared" si="11"/>
        <v>1529487250</v>
      </c>
      <c r="AP10" s="320">
        <f t="shared" si="11"/>
        <v>369727</v>
      </c>
      <c r="AQ10" s="320">
        <f t="shared" si="11"/>
        <v>0</v>
      </c>
      <c r="AR10" s="320">
        <f t="shared" si="11"/>
        <v>0</v>
      </c>
      <c r="AS10" s="320">
        <f t="shared" si="11"/>
        <v>0</v>
      </c>
      <c r="AT10" s="320">
        <f t="shared" si="11"/>
        <v>0</v>
      </c>
      <c r="AU10" s="320">
        <f t="shared" si="11"/>
        <v>0</v>
      </c>
      <c r="AV10" s="320">
        <f t="shared" si="11"/>
        <v>0</v>
      </c>
      <c r="AW10" s="322">
        <f t="shared" si="5"/>
        <v>17787641375</v>
      </c>
      <c r="AX10" s="323">
        <f t="shared" si="6"/>
        <v>4326252</v>
      </c>
      <c r="AY10" s="5"/>
    </row>
    <row r="11" spans="1:59" ht="16.899999999999999" customHeight="1" x14ac:dyDescent="0.25">
      <c r="A11" s="162"/>
      <c r="B11" s="172"/>
      <c r="C11" s="172"/>
      <c r="D11" s="173"/>
      <c r="E11" s="174" t="s">
        <v>171</v>
      </c>
      <c r="F11" s="174" t="s">
        <v>15</v>
      </c>
      <c r="G11" s="175"/>
      <c r="H11" s="176"/>
      <c r="I11" s="177"/>
      <c r="J11" s="177"/>
      <c r="K11" s="177"/>
      <c r="L11" s="177"/>
      <c r="M11" s="178"/>
      <c r="N11" s="6"/>
      <c r="O11" s="488"/>
      <c r="R11" s="316"/>
      <c r="S11" s="310"/>
      <c r="T11" s="317"/>
      <c r="U11" s="324"/>
      <c r="V11" s="325"/>
      <c r="W11" s="728" t="s">
        <v>15</v>
      </c>
      <c r="X11" s="729"/>
      <c r="Y11" s="326"/>
      <c r="Z11" s="327"/>
      <c r="AA11" s="326"/>
      <c r="AB11" s="327"/>
      <c r="AC11" s="326"/>
      <c r="AD11" s="327"/>
      <c r="AE11" s="326"/>
      <c r="AF11" s="327"/>
      <c r="AG11" s="326"/>
      <c r="AH11" s="327"/>
      <c r="AI11" s="326"/>
      <c r="AJ11" s="327"/>
      <c r="AK11" s="327"/>
      <c r="AL11" s="327"/>
      <c r="AM11" s="326"/>
      <c r="AN11" s="328"/>
      <c r="AO11" s="326"/>
      <c r="AP11" s="327"/>
      <c r="AQ11" s="326"/>
      <c r="AR11" s="327"/>
      <c r="AS11" s="326"/>
      <c r="AT11" s="328"/>
      <c r="AU11" s="326"/>
      <c r="AV11" s="327"/>
      <c r="AW11" s="329">
        <f t="shared" si="5"/>
        <v>0</v>
      </c>
      <c r="AX11" s="330">
        <f t="shared" si="6"/>
        <v>0</v>
      </c>
      <c r="AY11" s="5"/>
    </row>
    <row r="12" spans="1:59" ht="16.899999999999999" customHeight="1" x14ac:dyDescent="0.25">
      <c r="A12" s="179"/>
      <c r="B12" s="180"/>
      <c r="C12" s="181"/>
      <c r="D12" s="180">
        <v>1</v>
      </c>
      <c r="E12" s="182" t="s">
        <v>73</v>
      </c>
      <c r="F12" s="151" t="s">
        <v>11</v>
      </c>
      <c r="G12" s="183">
        <v>37400000000</v>
      </c>
      <c r="H12" s="184">
        <f>G12/R12</f>
        <v>9350000</v>
      </c>
      <c r="I12" s="185">
        <f>AW12</f>
        <v>10757004000</v>
      </c>
      <c r="J12" s="184">
        <f>I12/R12</f>
        <v>2689251</v>
      </c>
      <c r="K12" s="185">
        <f>I12-G12</f>
        <v>-26642996000</v>
      </c>
      <c r="L12" s="184">
        <f>J12-H12</f>
        <v>-6660749</v>
      </c>
      <c r="M12" s="186">
        <f>SUM(I12/G12*100)</f>
        <v>28.762042780748665</v>
      </c>
      <c r="N12" s="6"/>
      <c r="O12" s="488"/>
      <c r="P12" s="6"/>
      <c r="Q12" s="6"/>
      <c r="R12" s="331">
        <v>4000</v>
      </c>
      <c r="S12" s="332"/>
      <c r="T12" s="333"/>
      <c r="U12" s="334"/>
      <c r="V12" s="335">
        <v>1</v>
      </c>
      <c r="W12" s="336" t="s">
        <v>73</v>
      </c>
      <c r="X12" s="337" t="s">
        <v>11</v>
      </c>
      <c r="Y12" s="338">
        <f>SUM('[1]JANUARI 26'!AN3)</f>
        <v>1275988000</v>
      </c>
      <c r="Z12" s="339">
        <f>Y12/R12</f>
        <v>318997</v>
      </c>
      <c r="AA12" s="338">
        <f>SUM('[1]FEBRUARI 26'!AN3)</f>
        <v>434096000</v>
      </c>
      <c r="AB12" s="339">
        <f>SUM(AA12/R12)</f>
        <v>108524</v>
      </c>
      <c r="AC12" s="338">
        <f>SUM('[1]MARET 26'!AR3)</f>
        <v>1326024000</v>
      </c>
      <c r="AD12" s="339">
        <f>SUM(AC12/R12)</f>
        <v>331506</v>
      </c>
      <c r="AE12" s="338">
        <f>SUM('[1]APRIL 26'!AL3)</f>
        <v>1203808000</v>
      </c>
      <c r="AF12" s="339">
        <f>SUM(AE12/R12)</f>
        <v>300952</v>
      </c>
      <c r="AG12" s="338">
        <f>SUM('[1]MEI 26'!AP3)</f>
        <v>1489940000</v>
      </c>
      <c r="AH12" s="339">
        <f>SUM(AG12/R12)</f>
        <v>372485</v>
      </c>
      <c r="AI12" s="338">
        <f>SUM('[1]JUNI 26'!AJ3)</f>
        <v>1166488000</v>
      </c>
      <c r="AJ12" s="339">
        <f>SUM(AI12/R12)</f>
        <v>291622</v>
      </c>
      <c r="AK12" s="338">
        <f>SUM('[1]JULI 26'!AM3)</f>
        <v>1655792000</v>
      </c>
      <c r="AL12" s="339">
        <f>SUM(AK12/R12)</f>
        <v>413948</v>
      </c>
      <c r="AM12" s="338">
        <f>SUM('[1]AGUSTUS 26'!AQ3)</f>
        <v>1239444000</v>
      </c>
      <c r="AN12" s="339">
        <f>SUM(AM12/R12)</f>
        <v>309861</v>
      </c>
      <c r="AO12" s="338">
        <f>SUM('[1]SEPTEMBER 26'!AK3)</f>
        <v>965424000</v>
      </c>
      <c r="AP12" s="339">
        <f>SUM(AO12/R12)</f>
        <v>241356</v>
      </c>
      <c r="AQ12" s="338"/>
      <c r="AR12" s="339">
        <f>SUM(AQ12/R12)</f>
        <v>0</v>
      </c>
      <c r="AS12" s="338"/>
      <c r="AT12" s="339">
        <f>SUM(AS12/R12)</f>
        <v>0</v>
      </c>
      <c r="AU12" s="340"/>
      <c r="AV12" s="339"/>
      <c r="AW12" s="341">
        <f t="shared" si="5"/>
        <v>10757004000</v>
      </c>
      <c r="AX12" s="341">
        <f t="shared" si="6"/>
        <v>2689251</v>
      </c>
      <c r="AY12" s="5"/>
    </row>
    <row r="13" spans="1:59" ht="16.899999999999999" customHeight="1" x14ac:dyDescent="0.25">
      <c r="A13" s="179"/>
      <c r="B13" s="180"/>
      <c r="C13" s="181"/>
      <c r="D13" s="180">
        <v>2</v>
      </c>
      <c r="E13" s="187" t="s">
        <v>74</v>
      </c>
      <c r="F13" s="188" t="s">
        <v>12</v>
      </c>
      <c r="G13" s="189">
        <v>11250000000</v>
      </c>
      <c r="H13" s="190">
        <f t="shared" ref="H13:H29" si="12">G13/R13</f>
        <v>3750000</v>
      </c>
      <c r="I13" s="191">
        <f t="shared" ref="I13:I29" si="13">AW13</f>
        <v>2568765000</v>
      </c>
      <c r="J13" s="190">
        <f t="shared" ref="J13:J29" si="14">I13/R13</f>
        <v>856255</v>
      </c>
      <c r="K13" s="191">
        <f t="shared" ref="K13:L29" si="15">I13-G13</f>
        <v>-8681235000</v>
      </c>
      <c r="L13" s="190">
        <f t="shared" si="15"/>
        <v>-2893745</v>
      </c>
      <c r="M13" s="192">
        <f t="shared" ref="M13:M28" si="16">SUM(I13/G13*100)</f>
        <v>22.833466666666666</v>
      </c>
      <c r="N13" s="6"/>
      <c r="O13" s="488"/>
      <c r="P13" s="6"/>
      <c r="Q13" s="6"/>
      <c r="R13" s="331">
        <v>3000</v>
      </c>
      <c r="S13" s="332"/>
      <c r="T13" s="333"/>
      <c r="U13" s="334"/>
      <c r="V13" s="335">
        <v>2</v>
      </c>
      <c r="W13" s="342" t="s">
        <v>74</v>
      </c>
      <c r="X13" s="343" t="s">
        <v>12</v>
      </c>
      <c r="Y13" s="338">
        <f>SUM('[1]JANUARI 26'!AN4)</f>
        <v>331110000</v>
      </c>
      <c r="Z13" s="339">
        <f>Y13/R13</f>
        <v>110370</v>
      </c>
      <c r="AA13" s="338">
        <f>SUM('[1]FEBRUARI 26'!AN4)</f>
        <v>85413000</v>
      </c>
      <c r="AB13" s="339">
        <f>SUM(AA13/R13)</f>
        <v>28471</v>
      </c>
      <c r="AC13" s="338">
        <f>SUM('[1]MARET 26'!AR4)</f>
        <v>375870000</v>
      </c>
      <c r="AD13" s="339">
        <f>SUM(AC13/R13)</f>
        <v>125290</v>
      </c>
      <c r="AE13" s="338">
        <f>SUM('[1]APRIL 26'!AL4)</f>
        <v>285477000</v>
      </c>
      <c r="AF13" s="339">
        <f>SUM(AE13/R13)</f>
        <v>95159</v>
      </c>
      <c r="AG13" s="338">
        <f>SUM('[1]MEI 26'!AP4)</f>
        <v>343857000</v>
      </c>
      <c r="AH13" s="339">
        <f>SUM(AG13/R13)</f>
        <v>114619</v>
      </c>
      <c r="AI13" s="338">
        <f>SUM('[1]JUNI 26'!AJ4)</f>
        <v>294618000</v>
      </c>
      <c r="AJ13" s="339">
        <f>SUM(AI13/R13)</f>
        <v>98206</v>
      </c>
      <c r="AK13" s="338">
        <f>SUM('[1]JULI 26'!AM4)</f>
        <v>439446000</v>
      </c>
      <c r="AL13" s="339">
        <f>SUM(AK13/R13)</f>
        <v>146482</v>
      </c>
      <c r="AM13" s="338">
        <f>SUM('[1]AGUSTUS 26'!AQ4)</f>
        <v>225429000</v>
      </c>
      <c r="AN13" s="339">
        <f>SUM(AM13/R13)</f>
        <v>75143</v>
      </c>
      <c r="AO13" s="338">
        <f>SUM('[1]SEPTEMBER 26'!AK4)</f>
        <v>187545000</v>
      </c>
      <c r="AP13" s="339">
        <f>SUM(AO13/R13)</f>
        <v>62515</v>
      </c>
      <c r="AQ13" s="338"/>
      <c r="AR13" s="339">
        <f>SUM(AQ13/R13)</f>
        <v>0</v>
      </c>
      <c r="AS13" s="338"/>
      <c r="AT13" s="339">
        <f>SUM(AS13/R13)</f>
        <v>0</v>
      </c>
      <c r="AU13" s="340"/>
      <c r="AV13" s="344"/>
      <c r="AW13" s="341">
        <f t="shared" si="5"/>
        <v>2568765000</v>
      </c>
      <c r="AX13" s="341">
        <f t="shared" si="6"/>
        <v>856255</v>
      </c>
      <c r="AY13" s="5"/>
    </row>
    <row r="14" spans="1:59" ht="45" customHeight="1" x14ac:dyDescent="0.25">
      <c r="A14" s="179"/>
      <c r="B14" s="180"/>
      <c r="C14" s="181"/>
      <c r="D14" s="180">
        <v>3</v>
      </c>
      <c r="E14" s="187" t="s">
        <v>84</v>
      </c>
      <c r="F14" s="193" t="s">
        <v>75</v>
      </c>
      <c r="G14" s="189"/>
      <c r="H14" s="190"/>
      <c r="I14" s="191"/>
      <c r="J14" s="190"/>
      <c r="K14" s="191"/>
      <c r="L14" s="190"/>
      <c r="M14" s="192"/>
      <c r="N14" s="6"/>
      <c r="O14" s="488"/>
      <c r="P14" s="6"/>
      <c r="Q14" s="6"/>
      <c r="R14" s="346"/>
      <c r="S14" s="332"/>
      <c r="T14" s="333"/>
      <c r="U14" s="334"/>
      <c r="V14" s="335">
        <v>3</v>
      </c>
      <c r="W14" s="347" t="s">
        <v>84</v>
      </c>
      <c r="X14" s="348" t="s">
        <v>75</v>
      </c>
      <c r="Y14" s="349"/>
      <c r="Z14" s="350"/>
      <c r="AA14" s="349"/>
      <c r="AB14" s="350"/>
      <c r="AC14" s="349"/>
      <c r="AD14" s="350"/>
      <c r="AE14" s="349"/>
      <c r="AF14" s="350"/>
      <c r="AG14" s="349"/>
      <c r="AH14" s="350"/>
      <c r="AI14" s="349"/>
      <c r="AJ14" s="350"/>
      <c r="AK14" s="350"/>
      <c r="AL14" s="350"/>
      <c r="AM14" s="349"/>
      <c r="AN14" s="349"/>
      <c r="AO14" s="351"/>
      <c r="AP14" s="350"/>
      <c r="AQ14" s="351"/>
      <c r="AR14" s="350"/>
      <c r="AS14" s="351"/>
      <c r="AT14" s="350"/>
      <c r="AU14" s="351"/>
      <c r="AV14" s="350"/>
      <c r="AW14" s="341">
        <f t="shared" si="5"/>
        <v>0</v>
      </c>
      <c r="AX14" s="341">
        <f t="shared" si="6"/>
        <v>0</v>
      </c>
      <c r="AY14" s="5"/>
    </row>
    <row r="15" spans="1:59" ht="16.899999999999999" customHeight="1" x14ac:dyDescent="0.25">
      <c r="A15" s="179"/>
      <c r="B15" s="180"/>
      <c r="C15" s="181"/>
      <c r="D15" s="180"/>
      <c r="E15" s="187" t="s">
        <v>76</v>
      </c>
      <c r="F15" s="188" t="s">
        <v>11</v>
      </c>
      <c r="G15" s="189">
        <v>210000000</v>
      </c>
      <c r="H15" s="190">
        <f t="shared" si="12"/>
        <v>70000</v>
      </c>
      <c r="I15" s="191">
        <f t="shared" si="13"/>
        <v>12810000</v>
      </c>
      <c r="J15" s="190">
        <f t="shared" si="14"/>
        <v>4270</v>
      </c>
      <c r="K15" s="191">
        <f t="shared" si="15"/>
        <v>-197190000</v>
      </c>
      <c r="L15" s="190">
        <f t="shared" si="15"/>
        <v>-65730</v>
      </c>
      <c r="M15" s="192">
        <f t="shared" si="16"/>
        <v>6.1</v>
      </c>
      <c r="N15" s="6"/>
      <c r="O15" s="488"/>
      <c r="P15" s="6"/>
      <c r="Q15" s="6"/>
      <c r="R15" s="346">
        <v>3000</v>
      </c>
      <c r="S15" s="332"/>
      <c r="T15" s="333"/>
      <c r="U15" s="334"/>
      <c r="V15" s="335"/>
      <c r="W15" s="342" t="s">
        <v>76</v>
      </c>
      <c r="X15" s="343" t="s">
        <v>11</v>
      </c>
      <c r="Y15" s="338">
        <f>SUM('[1]JANUARI 26'!AN5)</f>
        <v>486000</v>
      </c>
      <c r="Z15" s="339">
        <f>Y15/R15</f>
        <v>162</v>
      </c>
      <c r="AA15" s="338">
        <f>SUM('[1]FEBRUARI 26'!AN5)</f>
        <v>2898000</v>
      </c>
      <c r="AB15" s="344">
        <f>SUM(AA15/R15)</f>
        <v>966</v>
      </c>
      <c r="AC15" s="338">
        <f>SUM('[1]MARET 26'!AR5)</f>
        <v>0</v>
      </c>
      <c r="AD15" s="339">
        <f>SUM(AC15/R15)</f>
        <v>0</v>
      </c>
      <c r="AE15" s="338">
        <f>SUM('[1]APRIL 26'!AL5)</f>
        <v>1083000</v>
      </c>
      <c r="AF15" s="339">
        <f>SUM(AE15/R15)</f>
        <v>361</v>
      </c>
      <c r="AG15" s="338">
        <f>SUM('[1]MEI 26'!AP5)</f>
        <v>1230000</v>
      </c>
      <c r="AH15" s="339">
        <f>SUM(AG15/R15)</f>
        <v>410</v>
      </c>
      <c r="AI15" s="338">
        <f>SUM('[1]JUNI 26'!AJ5)</f>
        <v>2439000</v>
      </c>
      <c r="AJ15" s="339">
        <f>SUM(AI15/R15)</f>
        <v>813</v>
      </c>
      <c r="AK15" s="338">
        <f>SUM('[1]JULI 26'!AM5)</f>
        <v>255000</v>
      </c>
      <c r="AL15" s="339">
        <f>SUM(AK15/R15)</f>
        <v>85</v>
      </c>
      <c r="AM15" s="338">
        <f>SUM('[1]AGUSTUS 26'!AQ5)</f>
        <v>1296000</v>
      </c>
      <c r="AN15" s="339">
        <f>SUM(AM15/R15)</f>
        <v>432</v>
      </c>
      <c r="AO15" s="338">
        <f>SUM('[1]SEPTEMBER 26'!AK5)</f>
        <v>3123000</v>
      </c>
      <c r="AP15" s="339">
        <f t="shared" ref="AP15:AP16" si="17">SUM(AO15/R15)</f>
        <v>1041</v>
      </c>
      <c r="AQ15" s="338"/>
      <c r="AR15" s="339">
        <f>SUM(AQ15/R15)</f>
        <v>0</v>
      </c>
      <c r="AS15" s="338"/>
      <c r="AT15" s="339">
        <f>SUM(AS15/R15)</f>
        <v>0</v>
      </c>
      <c r="AU15" s="340"/>
      <c r="AV15" s="344"/>
      <c r="AW15" s="341">
        <f t="shared" si="5"/>
        <v>12810000</v>
      </c>
      <c r="AX15" s="341">
        <f t="shared" si="6"/>
        <v>4270</v>
      </c>
      <c r="AY15" s="5"/>
    </row>
    <row r="16" spans="1:59" ht="16.899999999999999" customHeight="1" x14ac:dyDescent="0.25">
      <c r="A16" s="179"/>
      <c r="B16" s="180"/>
      <c r="C16" s="181"/>
      <c r="D16" s="180"/>
      <c r="E16" s="194" t="s">
        <v>77</v>
      </c>
      <c r="F16" s="195" t="s">
        <v>12</v>
      </c>
      <c r="G16" s="196">
        <v>223998750</v>
      </c>
      <c r="H16" s="197">
        <f t="shared" si="12"/>
        <v>99555</v>
      </c>
      <c r="I16" s="198">
        <f t="shared" si="13"/>
        <v>30307500</v>
      </c>
      <c r="J16" s="197">
        <f t="shared" si="14"/>
        <v>13470</v>
      </c>
      <c r="K16" s="198">
        <f t="shared" si="15"/>
        <v>-193691250</v>
      </c>
      <c r="L16" s="197">
        <f t="shared" si="15"/>
        <v>-86085</v>
      </c>
      <c r="M16" s="199">
        <f t="shared" si="16"/>
        <v>13.530209431972276</v>
      </c>
      <c r="N16" s="6"/>
      <c r="O16" s="488"/>
      <c r="P16" s="6"/>
      <c r="Q16" s="6"/>
      <c r="R16" s="346">
        <v>2250</v>
      </c>
      <c r="S16" s="332"/>
      <c r="T16" s="333"/>
      <c r="U16" s="334"/>
      <c r="V16" s="335"/>
      <c r="W16" s="352" t="s">
        <v>77</v>
      </c>
      <c r="X16" s="353" t="s">
        <v>12</v>
      </c>
      <c r="Y16" s="338">
        <f>SUM('[1]JANUARI 26'!AN6)</f>
        <v>6815250</v>
      </c>
      <c r="Z16" s="339">
        <f>Y16/R16</f>
        <v>3029</v>
      </c>
      <c r="AA16" s="338">
        <f>SUM('[1]FEBRUARI 26'!AN6)</f>
        <v>2601000</v>
      </c>
      <c r="AB16" s="344">
        <f>SUM(AA16/R16)</f>
        <v>1156</v>
      </c>
      <c r="AC16" s="338">
        <f>SUM('[1]MARET 26'!AR6)</f>
        <v>168750</v>
      </c>
      <c r="AD16" s="339">
        <f>SUM(AC16/R16)</f>
        <v>75</v>
      </c>
      <c r="AE16" s="338">
        <f>SUM('[1]APRIL 26'!AL6)</f>
        <v>6923250</v>
      </c>
      <c r="AF16" s="339">
        <f>SUM(AE16/R16)</f>
        <v>3077</v>
      </c>
      <c r="AG16" s="338">
        <f>SUM('[1]MEI 26'!AP6)</f>
        <v>4979250</v>
      </c>
      <c r="AH16" s="339">
        <f>SUM(AG16/R16)</f>
        <v>2213</v>
      </c>
      <c r="AI16" s="338">
        <f>SUM('[1]JUNI 26'!AJ6)</f>
        <v>4036500</v>
      </c>
      <c r="AJ16" s="339">
        <f>SUM(AI16/R16)</f>
        <v>1794</v>
      </c>
      <c r="AK16" s="338">
        <f>SUM('[1]JULI 26'!AM6)</f>
        <v>301500</v>
      </c>
      <c r="AL16" s="339">
        <f>SUM(AK16/R16)</f>
        <v>134</v>
      </c>
      <c r="AM16" s="338">
        <f>SUM('[1]AGUSTUS 26'!AQ6)</f>
        <v>1694250</v>
      </c>
      <c r="AN16" s="339">
        <f>SUM(AM16/R16)</f>
        <v>753</v>
      </c>
      <c r="AO16" s="338">
        <f>SUM('[1]SEPTEMBER 26'!AK6)</f>
        <v>2787750</v>
      </c>
      <c r="AP16" s="339">
        <f t="shared" si="17"/>
        <v>1239</v>
      </c>
      <c r="AQ16" s="338"/>
      <c r="AR16" s="339">
        <f>SUM(AQ16/R16)</f>
        <v>0</v>
      </c>
      <c r="AS16" s="338"/>
      <c r="AT16" s="339">
        <f>SUM(AS16/R16)</f>
        <v>0</v>
      </c>
      <c r="AU16" s="340"/>
      <c r="AV16" s="354"/>
      <c r="AW16" s="356">
        <f t="shared" si="5"/>
        <v>30307500</v>
      </c>
      <c r="AX16" s="356">
        <f t="shared" si="6"/>
        <v>13470</v>
      </c>
      <c r="AY16" s="5"/>
    </row>
    <row r="17" spans="1:51" ht="16.899999999999999" customHeight="1" x14ac:dyDescent="0.25">
      <c r="A17" s="179"/>
      <c r="B17" s="200"/>
      <c r="C17" s="200"/>
      <c r="D17" s="201"/>
      <c r="E17" s="202" t="s">
        <v>172</v>
      </c>
      <c r="F17" s="202" t="s">
        <v>14</v>
      </c>
      <c r="G17" s="203"/>
      <c r="H17" s="204"/>
      <c r="I17" s="205"/>
      <c r="J17" s="204"/>
      <c r="K17" s="205"/>
      <c r="L17" s="204"/>
      <c r="M17" s="206"/>
      <c r="N17" s="6"/>
      <c r="O17" s="488"/>
      <c r="P17" s="6"/>
      <c r="Q17" s="6"/>
      <c r="R17" s="346"/>
      <c r="S17" s="332"/>
      <c r="T17" s="333"/>
      <c r="U17" s="334"/>
      <c r="V17" s="335"/>
      <c r="W17" s="702" t="s">
        <v>14</v>
      </c>
      <c r="X17" s="703"/>
      <c r="Y17" s="357"/>
      <c r="Z17" s="358"/>
      <c r="AA17" s="357"/>
      <c r="AB17" s="358"/>
      <c r="AC17" s="357"/>
      <c r="AD17" s="358"/>
      <c r="AE17" s="357"/>
      <c r="AF17" s="358"/>
      <c r="AG17" s="357"/>
      <c r="AH17" s="358"/>
      <c r="AI17" s="357"/>
      <c r="AJ17" s="358"/>
      <c r="AK17" s="357"/>
      <c r="AL17" s="358"/>
      <c r="AM17" s="357"/>
      <c r="AN17" s="358"/>
      <c r="AO17" s="357"/>
      <c r="AP17" s="358"/>
      <c r="AQ17" s="357"/>
      <c r="AR17" s="358"/>
      <c r="AS17" s="357"/>
      <c r="AT17" s="358"/>
      <c r="AU17" s="357"/>
      <c r="AV17" s="358"/>
      <c r="AW17" s="359"/>
      <c r="AX17" s="360"/>
      <c r="AY17" s="5"/>
    </row>
    <row r="18" spans="1:51" ht="16.899999999999999" customHeight="1" x14ac:dyDescent="0.25">
      <c r="A18" s="179"/>
      <c r="B18" s="180"/>
      <c r="C18" s="181"/>
      <c r="D18" s="180"/>
      <c r="E18" s="207" t="s">
        <v>78</v>
      </c>
      <c r="F18" s="208" t="s">
        <v>79</v>
      </c>
      <c r="G18" s="209"/>
      <c r="H18" s="210"/>
      <c r="I18" s="211"/>
      <c r="J18" s="210"/>
      <c r="K18" s="211"/>
      <c r="L18" s="210">
        <f t="shared" si="15"/>
        <v>0</v>
      </c>
      <c r="M18" s="212"/>
      <c r="N18" s="6"/>
      <c r="O18" s="488"/>
      <c r="P18" s="6"/>
      <c r="Q18" s="6"/>
      <c r="R18" s="346"/>
      <c r="S18" s="332"/>
      <c r="T18" s="333"/>
      <c r="U18" s="334"/>
      <c r="V18" s="335"/>
      <c r="W18" s="361" t="s">
        <v>78</v>
      </c>
      <c r="X18" s="362" t="s">
        <v>79</v>
      </c>
      <c r="Y18" s="357"/>
      <c r="Z18" s="363"/>
      <c r="AA18" s="357"/>
      <c r="AB18" s="363"/>
      <c r="AC18" s="357"/>
      <c r="AD18" s="363"/>
      <c r="AE18" s="357"/>
      <c r="AF18" s="363"/>
      <c r="AG18" s="357"/>
      <c r="AH18" s="363"/>
      <c r="AI18" s="357"/>
      <c r="AJ18" s="363"/>
      <c r="AK18" s="363"/>
      <c r="AL18" s="363"/>
      <c r="AM18" s="357"/>
      <c r="AN18" s="357"/>
      <c r="AO18" s="364"/>
      <c r="AP18" s="363"/>
      <c r="AQ18" s="364"/>
      <c r="AR18" s="363"/>
      <c r="AS18" s="364"/>
      <c r="AT18" s="363"/>
      <c r="AU18" s="364"/>
      <c r="AV18" s="363"/>
      <c r="AW18" s="359">
        <f t="shared" ref="AW18:AW30" si="18">SUM(Y18+AA18+AC18+AE18+AG18+AI18+AK18+AM18+AO18+AQ18+AS18+AU18)</f>
        <v>0</v>
      </c>
      <c r="AX18" s="360">
        <f t="shared" ref="AX18:AX30" si="19">Z18+AB18+AD18+AF18+AH18+AJ18+AL18+AN18+AP18+AR18+AT18+AV18</f>
        <v>0</v>
      </c>
      <c r="AY18" s="5"/>
    </row>
    <row r="19" spans="1:51" ht="16.899999999999999" customHeight="1" x14ac:dyDescent="0.25">
      <c r="A19" s="179"/>
      <c r="B19" s="180"/>
      <c r="C19" s="181"/>
      <c r="D19" s="180"/>
      <c r="E19" s="187" t="s">
        <v>80</v>
      </c>
      <c r="F19" s="213" t="s">
        <v>56</v>
      </c>
      <c r="G19" s="189">
        <v>0</v>
      </c>
      <c r="H19" s="190">
        <f t="shared" si="12"/>
        <v>0</v>
      </c>
      <c r="I19" s="191">
        <f t="shared" si="13"/>
        <v>0</v>
      </c>
      <c r="J19" s="190">
        <f t="shared" si="14"/>
        <v>0</v>
      </c>
      <c r="K19" s="191">
        <f t="shared" si="15"/>
        <v>0</v>
      </c>
      <c r="L19" s="190">
        <f t="shared" si="15"/>
        <v>0</v>
      </c>
      <c r="M19" s="192">
        <v>0</v>
      </c>
      <c r="N19" s="6"/>
      <c r="O19" s="488"/>
      <c r="P19" s="6"/>
      <c r="Q19" s="6"/>
      <c r="R19" s="346">
        <v>5000</v>
      </c>
      <c r="S19" s="332"/>
      <c r="T19" s="333"/>
      <c r="U19" s="334"/>
      <c r="V19" s="335"/>
      <c r="W19" s="365" t="s">
        <v>80</v>
      </c>
      <c r="X19" s="366" t="s">
        <v>56</v>
      </c>
      <c r="Y19" s="338">
        <f>SUM('[1]JANUARI 26'!AN7)</f>
        <v>0</v>
      </c>
      <c r="Z19" s="339">
        <f>Y19/R19</f>
        <v>0</v>
      </c>
      <c r="AA19" s="338">
        <f>SUM('[1]FEBRUARI 26'!AN7)</f>
        <v>0</v>
      </c>
      <c r="AB19" s="339">
        <f>SUM(AA19/R19)</f>
        <v>0</v>
      </c>
      <c r="AC19" s="338">
        <f>SUM('[1]MARET 26'!AR7)</f>
        <v>0</v>
      </c>
      <c r="AD19" s="339">
        <f>SUM(AC19/R19)</f>
        <v>0</v>
      </c>
      <c r="AE19" s="338">
        <f>SUM('[1]APRIL 26'!AL7)</f>
        <v>0</v>
      </c>
      <c r="AF19" s="339">
        <f>SUM(AE19/R19)</f>
        <v>0</v>
      </c>
      <c r="AG19" s="338">
        <f>SUM('[1]MEI 26'!AP7)</f>
        <v>0</v>
      </c>
      <c r="AH19" s="339">
        <f>SUM(AG19/R19)</f>
        <v>0</v>
      </c>
      <c r="AI19" s="338">
        <f>SUM('[1]JUNI 26'!AJ7)</f>
        <v>0</v>
      </c>
      <c r="AJ19" s="339">
        <f>SUM(AI19/R19)</f>
        <v>0</v>
      </c>
      <c r="AK19" s="338">
        <f>SUM('[1]JULI 26'!AM7)</f>
        <v>0</v>
      </c>
      <c r="AL19" s="339">
        <f>SUM(AK19/R19)</f>
        <v>0</v>
      </c>
      <c r="AM19" s="338">
        <f>SUM('[1]AGUSTUS 26'!AQ7)</f>
        <v>0</v>
      </c>
      <c r="AN19" s="339">
        <f>SUM(AM19/R19)</f>
        <v>0</v>
      </c>
      <c r="AO19" s="338">
        <f>SUM('[1]SEPTEMBER 26'!AK7)</f>
        <v>0</v>
      </c>
      <c r="AP19" s="339">
        <f t="shared" ref="AP19:AP22" si="20">SUM(AO19/R19)</f>
        <v>0</v>
      </c>
      <c r="AQ19" s="338"/>
      <c r="AR19" s="339">
        <f>SUM(AQ19/R19)</f>
        <v>0</v>
      </c>
      <c r="AS19" s="338"/>
      <c r="AT19" s="339">
        <f>SUM(AS19/R19)</f>
        <v>0</v>
      </c>
      <c r="AU19" s="340"/>
      <c r="AV19" s="339"/>
      <c r="AW19" s="341">
        <f t="shared" si="18"/>
        <v>0</v>
      </c>
      <c r="AX19" s="341">
        <f t="shared" si="19"/>
        <v>0</v>
      </c>
      <c r="AY19" s="5"/>
    </row>
    <row r="20" spans="1:51" ht="16.899999999999999" customHeight="1" x14ac:dyDescent="0.25">
      <c r="A20" s="179"/>
      <c r="B20" s="180"/>
      <c r="C20" s="181"/>
      <c r="D20" s="180"/>
      <c r="E20" s="187" t="s">
        <v>81</v>
      </c>
      <c r="F20" s="213" t="s">
        <v>57</v>
      </c>
      <c r="G20" s="189">
        <v>0</v>
      </c>
      <c r="H20" s="190">
        <f t="shared" si="12"/>
        <v>0</v>
      </c>
      <c r="I20" s="191">
        <f t="shared" si="13"/>
        <v>0</v>
      </c>
      <c r="J20" s="190">
        <f t="shared" si="14"/>
        <v>0</v>
      </c>
      <c r="K20" s="191">
        <f t="shared" si="15"/>
        <v>0</v>
      </c>
      <c r="L20" s="190">
        <f t="shared" si="15"/>
        <v>0</v>
      </c>
      <c r="M20" s="192">
        <v>0</v>
      </c>
      <c r="N20" s="6"/>
      <c r="O20" s="488"/>
      <c r="P20" s="6"/>
      <c r="Q20" s="6"/>
      <c r="R20" s="346">
        <v>7500</v>
      </c>
      <c r="S20" s="332"/>
      <c r="T20" s="333"/>
      <c r="U20" s="334"/>
      <c r="V20" s="335"/>
      <c r="W20" s="342" t="s">
        <v>81</v>
      </c>
      <c r="X20" s="367" t="s">
        <v>57</v>
      </c>
      <c r="Y20" s="338">
        <f>SUM('[1]JANUARI 26'!AN8)</f>
        <v>0</v>
      </c>
      <c r="Z20" s="339">
        <f t="shared" ref="Z20:Z22" si="21">Y20/R20</f>
        <v>0</v>
      </c>
      <c r="AA20" s="338">
        <f>SUM('[1]FEBRUARI 26'!AN8)</f>
        <v>0</v>
      </c>
      <c r="AB20" s="339">
        <f t="shared" ref="AB20:AB22" si="22">SUM(AA20/R20)</f>
        <v>0</v>
      </c>
      <c r="AC20" s="338">
        <f>SUM('[1]MARET 26'!AR8)</f>
        <v>0</v>
      </c>
      <c r="AD20" s="339">
        <f t="shared" ref="AD20:AD22" si="23">SUM(AC20/R20)</f>
        <v>0</v>
      </c>
      <c r="AE20" s="338">
        <f>SUM('[1]APRIL 26'!AL8)</f>
        <v>0</v>
      </c>
      <c r="AF20" s="339">
        <f t="shared" ref="AF20:AF29" si="24">SUM(AE20/R20)</f>
        <v>0</v>
      </c>
      <c r="AG20" s="338">
        <f>SUM('[1]MEI 26'!AP8)</f>
        <v>0</v>
      </c>
      <c r="AH20" s="339">
        <f t="shared" ref="AH20:AH22" si="25">SUM(AG20/R20)</f>
        <v>0</v>
      </c>
      <c r="AI20" s="338">
        <f>SUM('[1]JUNI 26'!AJ8)</f>
        <v>0</v>
      </c>
      <c r="AJ20" s="339">
        <f t="shared" ref="AJ20:AJ22" si="26">SUM(AI20/R20)</f>
        <v>0</v>
      </c>
      <c r="AK20" s="338">
        <f>SUM('[1]JULI 26'!AM8)</f>
        <v>0</v>
      </c>
      <c r="AL20" s="339">
        <f t="shared" ref="AL20:AL22" si="27">SUM(AK20/R20)</f>
        <v>0</v>
      </c>
      <c r="AM20" s="338">
        <f>SUM('[1]AGUSTUS 26'!AQ8)</f>
        <v>0</v>
      </c>
      <c r="AN20" s="339">
        <f t="shared" ref="AN20:AN29" si="28">SUM(AM20/R20)</f>
        <v>0</v>
      </c>
      <c r="AO20" s="338">
        <f>SUM('[1]SEPTEMBER 26'!AK8)</f>
        <v>0</v>
      </c>
      <c r="AP20" s="339">
        <f t="shared" si="20"/>
        <v>0</v>
      </c>
      <c r="AQ20" s="338"/>
      <c r="AR20" s="339">
        <f t="shared" ref="AR20:AR22" si="29">SUM(AQ20/R20)</f>
        <v>0</v>
      </c>
      <c r="AS20" s="338"/>
      <c r="AT20" s="339">
        <f t="shared" ref="AT20:AT22" si="30">SUM(AS20/R20)</f>
        <v>0</v>
      </c>
      <c r="AU20" s="340"/>
      <c r="AV20" s="344"/>
      <c r="AW20" s="341">
        <f t="shared" si="18"/>
        <v>0</v>
      </c>
      <c r="AX20" s="341">
        <f t="shared" si="19"/>
        <v>0</v>
      </c>
      <c r="AY20" s="5"/>
    </row>
    <row r="21" spans="1:51" ht="16.899999999999999" customHeight="1" x14ac:dyDescent="0.25">
      <c r="A21" s="179"/>
      <c r="B21" s="180"/>
      <c r="C21" s="181"/>
      <c r="D21" s="180"/>
      <c r="E21" s="187" t="s">
        <v>82</v>
      </c>
      <c r="F21" s="213" t="s">
        <v>58</v>
      </c>
      <c r="G21" s="189">
        <v>0</v>
      </c>
      <c r="H21" s="190">
        <f t="shared" si="12"/>
        <v>0</v>
      </c>
      <c r="I21" s="191">
        <f t="shared" si="13"/>
        <v>0</v>
      </c>
      <c r="J21" s="190">
        <f t="shared" si="14"/>
        <v>0</v>
      </c>
      <c r="K21" s="191">
        <f t="shared" si="15"/>
        <v>0</v>
      </c>
      <c r="L21" s="190">
        <f t="shared" si="15"/>
        <v>0</v>
      </c>
      <c r="M21" s="192">
        <v>0</v>
      </c>
      <c r="N21" s="6"/>
      <c r="O21" s="488"/>
      <c r="P21" s="6"/>
      <c r="Q21" s="6"/>
      <c r="R21" s="346">
        <v>7500</v>
      </c>
      <c r="S21" s="332"/>
      <c r="T21" s="333"/>
      <c r="U21" s="334"/>
      <c r="V21" s="335"/>
      <c r="W21" s="342" t="s">
        <v>82</v>
      </c>
      <c r="X21" s="367" t="s">
        <v>58</v>
      </c>
      <c r="Y21" s="338">
        <f>SUM('[1]JANUARI 26'!AN9)</f>
        <v>0</v>
      </c>
      <c r="Z21" s="339">
        <f t="shared" si="21"/>
        <v>0</v>
      </c>
      <c r="AA21" s="338">
        <f>SUM('[1]FEBRUARI 26'!AN9)</f>
        <v>0</v>
      </c>
      <c r="AB21" s="339">
        <f t="shared" si="22"/>
        <v>0</v>
      </c>
      <c r="AC21" s="338">
        <f>SUM('[1]MARET 26'!AR9)</f>
        <v>0</v>
      </c>
      <c r="AD21" s="339">
        <f t="shared" si="23"/>
        <v>0</v>
      </c>
      <c r="AE21" s="338">
        <f>SUM('[1]APRIL 26'!AL9)</f>
        <v>0</v>
      </c>
      <c r="AF21" s="339">
        <f t="shared" si="24"/>
        <v>0</v>
      </c>
      <c r="AG21" s="338">
        <f>SUM('[1]MEI 26'!AP9)</f>
        <v>0</v>
      </c>
      <c r="AH21" s="339">
        <f t="shared" si="25"/>
        <v>0</v>
      </c>
      <c r="AI21" s="338">
        <f>SUM('[1]JUNI 26'!AJ9)</f>
        <v>0</v>
      </c>
      <c r="AJ21" s="339">
        <f t="shared" si="26"/>
        <v>0</v>
      </c>
      <c r="AK21" s="338">
        <f>SUM('[1]JULI 26'!AM9)</f>
        <v>0</v>
      </c>
      <c r="AL21" s="339">
        <f t="shared" si="27"/>
        <v>0</v>
      </c>
      <c r="AM21" s="338">
        <f>SUM('[1]AGUSTUS 26'!AQ9)</f>
        <v>0</v>
      </c>
      <c r="AN21" s="339">
        <f t="shared" si="28"/>
        <v>0</v>
      </c>
      <c r="AO21" s="338">
        <f>SUM('[1]SEPTEMBER 26'!AK9)</f>
        <v>0</v>
      </c>
      <c r="AP21" s="339">
        <f t="shared" si="20"/>
        <v>0</v>
      </c>
      <c r="AQ21" s="338"/>
      <c r="AR21" s="339">
        <f t="shared" si="29"/>
        <v>0</v>
      </c>
      <c r="AS21" s="338"/>
      <c r="AT21" s="339">
        <f t="shared" si="30"/>
        <v>0</v>
      </c>
      <c r="AU21" s="340"/>
      <c r="AV21" s="344"/>
      <c r="AW21" s="341">
        <f t="shared" si="18"/>
        <v>0</v>
      </c>
      <c r="AX21" s="341">
        <f t="shared" si="19"/>
        <v>0</v>
      </c>
      <c r="AY21" s="5"/>
    </row>
    <row r="22" spans="1:51" ht="16.899999999999999" customHeight="1" x14ac:dyDescent="0.25">
      <c r="A22" s="179"/>
      <c r="B22" s="180"/>
      <c r="C22" s="181"/>
      <c r="D22" s="180"/>
      <c r="E22" s="187" t="s">
        <v>83</v>
      </c>
      <c r="F22" s="213" t="s">
        <v>59</v>
      </c>
      <c r="G22" s="189">
        <v>6160732500</v>
      </c>
      <c r="H22" s="190">
        <f t="shared" si="12"/>
        <v>2464293</v>
      </c>
      <c r="I22" s="191">
        <f t="shared" si="13"/>
        <v>544775000</v>
      </c>
      <c r="J22" s="190">
        <f t="shared" si="14"/>
        <v>217910</v>
      </c>
      <c r="K22" s="191">
        <f t="shared" si="15"/>
        <v>-5615957500</v>
      </c>
      <c r="L22" s="190">
        <f t="shared" si="15"/>
        <v>-2246383</v>
      </c>
      <c r="M22" s="192">
        <f t="shared" si="16"/>
        <v>8.8426984940508291</v>
      </c>
      <c r="N22" s="6"/>
      <c r="O22" s="488"/>
      <c r="P22" s="6"/>
      <c r="Q22" s="6"/>
      <c r="R22" s="346">
        <v>2500</v>
      </c>
      <c r="S22" s="332"/>
      <c r="T22" s="333"/>
      <c r="U22" s="334"/>
      <c r="V22" s="335"/>
      <c r="W22" s="342" t="s">
        <v>83</v>
      </c>
      <c r="X22" s="367" t="s">
        <v>59</v>
      </c>
      <c r="Y22" s="338">
        <f>SUM('[1]JANUARI 26'!AN10)</f>
        <v>56197500</v>
      </c>
      <c r="Z22" s="339">
        <f t="shared" si="21"/>
        <v>22479</v>
      </c>
      <c r="AA22" s="338">
        <f>SUM('[1]FEBRUARI 26'!AN10)</f>
        <v>22917500</v>
      </c>
      <c r="AB22" s="339">
        <f t="shared" si="22"/>
        <v>9167</v>
      </c>
      <c r="AC22" s="338">
        <f>SUM('[1]MARET 26'!AR10)</f>
        <v>55480000</v>
      </c>
      <c r="AD22" s="339">
        <f t="shared" si="23"/>
        <v>22192</v>
      </c>
      <c r="AE22" s="338">
        <f>SUM('[1]APRIL 26'!AL10)</f>
        <v>59640000</v>
      </c>
      <c r="AF22" s="339">
        <f t="shared" si="24"/>
        <v>23856</v>
      </c>
      <c r="AG22" s="338">
        <f>SUM('[1]MEI 26'!AP10)</f>
        <v>77042500</v>
      </c>
      <c r="AH22" s="339">
        <f t="shared" si="25"/>
        <v>30817</v>
      </c>
      <c r="AI22" s="338">
        <f>SUM('[1]JUNI 26'!AJ10)</f>
        <v>88975000</v>
      </c>
      <c r="AJ22" s="339">
        <f t="shared" si="26"/>
        <v>35590</v>
      </c>
      <c r="AK22" s="338">
        <f>SUM('[1]JULI 26'!AM10)</f>
        <v>80670000</v>
      </c>
      <c r="AL22" s="339">
        <f t="shared" si="27"/>
        <v>32268</v>
      </c>
      <c r="AM22" s="338">
        <f>SUM('[1]AGUSTUS 26'!AQ10)</f>
        <v>59367500</v>
      </c>
      <c r="AN22" s="339">
        <f t="shared" si="28"/>
        <v>23747</v>
      </c>
      <c r="AO22" s="338">
        <f>SUM('[1]SEPTEMBER 26'!AK10)</f>
        <v>44485000</v>
      </c>
      <c r="AP22" s="339">
        <f t="shared" si="20"/>
        <v>17794</v>
      </c>
      <c r="AQ22" s="338"/>
      <c r="AR22" s="339">
        <f t="shared" si="29"/>
        <v>0</v>
      </c>
      <c r="AS22" s="338"/>
      <c r="AT22" s="339">
        <f t="shared" si="30"/>
        <v>0</v>
      </c>
      <c r="AU22" s="340"/>
      <c r="AV22" s="344"/>
      <c r="AW22" s="341">
        <f t="shared" si="18"/>
        <v>544775000</v>
      </c>
      <c r="AX22" s="341">
        <f t="shared" si="19"/>
        <v>217910</v>
      </c>
      <c r="AY22" s="5"/>
    </row>
    <row r="23" spans="1:51" ht="16.899999999999999" customHeight="1" x14ac:dyDescent="0.25">
      <c r="A23" s="179"/>
      <c r="B23" s="180"/>
      <c r="C23" s="181"/>
      <c r="D23" s="180"/>
      <c r="E23" s="187" t="s">
        <v>85</v>
      </c>
      <c r="F23" s="188" t="s">
        <v>86</v>
      </c>
      <c r="G23" s="189"/>
      <c r="H23" s="190"/>
      <c r="I23" s="191"/>
      <c r="J23" s="190"/>
      <c r="K23" s="191"/>
      <c r="L23" s="190"/>
      <c r="M23" s="192"/>
      <c r="N23" s="6"/>
      <c r="O23" s="488"/>
      <c r="P23" s="6"/>
      <c r="Q23" s="6"/>
      <c r="R23" s="346"/>
      <c r="S23" s="332"/>
      <c r="T23" s="333"/>
      <c r="U23" s="334"/>
      <c r="V23" s="335"/>
      <c r="W23" s="347" t="s">
        <v>85</v>
      </c>
      <c r="X23" s="368" t="s">
        <v>86</v>
      </c>
      <c r="Y23" s="349"/>
      <c r="Z23" s="350"/>
      <c r="AA23" s="349"/>
      <c r="AB23" s="350"/>
      <c r="AC23" s="349"/>
      <c r="AD23" s="350"/>
      <c r="AE23" s="349"/>
      <c r="AF23" s="350"/>
      <c r="AG23" s="349"/>
      <c r="AH23" s="350"/>
      <c r="AI23" s="349"/>
      <c r="AJ23" s="350"/>
      <c r="AK23" s="350"/>
      <c r="AL23" s="350"/>
      <c r="AM23" s="349"/>
      <c r="AN23" s="349"/>
      <c r="AO23" s="351"/>
      <c r="AP23" s="350"/>
      <c r="AQ23" s="351"/>
      <c r="AR23" s="350"/>
      <c r="AS23" s="351"/>
      <c r="AT23" s="350"/>
      <c r="AU23" s="351"/>
      <c r="AV23" s="350"/>
      <c r="AW23" s="341">
        <f t="shared" si="18"/>
        <v>0</v>
      </c>
      <c r="AX23" s="341">
        <f t="shared" si="19"/>
        <v>0</v>
      </c>
      <c r="AY23" s="5"/>
    </row>
    <row r="24" spans="1:51" ht="16.899999999999999" customHeight="1" x14ac:dyDescent="0.25">
      <c r="A24" s="179"/>
      <c r="B24" s="180"/>
      <c r="C24" s="181"/>
      <c r="D24" s="180"/>
      <c r="E24" s="187" t="s">
        <v>87</v>
      </c>
      <c r="F24" s="188" t="s">
        <v>177</v>
      </c>
      <c r="G24" s="189">
        <v>6000000000</v>
      </c>
      <c r="H24" s="190">
        <f t="shared" si="12"/>
        <v>1000000</v>
      </c>
      <c r="I24" s="191">
        <f t="shared" si="13"/>
        <v>813876000</v>
      </c>
      <c r="J24" s="190">
        <f t="shared" si="14"/>
        <v>135646</v>
      </c>
      <c r="K24" s="191">
        <f t="shared" si="15"/>
        <v>-5186124000</v>
      </c>
      <c r="L24" s="190">
        <f t="shared" si="15"/>
        <v>-864354</v>
      </c>
      <c r="M24" s="192">
        <f t="shared" si="16"/>
        <v>13.564599999999999</v>
      </c>
      <c r="N24" s="6"/>
      <c r="O24" s="488"/>
      <c r="P24" s="6"/>
      <c r="Q24" s="6"/>
      <c r="R24" s="346">
        <v>6000</v>
      </c>
      <c r="S24" s="332"/>
      <c r="T24" s="333"/>
      <c r="U24" s="334"/>
      <c r="V24" s="335"/>
      <c r="W24" s="342" t="s">
        <v>87</v>
      </c>
      <c r="X24" s="343" t="s">
        <v>88</v>
      </c>
      <c r="Y24" s="331">
        <f>SUM('[1]JANUARI 26'!$AN$11+'[1]JANUARI 26'!$AN$12)</f>
        <v>93750000</v>
      </c>
      <c r="Z24" s="339">
        <f>Y24/R24</f>
        <v>15625</v>
      </c>
      <c r="AA24" s="331">
        <f>SUM('[1]FEBRUARI 26'!$AN$11+'[1]FEBRUARI 26'!$AN$12)</f>
        <v>28416000</v>
      </c>
      <c r="AB24" s="344">
        <f>SUM(AA24/R24)</f>
        <v>4736</v>
      </c>
      <c r="AC24" s="331">
        <f>SUM('[1]MARET 26'!$AR$11+'[1]MARET 26'!$AR$12)</f>
        <v>89352000</v>
      </c>
      <c r="AD24" s="339">
        <f>SUM(AC24/R24)</f>
        <v>14892</v>
      </c>
      <c r="AE24" s="331">
        <f>SUM('[1]APRIL 26'!$AL$11+'[1]APRIL 26'!$AL$12)</f>
        <v>71448000</v>
      </c>
      <c r="AF24" s="339">
        <f t="shared" si="24"/>
        <v>11908</v>
      </c>
      <c r="AG24" s="331">
        <f>SUM('[1]MEI 26'!$AP$11+'[1]MEI 26'!$AP$12)</f>
        <v>44862000</v>
      </c>
      <c r="AH24" s="339">
        <f>SUM(AG24/R24)</f>
        <v>7477</v>
      </c>
      <c r="AI24" s="331">
        <f>SUM('[1]JUNI 26'!$AJ$11+'[1]JUNI 26'!$AJ$12)</f>
        <v>157500000</v>
      </c>
      <c r="AJ24" s="339">
        <f>SUM(AI24/R24)</f>
        <v>26250</v>
      </c>
      <c r="AK24" s="331">
        <f>SUM('[1]JULI 26'!$AM$11+'[1]JULI 26'!$AM$12)</f>
        <v>218952000</v>
      </c>
      <c r="AL24" s="339">
        <f>SUM(AK24/R24)</f>
        <v>36492</v>
      </c>
      <c r="AM24" s="331">
        <f>SUM('[1]AGUSTUS 26'!$AQ$11+'[1]AGUSTUS 26'!$AQ$12)</f>
        <v>49890000</v>
      </c>
      <c r="AN24" s="339">
        <f t="shared" si="28"/>
        <v>8315</v>
      </c>
      <c r="AO24" s="331">
        <f>SUM('[1]SEPTEMBER 26'!$AK$11+'[1]SEPTEMBER 26'!$AK$12)</f>
        <v>59706000</v>
      </c>
      <c r="AP24" s="339">
        <f t="shared" ref="AP24:AP25" si="31">SUM(AO24/R24)</f>
        <v>9951</v>
      </c>
      <c r="AQ24" s="331"/>
      <c r="AR24" s="339">
        <f>SUM(AQ24/R24)</f>
        <v>0</v>
      </c>
      <c r="AS24" s="345"/>
      <c r="AT24" s="339">
        <f>SUM(AS24/R24)</f>
        <v>0</v>
      </c>
      <c r="AU24" s="345"/>
      <c r="AV24" s="344"/>
      <c r="AW24" s="341">
        <f t="shared" si="18"/>
        <v>813876000</v>
      </c>
      <c r="AX24" s="341">
        <f t="shared" si="19"/>
        <v>135646</v>
      </c>
      <c r="AY24" s="5"/>
    </row>
    <row r="25" spans="1:51" ht="16.899999999999999" customHeight="1" x14ac:dyDescent="0.25">
      <c r="A25" s="179"/>
      <c r="B25" s="180"/>
      <c r="C25" s="181"/>
      <c r="D25" s="180"/>
      <c r="E25" s="187" t="s">
        <v>89</v>
      </c>
      <c r="F25" s="188" t="s">
        <v>90</v>
      </c>
      <c r="G25" s="189">
        <v>13500000000</v>
      </c>
      <c r="H25" s="190">
        <f t="shared" si="12"/>
        <v>1800000</v>
      </c>
      <c r="I25" s="191">
        <f t="shared" si="13"/>
        <v>3042262500</v>
      </c>
      <c r="J25" s="190">
        <f t="shared" si="14"/>
        <v>405635</v>
      </c>
      <c r="K25" s="191">
        <f t="shared" si="15"/>
        <v>-10457737500</v>
      </c>
      <c r="L25" s="190">
        <f t="shared" si="15"/>
        <v>-1394365</v>
      </c>
      <c r="M25" s="192">
        <f t="shared" si="16"/>
        <v>22.535277777777779</v>
      </c>
      <c r="N25" s="6"/>
      <c r="O25" s="488"/>
      <c r="P25" s="6"/>
      <c r="Q25" s="6"/>
      <c r="R25" s="346">
        <v>7500</v>
      </c>
      <c r="S25" s="332"/>
      <c r="T25" s="333"/>
      <c r="U25" s="334"/>
      <c r="V25" s="335"/>
      <c r="W25" s="342" t="s">
        <v>89</v>
      </c>
      <c r="X25" s="343" t="s">
        <v>90</v>
      </c>
      <c r="Y25" s="331">
        <f>SUM('[1]JANUARI 26'!$AN$15+'[1]JANUARI 26'!$AN$16)</f>
        <v>333592500</v>
      </c>
      <c r="Z25" s="339">
        <f>Y25/R25</f>
        <v>44479</v>
      </c>
      <c r="AA25" s="331">
        <f>SUM('[1]FEBRUARI 26'!$AN$15+'[1]FEBRUARI 26'!$AN$16)</f>
        <v>124762500</v>
      </c>
      <c r="AB25" s="344">
        <f>SUM(AA25/R25)</f>
        <v>16635</v>
      </c>
      <c r="AC25" s="331">
        <f>SUM('[1]MARET 26'!$AR$15+'[1]MARET 26'!$AR$16)</f>
        <v>341392500</v>
      </c>
      <c r="AD25" s="339">
        <f>SUM(AC25/R25)</f>
        <v>45519</v>
      </c>
      <c r="AE25" s="331">
        <f>SUM('[1]APRIL 26'!$AL$15+'[1]APRIL 26'!$AL$16)</f>
        <v>339180000</v>
      </c>
      <c r="AF25" s="339">
        <f t="shared" si="24"/>
        <v>45224</v>
      </c>
      <c r="AG25" s="331">
        <f>SUM('[1]MEI 26'!$AP$15+'[1]MEI 26'!$AP$16)</f>
        <v>477870000</v>
      </c>
      <c r="AH25" s="339">
        <f>SUM(AG25/R25)</f>
        <v>63716</v>
      </c>
      <c r="AI25" s="331">
        <f>SUM('[1]JUNI 26'!$AJ$15+'[1]JUNI 26'!$AJ$16)</f>
        <v>412582500</v>
      </c>
      <c r="AJ25" s="339">
        <f>SUM(AI25/R25)</f>
        <v>55011</v>
      </c>
      <c r="AK25" s="331">
        <f>SUM('[1]JULI 26'!$AM$15+'[1]JULI 26'!$AM$16)</f>
        <v>370282500</v>
      </c>
      <c r="AL25" s="339">
        <f>SUM(AK25/R25)</f>
        <v>49371</v>
      </c>
      <c r="AM25" s="331">
        <f>SUM('[1]AGUSTUS 26'!$AQ$15+'[1]AGUSTUS 26'!$AQ$16)</f>
        <v>379657500</v>
      </c>
      <c r="AN25" s="339">
        <f t="shared" si="28"/>
        <v>50621</v>
      </c>
      <c r="AO25" s="331">
        <f>SUM('[1]SEPTEMBER 26'!$AK$15+'[1]SEPTEMBER 26'!$AK$16)</f>
        <v>262942500</v>
      </c>
      <c r="AP25" s="339">
        <f t="shared" si="31"/>
        <v>35059</v>
      </c>
      <c r="AQ25" s="331"/>
      <c r="AR25" s="339">
        <f>SUM(AQ25/R25)</f>
        <v>0</v>
      </c>
      <c r="AS25" s="345"/>
      <c r="AT25" s="339">
        <f>SUM(AS25/R25)</f>
        <v>0</v>
      </c>
      <c r="AU25" s="345"/>
      <c r="AV25" s="344"/>
      <c r="AW25" s="341">
        <f t="shared" si="18"/>
        <v>3042262500</v>
      </c>
      <c r="AX25" s="341">
        <f t="shared" si="19"/>
        <v>405635</v>
      </c>
      <c r="AY25" s="5"/>
    </row>
    <row r="26" spans="1:51" ht="42.75" customHeight="1" x14ac:dyDescent="0.25">
      <c r="A26" s="179"/>
      <c r="B26" s="180"/>
      <c r="C26" s="181"/>
      <c r="D26" s="180"/>
      <c r="E26" s="187" t="s">
        <v>92</v>
      </c>
      <c r="F26" s="214" t="s">
        <v>91</v>
      </c>
      <c r="G26" s="189"/>
      <c r="H26" s="190"/>
      <c r="I26" s="191"/>
      <c r="J26" s="190"/>
      <c r="K26" s="191"/>
      <c r="L26" s="190"/>
      <c r="M26" s="192"/>
      <c r="N26" s="6"/>
      <c r="O26" s="488"/>
      <c r="P26" s="6"/>
      <c r="Q26" s="6"/>
      <c r="R26" s="346"/>
      <c r="S26" s="332"/>
      <c r="T26" s="333"/>
      <c r="U26" s="334"/>
      <c r="V26" s="335"/>
      <c r="W26" s="347" t="s">
        <v>92</v>
      </c>
      <c r="X26" s="369" t="s">
        <v>91</v>
      </c>
      <c r="Y26" s="349"/>
      <c r="Z26" s="350"/>
      <c r="AA26" s="349"/>
      <c r="AB26" s="350"/>
      <c r="AC26" s="349"/>
      <c r="AD26" s="350"/>
      <c r="AE26" s="349"/>
      <c r="AF26" s="350"/>
      <c r="AG26" s="349"/>
      <c r="AH26" s="350"/>
      <c r="AI26" s="349"/>
      <c r="AJ26" s="350"/>
      <c r="AK26" s="350"/>
      <c r="AL26" s="350"/>
      <c r="AM26" s="349"/>
      <c r="AN26" s="349"/>
      <c r="AO26" s="351"/>
      <c r="AP26" s="350"/>
      <c r="AQ26" s="351"/>
      <c r="AR26" s="350"/>
      <c r="AS26" s="351"/>
      <c r="AT26" s="350"/>
      <c r="AU26" s="351"/>
      <c r="AV26" s="350"/>
      <c r="AW26" s="341">
        <f t="shared" si="18"/>
        <v>0</v>
      </c>
      <c r="AX26" s="341">
        <f t="shared" si="19"/>
        <v>0</v>
      </c>
      <c r="AY26" s="5"/>
    </row>
    <row r="27" spans="1:51" ht="16.899999999999999" customHeight="1" x14ac:dyDescent="0.25">
      <c r="A27" s="179"/>
      <c r="B27" s="180"/>
      <c r="C27" s="181"/>
      <c r="D27" s="180"/>
      <c r="E27" s="187" t="s">
        <v>93</v>
      </c>
      <c r="F27" s="188" t="s">
        <v>177</v>
      </c>
      <c r="G27" s="189">
        <v>119250000</v>
      </c>
      <c r="H27" s="190">
        <f t="shared" si="12"/>
        <v>26500</v>
      </c>
      <c r="I27" s="191">
        <f t="shared" si="13"/>
        <v>14472000</v>
      </c>
      <c r="J27" s="190">
        <f t="shared" si="14"/>
        <v>3216</v>
      </c>
      <c r="K27" s="191">
        <f t="shared" si="15"/>
        <v>-104778000</v>
      </c>
      <c r="L27" s="190">
        <f t="shared" si="15"/>
        <v>-23284</v>
      </c>
      <c r="M27" s="192">
        <f t="shared" si="16"/>
        <v>12.135849056603773</v>
      </c>
      <c r="N27" s="6"/>
      <c r="O27" s="488"/>
      <c r="P27" s="6"/>
      <c r="Q27" s="6"/>
      <c r="R27" s="346">
        <v>4500</v>
      </c>
      <c r="S27" s="332"/>
      <c r="T27" s="333"/>
      <c r="U27" s="334"/>
      <c r="V27" s="335"/>
      <c r="W27" s="342" t="s">
        <v>93</v>
      </c>
      <c r="X27" s="343" t="s">
        <v>88</v>
      </c>
      <c r="Y27" s="331">
        <f>SUM('[1]JANUARI 26'!$AN$13+'[1]JANUARI 26'!$AN$14)</f>
        <v>1233000</v>
      </c>
      <c r="Z27" s="339">
        <f>Y27/R27</f>
        <v>274</v>
      </c>
      <c r="AA27" s="331">
        <f>SUM('[1]FEBRUARI 26'!$AN$13+'[1]FEBRUARI 26'!$AN$14)</f>
        <v>756000</v>
      </c>
      <c r="AB27" s="344">
        <f>SUM(AA27/R27)</f>
        <v>168</v>
      </c>
      <c r="AC27" s="331">
        <f>SUM('[1]MARET 26'!$AR$13+'[1]MARET 26'!$AR$14)</f>
        <v>0</v>
      </c>
      <c r="AD27" s="339">
        <f>SUM(AC27/R27)</f>
        <v>0</v>
      </c>
      <c r="AE27" s="331">
        <f>SUM('[1]APRIL 26'!$AL$13+'[1]APRIL 26'!$AL$14)</f>
        <v>3330000</v>
      </c>
      <c r="AF27" s="339">
        <f t="shared" si="24"/>
        <v>740</v>
      </c>
      <c r="AG27" s="331">
        <f>SUM('[1]MEI 26'!$AP$13+'[1]MEI 26'!$AP$14)</f>
        <v>1791000</v>
      </c>
      <c r="AH27" s="339">
        <f>SUM(AG27/R27)</f>
        <v>398</v>
      </c>
      <c r="AI27" s="331">
        <f>SUM('[1]JUNI 26'!$AJ$13+'[1]JUNI 26'!$AJ$14)</f>
        <v>2115000</v>
      </c>
      <c r="AJ27" s="339">
        <f>SUM(AI27/R27)</f>
        <v>470</v>
      </c>
      <c r="AK27" s="331">
        <f>SUM('[1]JULI 26'!$AM$13+'[1]JULI 26'!$AM$14)</f>
        <v>0</v>
      </c>
      <c r="AL27" s="339">
        <f>SUM(AK27/R27)</f>
        <v>0</v>
      </c>
      <c r="AM27" s="331">
        <f>SUM('[1]AGUSTUS 26'!$AQ$13+'[1]AGUSTUS 26'!$AQ$14)</f>
        <v>1773000</v>
      </c>
      <c r="AN27" s="339">
        <f t="shared" si="28"/>
        <v>394</v>
      </c>
      <c r="AO27" s="331">
        <f>SUM('[1]SEPTEMBER 26'!$AK$13+'[1]SEPTEMBER 26'!$AK$14)</f>
        <v>3474000</v>
      </c>
      <c r="AP27" s="339">
        <f t="shared" ref="AP27:AP29" si="32">SUM(AO27/R27)</f>
        <v>772</v>
      </c>
      <c r="AQ27" s="331"/>
      <c r="AR27" s="339">
        <f>SUM(AQ27/R27)</f>
        <v>0</v>
      </c>
      <c r="AS27" s="345"/>
      <c r="AT27" s="339">
        <f>SUM(AS27/R27)</f>
        <v>0</v>
      </c>
      <c r="AU27" s="345"/>
      <c r="AV27" s="344"/>
      <c r="AW27" s="341">
        <f t="shared" si="18"/>
        <v>14472000</v>
      </c>
      <c r="AX27" s="341">
        <f t="shared" si="19"/>
        <v>3216</v>
      </c>
      <c r="AY27" s="5"/>
    </row>
    <row r="28" spans="1:51" ht="16.899999999999999" customHeight="1" x14ac:dyDescent="0.25">
      <c r="A28" s="179"/>
      <c r="B28" s="180"/>
      <c r="C28" s="181"/>
      <c r="D28" s="180"/>
      <c r="E28" s="187" t="s">
        <v>94</v>
      </c>
      <c r="F28" s="188" t="s">
        <v>90</v>
      </c>
      <c r="G28" s="189">
        <v>67218750</v>
      </c>
      <c r="H28" s="190">
        <f t="shared" si="12"/>
        <v>11950</v>
      </c>
      <c r="I28" s="191">
        <f t="shared" si="13"/>
        <v>3369375</v>
      </c>
      <c r="J28" s="190">
        <f t="shared" si="14"/>
        <v>599</v>
      </c>
      <c r="K28" s="191">
        <f t="shared" si="15"/>
        <v>-63849375</v>
      </c>
      <c r="L28" s="190">
        <f t="shared" si="15"/>
        <v>-11351</v>
      </c>
      <c r="M28" s="192">
        <f t="shared" si="16"/>
        <v>5.0125523012552309</v>
      </c>
      <c r="N28" s="6"/>
      <c r="O28" s="488"/>
      <c r="P28" s="6"/>
      <c r="Q28" s="6"/>
      <c r="R28" s="346">
        <v>5625</v>
      </c>
      <c r="S28" s="332"/>
      <c r="T28" s="333"/>
      <c r="U28" s="334"/>
      <c r="V28" s="335"/>
      <c r="W28" s="342" t="s">
        <v>94</v>
      </c>
      <c r="X28" s="343" t="s">
        <v>90</v>
      </c>
      <c r="Y28" s="331">
        <f>SUM('[1]JANUARI 26'!$AN$17+'[1]JANUARI 26'!$AN$18)</f>
        <v>0</v>
      </c>
      <c r="Z28" s="339">
        <f t="shared" ref="Z28:Z29" si="33">Y28/R28</f>
        <v>0</v>
      </c>
      <c r="AA28" s="331">
        <f>SUM('[1]FEBRUARI 26'!$AN$17+'[1]FEBRUARI 26'!$AN$18)</f>
        <v>0</v>
      </c>
      <c r="AB28" s="344">
        <f t="shared" ref="AB28:AB29" si="34">SUM(AA28/R28)</f>
        <v>0</v>
      </c>
      <c r="AC28" s="331">
        <f>SUM('[1]MARET 26'!$AR$17+'[1]MARET 26'!$AR$18)</f>
        <v>0</v>
      </c>
      <c r="AD28" s="339">
        <f>SUM(AC28/R28)</f>
        <v>0</v>
      </c>
      <c r="AE28" s="331">
        <f>SUM('[1]APRIL 26'!$AL$17+'[1]APRIL 26'!$AL$18)</f>
        <v>0</v>
      </c>
      <c r="AF28" s="339">
        <f t="shared" si="24"/>
        <v>0</v>
      </c>
      <c r="AG28" s="331">
        <f>SUM('[1]MEI 26'!$AP$17+'[1]MEI 26'!$AP$18)</f>
        <v>1620000</v>
      </c>
      <c r="AH28" s="339">
        <f t="shared" ref="AH28:AH29" si="35">SUM(AG28/R28)</f>
        <v>288</v>
      </c>
      <c r="AI28" s="331">
        <f>SUM('[1]JUNI 26'!$AJ$17+'[1]JUNI 26'!$AJ$18)</f>
        <v>1400625</v>
      </c>
      <c r="AJ28" s="339">
        <f t="shared" ref="AJ28:AJ29" si="36">SUM(AI28/R28)</f>
        <v>249</v>
      </c>
      <c r="AK28" s="331">
        <f>SUM('[1]JULI 26'!$AM$17+'[1]JULI 26'!$AM$18)</f>
        <v>348750</v>
      </c>
      <c r="AL28" s="339">
        <f t="shared" ref="AL28:AL29" si="37">SUM(AK28/R28)</f>
        <v>62</v>
      </c>
      <c r="AM28" s="331">
        <f>SUM('[1]AGUSTUS 26'!$AQ$17+'[1]AGUSTUS 26'!$AQ$18)</f>
        <v>0</v>
      </c>
      <c r="AN28" s="339">
        <f t="shared" si="28"/>
        <v>0</v>
      </c>
      <c r="AO28" s="331">
        <f>SUM('[1]SEPTEMBER 26'!$AK$17+'[1]SEPTEMBER 26'!$AK$18)</f>
        <v>0</v>
      </c>
      <c r="AP28" s="339">
        <f t="shared" si="32"/>
        <v>0</v>
      </c>
      <c r="AQ28" s="331"/>
      <c r="AR28" s="339">
        <f t="shared" ref="AR28:AR29" si="38">SUM(AQ28/R28)</f>
        <v>0</v>
      </c>
      <c r="AS28" s="345"/>
      <c r="AT28" s="339">
        <f t="shared" ref="AT28:AT29" si="39">SUM(AS28/R28)</f>
        <v>0</v>
      </c>
      <c r="AU28" s="345"/>
      <c r="AV28" s="344"/>
      <c r="AW28" s="341">
        <f t="shared" si="18"/>
        <v>3369375</v>
      </c>
      <c r="AX28" s="341">
        <f t="shared" si="19"/>
        <v>599</v>
      </c>
      <c r="AY28" s="5"/>
    </row>
    <row r="29" spans="1:51" ht="16.899999999999999" customHeight="1" x14ac:dyDescent="0.25">
      <c r="A29" s="179"/>
      <c r="B29" s="180"/>
      <c r="C29" s="181"/>
      <c r="D29" s="180"/>
      <c r="E29" s="215" t="s">
        <v>95</v>
      </c>
      <c r="F29" s="151" t="s">
        <v>16</v>
      </c>
      <c r="G29" s="183">
        <v>0</v>
      </c>
      <c r="H29" s="184">
        <f t="shared" si="12"/>
        <v>0</v>
      </c>
      <c r="I29" s="185">
        <f t="shared" si="13"/>
        <v>0</v>
      </c>
      <c r="J29" s="184">
        <f t="shared" si="14"/>
        <v>0</v>
      </c>
      <c r="K29" s="185">
        <f t="shared" si="15"/>
        <v>0</v>
      </c>
      <c r="L29" s="184">
        <f t="shared" si="15"/>
        <v>0</v>
      </c>
      <c r="M29" s="186">
        <v>0</v>
      </c>
      <c r="N29" s="6"/>
      <c r="O29" s="488"/>
      <c r="P29" s="6"/>
      <c r="Q29" s="6"/>
      <c r="R29" s="346">
        <v>10000</v>
      </c>
      <c r="S29" s="332"/>
      <c r="T29" s="333"/>
      <c r="U29" s="334"/>
      <c r="V29" s="335"/>
      <c r="W29" s="370" t="s">
        <v>95</v>
      </c>
      <c r="X29" s="337" t="s">
        <v>16</v>
      </c>
      <c r="Y29" s="338">
        <f>SUM('[1]JANUARI 26'!$AN$19)</f>
        <v>0</v>
      </c>
      <c r="Z29" s="339">
        <f t="shared" si="33"/>
        <v>0</v>
      </c>
      <c r="AA29" s="338">
        <v>0</v>
      </c>
      <c r="AB29" s="344">
        <f t="shared" si="34"/>
        <v>0</v>
      </c>
      <c r="AC29" s="331">
        <f>SUM('[1]MARET 26'!AR19)</f>
        <v>0</v>
      </c>
      <c r="AD29" s="339">
        <f>SUM(AC29/R29)</f>
        <v>0</v>
      </c>
      <c r="AE29" s="338">
        <f>SUM('[1]APRIL 26'!AL19)</f>
        <v>0</v>
      </c>
      <c r="AF29" s="339">
        <f t="shared" si="24"/>
        <v>0</v>
      </c>
      <c r="AG29" s="338">
        <f>SUM('[1]MEI 26'!AP19)</f>
        <v>0</v>
      </c>
      <c r="AH29" s="339">
        <f t="shared" si="35"/>
        <v>0</v>
      </c>
      <c r="AI29" s="338">
        <f>SUM('[1]JUNI 26'!AJ19)</f>
        <v>0</v>
      </c>
      <c r="AJ29" s="339">
        <f t="shared" si="36"/>
        <v>0</v>
      </c>
      <c r="AK29" s="338">
        <f>SUM('[1]JULI 26'!AM19)</f>
        <v>0</v>
      </c>
      <c r="AL29" s="339">
        <f t="shared" si="37"/>
        <v>0</v>
      </c>
      <c r="AM29" s="338">
        <f>SUM('[1]AGUSTUS 26'!AQ19)</f>
        <v>0</v>
      </c>
      <c r="AN29" s="339">
        <f t="shared" si="28"/>
        <v>0</v>
      </c>
      <c r="AO29" s="338">
        <f>SUM('[1]SEPTEMBER 26'!AK19)</f>
        <v>0</v>
      </c>
      <c r="AP29" s="339">
        <f t="shared" si="32"/>
        <v>0</v>
      </c>
      <c r="AQ29" s="338"/>
      <c r="AR29" s="339">
        <f t="shared" si="38"/>
        <v>0</v>
      </c>
      <c r="AS29" s="338"/>
      <c r="AT29" s="339">
        <f t="shared" si="39"/>
        <v>0</v>
      </c>
      <c r="AU29" s="340"/>
      <c r="AV29" s="354"/>
      <c r="AW29" s="356">
        <f t="shared" si="18"/>
        <v>0</v>
      </c>
      <c r="AX29" s="356">
        <f t="shared" si="19"/>
        <v>0</v>
      </c>
      <c r="AY29" s="5"/>
    </row>
    <row r="30" spans="1:51" ht="33" customHeight="1" x14ac:dyDescent="0.25">
      <c r="A30" s="179" t="s">
        <v>204</v>
      </c>
      <c r="B30" s="180"/>
      <c r="C30" s="216">
        <v>2</v>
      </c>
      <c r="D30" s="217">
        <v>5</v>
      </c>
      <c r="E30" s="704" t="s">
        <v>212</v>
      </c>
      <c r="F30" s="705"/>
      <c r="G30" s="218">
        <f>SUM(G32:G35)</f>
        <v>5496300000</v>
      </c>
      <c r="H30" s="219">
        <f t="shared" ref="H30:L30" si="40">SUM(H32:H35)</f>
        <v>159808.79999999999</v>
      </c>
      <c r="I30" s="218">
        <f t="shared" si="40"/>
        <v>2781975000</v>
      </c>
      <c r="J30" s="219">
        <f t="shared" si="40"/>
        <v>55069</v>
      </c>
      <c r="K30" s="218">
        <f>SUM(K32:K35)</f>
        <v>-2714325000</v>
      </c>
      <c r="L30" s="218">
        <f t="shared" si="40"/>
        <v>-104739.8</v>
      </c>
      <c r="M30" s="220">
        <f>SUM(I30/G30*100)</f>
        <v>50.615414005785709</v>
      </c>
      <c r="N30" s="6" t="s">
        <v>69</v>
      </c>
      <c r="O30" s="488"/>
      <c r="P30" s="6"/>
      <c r="Q30" s="6"/>
      <c r="R30" s="331"/>
      <c r="S30" s="332" t="s">
        <v>210</v>
      </c>
      <c r="T30" s="333"/>
      <c r="U30" s="371">
        <v>2</v>
      </c>
      <c r="V30" s="372">
        <v>5</v>
      </c>
      <c r="W30" s="706" t="s">
        <v>212</v>
      </c>
      <c r="X30" s="707"/>
      <c r="Y30" s="373">
        <f>SUM(Y32:Y35)</f>
        <v>206130000</v>
      </c>
      <c r="Z30" s="373">
        <f t="shared" ref="Z30" si="41">SUM(Z32:Z35)</f>
        <v>6288</v>
      </c>
      <c r="AA30" s="373">
        <f>SUM(AA32:AA35)</f>
        <v>141645000</v>
      </c>
      <c r="AB30" s="373">
        <f t="shared" ref="AB30:AD30" si="42">SUM(AB32:AB35)</f>
        <v>2995</v>
      </c>
      <c r="AC30" s="373">
        <f>SUM(AC32:AC35)</f>
        <v>594595000</v>
      </c>
      <c r="AD30" s="373">
        <f t="shared" si="42"/>
        <v>7359</v>
      </c>
      <c r="AE30" s="373">
        <f>SUM(AE32:AE35)</f>
        <v>242875000</v>
      </c>
      <c r="AF30" s="373">
        <f t="shared" ref="AF30:AH30" si="43">SUM(AF32:AF35)</f>
        <v>6081</v>
      </c>
      <c r="AG30" s="373">
        <f>SUM(AG32:AG35)</f>
        <v>439495000</v>
      </c>
      <c r="AH30" s="373">
        <f t="shared" si="43"/>
        <v>6680</v>
      </c>
      <c r="AI30" s="373">
        <f>SUM(AI32:AI35)</f>
        <v>307315000</v>
      </c>
      <c r="AJ30" s="373">
        <f t="shared" ref="AJ30:AV30" si="44">SUM(AJ32:AJ35)</f>
        <v>6078</v>
      </c>
      <c r="AK30" s="373">
        <f t="shared" si="44"/>
        <v>358305000</v>
      </c>
      <c r="AL30" s="373">
        <f t="shared" si="44"/>
        <v>8610</v>
      </c>
      <c r="AM30" s="373">
        <f t="shared" si="44"/>
        <v>313245000</v>
      </c>
      <c r="AN30" s="374">
        <f t="shared" si="44"/>
        <v>5573</v>
      </c>
      <c r="AO30" s="373">
        <f t="shared" si="44"/>
        <v>178370000</v>
      </c>
      <c r="AP30" s="373">
        <f t="shared" si="44"/>
        <v>5405</v>
      </c>
      <c r="AQ30" s="373">
        <f t="shared" si="44"/>
        <v>0</v>
      </c>
      <c r="AR30" s="373">
        <f t="shared" si="44"/>
        <v>0</v>
      </c>
      <c r="AS30" s="373">
        <f t="shared" si="44"/>
        <v>0</v>
      </c>
      <c r="AT30" s="373">
        <f t="shared" si="44"/>
        <v>0</v>
      </c>
      <c r="AU30" s="373">
        <f t="shared" si="44"/>
        <v>0</v>
      </c>
      <c r="AV30" s="373">
        <f t="shared" si="44"/>
        <v>0</v>
      </c>
      <c r="AW30" s="359">
        <f t="shared" si="18"/>
        <v>2781975000</v>
      </c>
      <c r="AX30" s="375">
        <f t="shared" si="19"/>
        <v>55069</v>
      </c>
      <c r="AY30" s="5"/>
    </row>
    <row r="31" spans="1:51" ht="16.899999999999999" customHeight="1" x14ac:dyDescent="0.25">
      <c r="A31" s="179"/>
      <c r="B31" s="200"/>
      <c r="C31" s="221"/>
      <c r="D31" s="222"/>
      <c r="E31" s="223" t="s">
        <v>168</v>
      </c>
      <c r="F31" s="224" t="s">
        <v>14</v>
      </c>
      <c r="G31" s="225"/>
      <c r="H31" s="226"/>
      <c r="I31" s="225"/>
      <c r="J31" s="225"/>
      <c r="K31" s="225"/>
      <c r="L31" s="227"/>
      <c r="M31" s="228"/>
      <c r="N31" s="6"/>
      <c r="O31" s="488"/>
      <c r="P31" s="6"/>
      <c r="Q31" s="6"/>
      <c r="R31" s="331"/>
      <c r="S31" s="332"/>
      <c r="T31" s="332"/>
      <c r="U31" s="376"/>
      <c r="V31" s="377"/>
      <c r="W31" s="708" t="s">
        <v>14</v>
      </c>
      <c r="X31" s="679"/>
      <c r="Y31" s="378"/>
      <c r="Z31" s="379"/>
      <c r="AA31" s="378"/>
      <c r="AB31" s="379"/>
      <c r="AC31" s="378"/>
      <c r="AD31" s="379"/>
      <c r="AE31" s="378"/>
      <c r="AF31" s="379"/>
      <c r="AG31" s="378"/>
      <c r="AH31" s="379"/>
      <c r="AI31" s="378"/>
      <c r="AJ31" s="379"/>
      <c r="AK31" s="379"/>
      <c r="AL31" s="379"/>
      <c r="AM31" s="378"/>
      <c r="AN31" s="379"/>
      <c r="AO31" s="380"/>
      <c r="AP31" s="379"/>
      <c r="AQ31" s="380"/>
      <c r="AR31" s="379"/>
      <c r="AS31" s="380"/>
      <c r="AT31" s="379"/>
      <c r="AU31" s="380"/>
      <c r="AV31" s="379"/>
      <c r="AW31" s="359"/>
      <c r="AX31" s="375"/>
      <c r="AY31" s="5"/>
    </row>
    <row r="32" spans="1:51" ht="16.899999999999999" customHeight="1" x14ac:dyDescent="0.25">
      <c r="A32" s="179"/>
      <c r="B32" s="180"/>
      <c r="C32" s="229"/>
      <c r="D32" s="230">
        <v>6</v>
      </c>
      <c r="E32" s="231" t="s">
        <v>101</v>
      </c>
      <c r="F32" s="232" t="s">
        <v>97</v>
      </c>
      <c r="G32" s="225"/>
      <c r="H32" s="226"/>
      <c r="I32" s="225"/>
      <c r="J32" s="226"/>
      <c r="K32" s="225"/>
      <c r="L32" s="226"/>
      <c r="M32" s="233"/>
      <c r="N32" s="6"/>
      <c r="O32" s="488"/>
      <c r="P32" s="6"/>
      <c r="Q32" s="6"/>
      <c r="R32" s="331"/>
      <c r="S32" s="332"/>
      <c r="T32" s="333"/>
      <c r="U32" s="381"/>
      <c r="V32" s="382">
        <v>6</v>
      </c>
      <c r="W32" s="383" t="s">
        <v>101</v>
      </c>
      <c r="X32" s="384" t="s">
        <v>97</v>
      </c>
      <c r="Y32" s="385"/>
      <c r="Z32" s="379"/>
      <c r="AA32" s="385"/>
      <c r="AB32" s="379"/>
      <c r="AC32" s="385"/>
      <c r="AD32" s="379"/>
      <c r="AE32" s="385"/>
      <c r="AF32" s="379"/>
      <c r="AG32" s="385"/>
      <c r="AH32" s="379"/>
      <c r="AI32" s="385"/>
      <c r="AJ32" s="379"/>
      <c r="AK32" s="379"/>
      <c r="AL32" s="379"/>
      <c r="AM32" s="378"/>
      <c r="AN32" s="379"/>
      <c r="AO32" s="380"/>
      <c r="AP32" s="379"/>
      <c r="AQ32" s="380"/>
      <c r="AR32" s="379"/>
      <c r="AS32" s="380"/>
      <c r="AT32" s="379"/>
      <c r="AU32" s="380"/>
      <c r="AV32" s="379"/>
      <c r="AW32" s="359"/>
      <c r="AX32" s="375"/>
      <c r="AY32" s="5"/>
    </row>
    <row r="33" spans="1:59" ht="16.899999999999999" customHeight="1" x14ac:dyDescent="0.25">
      <c r="A33" s="179"/>
      <c r="B33" s="180"/>
      <c r="C33" s="151"/>
      <c r="D33" s="151">
        <v>7</v>
      </c>
      <c r="E33" s="234" t="s">
        <v>102</v>
      </c>
      <c r="F33" s="235" t="s">
        <v>178</v>
      </c>
      <c r="G33" s="236">
        <v>812500000</v>
      </c>
      <c r="H33" s="190">
        <f t="shared" ref="H33:H35" si="45">G33/R33</f>
        <v>81250</v>
      </c>
      <c r="I33" s="237">
        <f>AW33</f>
        <v>321650000</v>
      </c>
      <c r="J33" s="190">
        <f t="shared" ref="J33:J35" si="46">I33/R33</f>
        <v>32165</v>
      </c>
      <c r="K33" s="191">
        <f t="shared" ref="K33:L35" si="47">I33-G33</f>
        <v>-490850000</v>
      </c>
      <c r="L33" s="190">
        <f t="shared" si="47"/>
        <v>-49085</v>
      </c>
      <c r="M33" s="192">
        <f>SUM(I33/G33*100)</f>
        <v>39.587692307692308</v>
      </c>
      <c r="N33" s="6"/>
      <c r="O33" s="488"/>
      <c r="P33" s="6"/>
      <c r="Q33" s="6"/>
      <c r="R33" s="331">
        <v>10000</v>
      </c>
      <c r="S33" s="332"/>
      <c r="T33" s="333"/>
      <c r="U33" s="337"/>
      <c r="V33" s="386">
        <v>7</v>
      </c>
      <c r="W33" s="387" t="s">
        <v>102</v>
      </c>
      <c r="X33" s="388" t="s">
        <v>98</v>
      </c>
      <c r="Y33" s="338">
        <f>SUM('[1]JANUARI 26'!AN20)</f>
        <v>34450000</v>
      </c>
      <c r="Z33" s="339">
        <f>Y33/R33</f>
        <v>3445</v>
      </c>
      <c r="AA33" s="338">
        <f>SUM('[1]FEBRUARI 26'!AN20)</f>
        <v>15380000</v>
      </c>
      <c r="AB33" s="339">
        <f>SUM(AA33/R33)</f>
        <v>1538</v>
      </c>
      <c r="AC33" s="338">
        <f>SUM('[1]MARET 26'!AR20)</f>
        <v>44160000</v>
      </c>
      <c r="AD33" s="339">
        <f>SUM(AC33/R33)</f>
        <v>4416</v>
      </c>
      <c r="AE33" s="338">
        <f>SUM('[1]APRIL 26'!AL20)</f>
        <v>35520000</v>
      </c>
      <c r="AF33" s="339">
        <f t="shared" ref="AF33:AF35" si="48">SUM(AE33/R33)</f>
        <v>3552</v>
      </c>
      <c r="AG33" s="338">
        <f>SUM('[1]MEI 26'!AP20)</f>
        <v>30610000</v>
      </c>
      <c r="AH33" s="339">
        <f>SUM(AG33/R33)</f>
        <v>3061</v>
      </c>
      <c r="AI33" s="338">
        <f>SUM('[1]JUNI 26'!AJ20)</f>
        <v>32630000</v>
      </c>
      <c r="AJ33" s="339">
        <f>SUM(AI33/R33)</f>
        <v>3263</v>
      </c>
      <c r="AK33" s="338">
        <f>SUM('[1]JULI 26'!AM20)</f>
        <v>65710000</v>
      </c>
      <c r="AL33" s="339">
        <f>SUM(AK33/R33)</f>
        <v>6571</v>
      </c>
      <c r="AM33" s="338">
        <f>SUM('[1]AGUSTUS 26'!AQ20)</f>
        <v>31230000</v>
      </c>
      <c r="AN33" s="339">
        <f t="shared" ref="AN33:AN35" si="49">SUM(AM33/R33)</f>
        <v>3123</v>
      </c>
      <c r="AO33" s="338">
        <f>SUM('[1]SEPTEMBER 26'!AK20)</f>
        <v>31960000</v>
      </c>
      <c r="AP33" s="339">
        <f t="shared" ref="AP33:AP35" si="50">SUM(AO33/R33)</f>
        <v>3196</v>
      </c>
      <c r="AQ33" s="338"/>
      <c r="AR33" s="339">
        <f>SUM(AQ33/R33)</f>
        <v>0</v>
      </c>
      <c r="AS33" s="338"/>
      <c r="AT33" s="339">
        <f>SUM(AS33/R33)</f>
        <v>0</v>
      </c>
      <c r="AU33" s="340"/>
      <c r="AV33" s="339"/>
      <c r="AW33" s="341">
        <f>SUM(Y33+AA33+AC33+AE33+AG33+AI33+AK33+AM33+AO33+AQ33+AS33+AU33)</f>
        <v>321650000</v>
      </c>
      <c r="AX33" s="341">
        <f>Z33+AB33+AD33+AF33+AH33+AJ33+AL33+AN33+AP33+AR33+AT33+AV33</f>
        <v>32165</v>
      </c>
      <c r="AY33" s="5"/>
    </row>
    <row r="34" spans="1:59" ht="16.899999999999999" customHeight="1" x14ac:dyDescent="0.25">
      <c r="A34" s="179"/>
      <c r="B34" s="180"/>
      <c r="C34" s="151"/>
      <c r="D34" s="151">
        <v>8</v>
      </c>
      <c r="E34" s="234" t="s">
        <v>103</v>
      </c>
      <c r="F34" s="235" t="s">
        <v>99</v>
      </c>
      <c r="G34" s="236">
        <v>1125000000</v>
      </c>
      <c r="H34" s="190">
        <f t="shared" si="45"/>
        <v>75000</v>
      </c>
      <c r="I34" s="237">
        <f t="shared" ref="I34:I35" si="51">AW34</f>
        <v>311325000</v>
      </c>
      <c r="J34" s="190">
        <f t="shared" si="46"/>
        <v>20755</v>
      </c>
      <c r="K34" s="191">
        <f t="shared" si="47"/>
        <v>-813675000</v>
      </c>
      <c r="L34" s="190">
        <f t="shared" si="47"/>
        <v>-54245</v>
      </c>
      <c r="M34" s="192">
        <f t="shared" ref="M34:M35" si="52">SUM(I34/G34*100)</f>
        <v>27.673333333333332</v>
      </c>
      <c r="N34" s="6"/>
      <c r="O34" s="488"/>
      <c r="P34" s="6"/>
      <c r="Q34" s="6"/>
      <c r="R34" s="331">
        <v>15000</v>
      </c>
      <c r="S34" s="332"/>
      <c r="T34" s="333"/>
      <c r="U34" s="337"/>
      <c r="V34" s="386">
        <v>8</v>
      </c>
      <c r="W34" s="389" t="s">
        <v>103</v>
      </c>
      <c r="X34" s="390" t="s">
        <v>99</v>
      </c>
      <c r="Y34" s="338">
        <f>SUM('[1]JANUARI 26'!AN21)</f>
        <v>40680000</v>
      </c>
      <c r="Z34" s="339">
        <f t="shared" ref="Z34:Z35" si="53">Y34/R34</f>
        <v>2712</v>
      </c>
      <c r="AA34" s="338">
        <f>SUM('[1]FEBRUARI 26'!AN21)</f>
        <v>20265000</v>
      </c>
      <c r="AB34" s="339">
        <f t="shared" ref="AB34:AB35" si="54">SUM(AA34/R34)</f>
        <v>1351</v>
      </c>
      <c r="AC34" s="338">
        <f>SUM('[1]MARET 26'!AR21)</f>
        <v>36435000</v>
      </c>
      <c r="AD34" s="339">
        <f t="shared" ref="AD34:AD35" si="55">SUM(AC34/R34)</f>
        <v>2429</v>
      </c>
      <c r="AE34" s="338">
        <f>SUM('[1]APRIL 26'!AL21)</f>
        <v>35355000</v>
      </c>
      <c r="AF34" s="339">
        <f t="shared" si="48"/>
        <v>2357</v>
      </c>
      <c r="AG34" s="338">
        <f>SUM('[1]MEI 26'!AP21)</f>
        <v>48885000</v>
      </c>
      <c r="AH34" s="339">
        <f t="shared" ref="AH34:AH35" si="56">SUM(AG34/R34)</f>
        <v>3259</v>
      </c>
      <c r="AI34" s="338">
        <f>SUM('[1]JUNI 26'!AJ21)</f>
        <v>38685000</v>
      </c>
      <c r="AJ34" s="339">
        <f t="shared" ref="AJ34:AJ35" si="57">SUM(AI34/R34)</f>
        <v>2579</v>
      </c>
      <c r="AK34" s="338">
        <f>SUM('[1]JULI 26'!AM21)</f>
        <v>26595000</v>
      </c>
      <c r="AL34" s="339">
        <f t="shared" ref="AL34:AL35" si="58">SUM(AK34/R34)</f>
        <v>1773</v>
      </c>
      <c r="AM34" s="338">
        <f>SUM('[1]AGUSTUS 26'!AQ21)</f>
        <v>33015000</v>
      </c>
      <c r="AN34" s="339">
        <f t="shared" si="49"/>
        <v>2201</v>
      </c>
      <c r="AO34" s="338">
        <f>SUM('[1]SEPTEMBER 26'!AK21)</f>
        <v>31410000</v>
      </c>
      <c r="AP34" s="339">
        <f t="shared" si="50"/>
        <v>2094</v>
      </c>
      <c r="AQ34" s="338"/>
      <c r="AR34" s="339">
        <f t="shared" ref="AR34:AR35" si="59">SUM(AQ34/R34)</f>
        <v>0</v>
      </c>
      <c r="AS34" s="338"/>
      <c r="AT34" s="339">
        <f t="shared" ref="AT34:AT35" si="60">SUM(AS34/R34)</f>
        <v>0</v>
      </c>
      <c r="AU34" s="340"/>
      <c r="AV34" s="344"/>
      <c r="AW34" s="341">
        <f>SUM(Y34+AA34+AC34+AE34+AG34+AI34+AK34+AM34+AO34+AQ34+AS34+AU34)</f>
        <v>311325000</v>
      </c>
      <c r="AX34" s="341">
        <f>Z34+AB34+AD34+AF34+AH34+AJ34+AL34+AN34+AP34+AR34+AT34+AV34</f>
        <v>20755</v>
      </c>
      <c r="AY34" s="5"/>
    </row>
    <row r="35" spans="1:59" ht="16.899999999999999" customHeight="1" x14ac:dyDescent="0.25">
      <c r="A35" s="179"/>
      <c r="B35" s="180"/>
      <c r="C35" s="151"/>
      <c r="D35" s="151">
        <v>9</v>
      </c>
      <c r="E35" s="234" t="s">
        <v>104</v>
      </c>
      <c r="F35" s="235" t="s">
        <v>100</v>
      </c>
      <c r="G35" s="236">
        <v>3558800000</v>
      </c>
      <c r="H35" s="190">
        <f t="shared" si="45"/>
        <v>3558.8</v>
      </c>
      <c r="I35" s="237">
        <f t="shared" si="51"/>
        <v>2149000000</v>
      </c>
      <c r="J35" s="190">
        <f t="shared" si="46"/>
        <v>2149</v>
      </c>
      <c r="K35" s="191">
        <f t="shared" si="47"/>
        <v>-1409800000</v>
      </c>
      <c r="L35" s="190">
        <f t="shared" si="47"/>
        <v>-1409.8000000000002</v>
      </c>
      <c r="M35" s="192">
        <f t="shared" si="52"/>
        <v>60.385523210070815</v>
      </c>
      <c r="N35" s="6"/>
      <c r="O35" s="488"/>
      <c r="P35" s="6"/>
      <c r="Q35" s="6"/>
      <c r="R35" s="331">
        <v>1000000</v>
      </c>
      <c r="S35" s="332"/>
      <c r="T35" s="333"/>
      <c r="U35" s="337"/>
      <c r="V35" s="386">
        <v>9</v>
      </c>
      <c r="W35" s="389" t="s">
        <v>104</v>
      </c>
      <c r="X35" s="390" t="s">
        <v>100</v>
      </c>
      <c r="Y35" s="338">
        <f>SUM('[1]JANUARI 26'!AN22)</f>
        <v>131000000</v>
      </c>
      <c r="Z35" s="339">
        <f t="shared" si="53"/>
        <v>131</v>
      </c>
      <c r="AA35" s="338">
        <f>SUM('[1]FEBRUARI 26'!AN22)</f>
        <v>106000000</v>
      </c>
      <c r="AB35" s="339">
        <f t="shared" si="54"/>
        <v>106</v>
      </c>
      <c r="AC35" s="338">
        <f>SUM('[1]MARET 26'!AR22)</f>
        <v>514000000</v>
      </c>
      <c r="AD35" s="339">
        <f t="shared" si="55"/>
        <v>514</v>
      </c>
      <c r="AE35" s="338">
        <f>SUM('[1]APRIL 26'!AL22)</f>
        <v>172000000</v>
      </c>
      <c r="AF35" s="339">
        <f t="shared" si="48"/>
        <v>172</v>
      </c>
      <c r="AG35" s="338">
        <f>SUM('[1]MEI 26'!AP22)</f>
        <v>360000000</v>
      </c>
      <c r="AH35" s="339">
        <f t="shared" si="56"/>
        <v>360</v>
      </c>
      <c r="AI35" s="338">
        <f>SUM('[1]JUNI 26'!AJ22)</f>
        <v>236000000</v>
      </c>
      <c r="AJ35" s="339">
        <f t="shared" si="57"/>
        <v>236</v>
      </c>
      <c r="AK35" s="338">
        <f>SUM('[1]JULI 26'!AM22)</f>
        <v>266000000</v>
      </c>
      <c r="AL35" s="339">
        <f t="shared" si="58"/>
        <v>266</v>
      </c>
      <c r="AM35" s="338">
        <f>SUM('[1]AGUSTUS 26'!AQ22)</f>
        <v>249000000</v>
      </c>
      <c r="AN35" s="339">
        <f t="shared" si="49"/>
        <v>249</v>
      </c>
      <c r="AO35" s="338">
        <f>SUM('[1]SEPTEMBER 26'!AK22)</f>
        <v>115000000</v>
      </c>
      <c r="AP35" s="339">
        <f t="shared" si="50"/>
        <v>115</v>
      </c>
      <c r="AQ35" s="338"/>
      <c r="AR35" s="339">
        <f t="shared" si="59"/>
        <v>0</v>
      </c>
      <c r="AS35" s="338"/>
      <c r="AT35" s="339">
        <f t="shared" si="60"/>
        <v>0</v>
      </c>
      <c r="AU35" s="340"/>
      <c r="AV35" s="344"/>
      <c r="AW35" s="341">
        <f>SUM(Y35+AA35+AC35+AE35+AG35+AI35+AK35+AM35+AO35+AQ35+AS35+AU35)</f>
        <v>2149000000</v>
      </c>
      <c r="AX35" s="341">
        <f>Z35+AB35+AD35+AF35+AH35+AJ35+AL35+AN35+AP35+AR35+AT35+AV35</f>
        <v>2149</v>
      </c>
      <c r="AY35" s="5"/>
    </row>
    <row r="36" spans="1:59" ht="19.5" customHeight="1" x14ac:dyDescent="0.25">
      <c r="A36" s="179" t="s">
        <v>205</v>
      </c>
      <c r="B36" s="180"/>
      <c r="C36" s="238">
        <v>3</v>
      </c>
      <c r="D36" s="217">
        <v>5</v>
      </c>
      <c r="E36" s="704" t="s">
        <v>162</v>
      </c>
      <c r="F36" s="705"/>
      <c r="G36" s="218">
        <f>SUM(G38:G43)</f>
        <v>12504000000</v>
      </c>
      <c r="H36" s="219">
        <f t="shared" ref="H36:L36" si="61">SUM(H38:H43)</f>
        <v>3019188</v>
      </c>
      <c r="I36" s="218">
        <f t="shared" si="61"/>
        <v>2924184000</v>
      </c>
      <c r="J36" s="219">
        <f t="shared" si="61"/>
        <v>719092</v>
      </c>
      <c r="K36" s="218">
        <f t="shared" si="61"/>
        <v>-9579816000</v>
      </c>
      <c r="L36" s="218">
        <f t="shared" si="61"/>
        <v>-2300096</v>
      </c>
      <c r="M36" s="218">
        <f>SUM(I36/G36*100)</f>
        <v>23.385988483685221</v>
      </c>
      <c r="N36" s="6"/>
      <c r="O36" s="488"/>
      <c r="P36" s="6"/>
      <c r="Q36" s="6"/>
      <c r="R36" s="331"/>
      <c r="S36" s="332" t="s">
        <v>205</v>
      </c>
      <c r="T36" s="333"/>
      <c r="U36" s="391">
        <v>3</v>
      </c>
      <c r="V36" s="372">
        <v>5</v>
      </c>
      <c r="W36" s="706" t="s">
        <v>162</v>
      </c>
      <c r="X36" s="707"/>
      <c r="Y36" s="373">
        <f>SUM(Y38:Y43)</f>
        <v>306614000</v>
      </c>
      <c r="Z36" s="373">
        <f t="shared" ref="Z36" si="62">SUM(Z38:Z43)</f>
        <v>73803</v>
      </c>
      <c r="AA36" s="373">
        <f>SUM(AA38:AA43)</f>
        <v>121077500</v>
      </c>
      <c r="AB36" s="373">
        <f t="shared" ref="AB36:AD36" si="63">SUM(AB38:AB43)</f>
        <v>28984</v>
      </c>
      <c r="AC36" s="373">
        <f>SUM(AC38:AC43)</f>
        <v>308766000</v>
      </c>
      <c r="AD36" s="373">
        <f t="shared" si="63"/>
        <v>77817</v>
      </c>
      <c r="AE36" s="373">
        <f>SUM(AE38:AE43)</f>
        <v>332497500</v>
      </c>
      <c r="AF36" s="373">
        <f t="shared" ref="AF36:AH36" si="64">SUM(AF38:AF43)</f>
        <v>82187</v>
      </c>
      <c r="AG36" s="373">
        <f>SUM(AG38:AG43)</f>
        <v>425913500</v>
      </c>
      <c r="AH36" s="373">
        <f t="shared" si="64"/>
        <v>104115</v>
      </c>
      <c r="AI36" s="373">
        <f>SUM(AI38:AI43)</f>
        <v>411980000</v>
      </c>
      <c r="AJ36" s="373">
        <f t="shared" ref="AJ36:AV36" si="65">SUM(AJ38:AJ43)</f>
        <v>100894</v>
      </c>
      <c r="AK36" s="373">
        <f t="shared" si="65"/>
        <v>408161500</v>
      </c>
      <c r="AL36" s="373">
        <f t="shared" si="65"/>
        <v>99763</v>
      </c>
      <c r="AM36" s="373">
        <f t="shared" si="65"/>
        <v>346701000</v>
      </c>
      <c r="AN36" s="374">
        <f t="shared" si="65"/>
        <v>87091</v>
      </c>
      <c r="AO36" s="373">
        <f t="shared" si="65"/>
        <v>262473000</v>
      </c>
      <c r="AP36" s="373">
        <f t="shared" si="65"/>
        <v>64438</v>
      </c>
      <c r="AQ36" s="373">
        <f t="shared" si="65"/>
        <v>0</v>
      </c>
      <c r="AR36" s="373">
        <f t="shared" si="65"/>
        <v>0</v>
      </c>
      <c r="AS36" s="373">
        <f t="shared" si="65"/>
        <v>0</v>
      </c>
      <c r="AT36" s="373">
        <f t="shared" si="65"/>
        <v>0</v>
      </c>
      <c r="AU36" s="373">
        <f t="shared" si="65"/>
        <v>0</v>
      </c>
      <c r="AV36" s="373">
        <f t="shared" si="65"/>
        <v>0</v>
      </c>
      <c r="AW36" s="392">
        <f>SUM(Y36+AA36+AC36+AE36+AG36+AI36+AK36+AM36+AO36+AQ36+AS36+AU36)</f>
        <v>2924184000</v>
      </c>
      <c r="AX36" s="393">
        <f>Z36+AB36+AD36+AF36+AH36+AJ36+AL36+AN36+AP36+AR36+AT36+AV36</f>
        <v>719092</v>
      </c>
      <c r="AY36" s="5"/>
    </row>
    <row r="37" spans="1:59" ht="16.899999999999999" customHeight="1" x14ac:dyDescent="0.25">
      <c r="A37" s="179"/>
      <c r="B37" s="200"/>
      <c r="C37" s="221"/>
      <c r="D37" s="222"/>
      <c r="E37" s="239" t="s">
        <v>169</v>
      </c>
      <c r="F37" s="239" t="s">
        <v>14</v>
      </c>
      <c r="G37" s="240"/>
      <c r="H37" s="241"/>
      <c r="I37" s="242"/>
      <c r="J37" s="242"/>
      <c r="K37" s="242"/>
      <c r="L37" s="242"/>
      <c r="M37" s="243"/>
      <c r="N37" s="6"/>
      <c r="O37" s="488"/>
      <c r="P37" s="6"/>
      <c r="Q37" s="6"/>
      <c r="R37" s="331"/>
      <c r="S37" s="332"/>
      <c r="T37" s="333"/>
      <c r="U37" s="394"/>
      <c r="V37" s="377"/>
      <c r="W37" s="678" t="s">
        <v>14</v>
      </c>
      <c r="X37" s="679"/>
      <c r="Y37" s="378"/>
      <c r="Z37" s="379"/>
      <c r="AA37" s="378"/>
      <c r="AB37" s="379"/>
      <c r="AC37" s="378"/>
      <c r="AD37" s="379"/>
      <c r="AE37" s="378"/>
      <c r="AF37" s="379"/>
      <c r="AG37" s="378"/>
      <c r="AH37" s="379"/>
      <c r="AI37" s="378"/>
      <c r="AJ37" s="379"/>
      <c r="AK37" s="379"/>
      <c r="AL37" s="379"/>
      <c r="AM37" s="378"/>
      <c r="AN37" s="379"/>
      <c r="AO37" s="380"/>
      <c r="AP37" s="379"/>
      <c r="AQ37" s="380"/>
      <c r="AR37" s="379"/>
      <c r="AS37" s="380"/>
      <c r="AT37" s="379"/>
      <c r="AU37" s="380"/>
      <c r="AV37" s="379"/>
      <c r="AW37" s="395"/>
      <c r="AX37" s="395"/>
      <c r="AY37" s="5"/>
    </row>
    <row r="38" spans="1:59" ht="16.899999999999999" customHeight="1" x14ac:dyDescent="0.25">
      <c r="A38" s="179"/>
      <c r="B38" s="180"/>
      <c r="C38" s="151"/>
      <c r="D38" s="151">
        <v>16</v>
      </c>
      <c r="E38" s="244" t="s">
        <v>112</v>
      </c>
      <c r="F38" s="229" t="s">
        <v>106</v>
      </c>
      <c r="G38" s="183"/>
      <c r="H38" s="184"/>
      <c r="I38" s="185"/>
      <c r="J38" s="184"/>
      <c r="K38" s="185"/>
      <c r="L38" s="184"/>
      <c r="M38" s="186"/>
      <c r="N38" s="6"/>
      <c r="O38" s="488"/>
      <c r="P38" s="6"/>
      <c r="Q38" s="6"/>
      <c r="R38" s="331"/>
      <c r="S38" s="332"/>
      <c r="T38" s="333"/>
      <c r="U38" s="337"/>
      <c r="V38" s="386">
        <v>16</v>
      </c>
      <c r="W38" s="396" t="s">
        <v>112</v>
      </c>
      <c r="X38" s="381" t="s">
        <v>106</v>
      </c>
      <c r="Y38" s="338"/>
      <c r="Z38" s="339"/>
      <c r="AA38" s="316"/>
      <c r="AB38" s="355"/>
      <c r="AC38" s="316"/>
      <c r="AD38" s="355"/>
      <c r="AE38" s="316"/>
      <c r="AF38" s="355"/>
      <c r="AG38" s="316"/>
      <c r="AH38" s="355"/>
      <c r="AI38" s="316"/>
      <c r="AJ38" s="355"/>
      <c r="AK38" s="355"/>
      <c r="AL38" s="355"/>
      <c r="AM38" s="316"/>
      <c r="AN38" s="355"/>
      <c r="AO38" s="397"/>
      <c r="AP38" s="355"/>
      <c r="AQ38" s="397"/>
      <c r="AR38" s="355"/>
      <c r="AS38" s="397"/>
      <c r="AT38" s="355"/>
      <c r="AU38" s="397"/>
      <c r="AV38" s="355"/>
      <c r="AW38" s="341">
        <f t="shared" ref="AW38:AW44" si="66">SUM(Y38+AA38+AC38+AE38+AG38+AI38+AK38+AM38+AO38+AQ38+AS38+AU38)</f>
        <v>0</v>
      </c>
      <c r="AX38" s="341">
        <f t="shared" ref="AX38:AX44" si="67">Z38+AB38+AD38+AF38+AH38+AJ38+AL38+AN38+AP38+AR38+AT38+AV38</f>
        <v>0</v>
      </c>
      <c r="AY38" s="5"/>
    </row>
    <row r="39" spans="1:59" ht="16.899999999999999" customHeight="1" x14ac:dyDescent="0.25">
      <c r="A39" s="179"/>
      <c r="B39" s="180"/>
      <c r="C39" s="151"/>
      <c r="D39" s="151"/>
      <c r="E39" s="234" t="s">
        <v>113</v>
      </c>
      <c r="F39" s="235" t="s">
        <v>107</v>
      </c>
      <c r="G39" s="236">
        <v>360000000</v>
      </c>
      <c r="H39" s="190">
        <f t="shared" ref="H39:H43" si="68">G39/R39</f>
        <v>24000</v>
      </c>
      <c r="I39" s="237">
        <f>AW39</f>
        <v>67590000</v>
      </c>
      <c r="J39" s="190">
        <f t="shared" ref="J39:J43" si="69">I39/R39</f>
        <v>4506</v>
      </c>
      <c r="K39" s="191">
        <f t="shared" ref="K39:L43" si="70">I39-G39</f>
        <v>-292410000</v>
      </c>
      <c r="L39" s="190">
        <f t="shared" si="70"/>
        <v>-19494</v>
      </c>
      <c r="M39" s="192">
        <f>SUM(I39/G39*100)</f>
        <v>18.774999999999999</v>
      </c>
      <c r="N39" s="6"/>
      <c r="O39" s="488"/>
      <c r="P39" s="6"/>
      <c r="Q39" s="6"/>
      <c r="R39" s="331">
        <v>15000</v>
      </c>
      <c r="S39" s="332"/>
      <c r="T39" s="333"/>
      <c r="U39" s="337"/>
      <c r="V39" s="386"/>
      <c r="W39" s="389" t="s">
        <v>113</v>
      </c>
      <c r="X39" s="390" t="s">
        <v>107</v>
      </c>
      <c r="Y39" s="338">
        <f>SUM('[1]JANUARI 26'!AN23)</f>
        <v>6615000</v>
      </c>
      <c r="Z39" s="339">
        <f t="shared" ref="Z39:Z43" si="71">Y39/R39</f>
        <v>441</v>
      </c>
      <c r="AA39" s="331">
        <f>SUM('[1]FEBRUARI 26'!AN23)</f>
        <v>4050000</v>
      </c>
      <c r="AB39" s="398">
        <f>SUM(AA39/R39)</f>
        <v>270</v>
      </c>
      <c r="AC39" s="331">
        <f>SUM('[1]MARET 26'!AR23)</f>
        <v>4365000</v>
      </c>
      <c r="AD39" s="399">
        <f>SUM(AC39/R39)</f>
        <v>291</v>
      </c>
      <c r="AE39" s="331">
        <f>SUM('[1]APRIL 26'!AL23)</f>
        <v>7605000</v>
      </c>
      <c r="AF39" s="399">
        <f t="shared" ref="AF39:AF43" si="72">SUM(AE39/R39)</f>
        <v>507</v>
      </c>
      <c r="AG39" s="331">
        <f>SUM('[1]MEI 26'!AP23)</f>
        <v>8445000</v>
      </c>
      <c r="AH39" s="399">
        <f>SUM(AG39/R39)</f>
        <v>563</v>
      </c>
      <c r="AI39" s="616">
        <f>SUM('[1]JUNI 26'!AJ23)</f>
        <v>13875000</v>
      </c>
      <c r="AJ39" s="399">
        <f>SUM(AI39/R39)</f>
        <v>925</v>
      </c>
      <c r="AK39" s="331">
        <f>SUM('[1]JULI 26'!AM23)</f>
        <v>7500000</v>
      </c>
      <c r="AL39" s="399">
        <f>SUM(AK39/R39)</f>
        <v>500</v>
      </c>
      <c r="AM39" s="331">
        <f>SUM('[1]AGUSTUS 26'!AQ23)</f>
        <v>5580000</v>
      </c>
      <c r="AN39" s="399">
        <f t="shared" ref="AN39:AN43" si="73">SUM(AM39/R39)</f>
        <v>372</v>
      </c>
      <c r="AO39" s="331">
        <f>SUM('[1]SEPTEMBER 26'!AK23)</f>
        <v>9555000</v>
      </c>
      <c r="AP39" s="399">
        <f t="shared" ref="AP39:AP43" si="74">SUM(AO39/R39)</f>
        <v>637</v>
      </c>
      <c r="AQ39" s="331"/>
      <c r="AR39" s="399">
        <f>SUM(AQ39/R39)</f>
        <v>0</v>
      </c>
      <c r="AS39" s="331"/>
      <c r="AT39" s="399">
        <f>SUM(AS39/R39)</f>
        <v>0</v>
      </c>
      <c r="AU39" s="331"/>
      <c r="AV39" s="398"/>
      <c r="AW39" s="341">
        <f t="shared" si="66"/>
        <v>67590000</v>
      </c>
      <c r="AX39" s="341">
        <f t="shared" si="67"/>
        <v>4506</v>
      </c>
      <c r="AY39" s="5"/>
    </row>
    <row r="40" spans="1:59" ht="30" customHeight="1" x14ac:dyDescent="0.25">
      <c r="A40" s="661"/>
      <c r="B40" s="662"/>
      <c r="C40" s="663"/>
      <c r="D40" s="663"/>
      <c r="E40" s="664" t="s">
        <v>114</v>
      </c>
      <c r="F40" s="665" t="s">
        <v>108</v>
      </c>
      <c r="G40" s="666">
        <v>44000000</v>
      </c>
      <c r="H40" s="667">
        <f t="shared" si="68"/>
        <v>3520</v>
      </c>
      <c r="I40" s="668">
        <f t="shared" ref="I40:I43" si="75">AW40</f>
        <v>24225000</v>
      </c>
      <c r="J40" s="667">
        <f t="shared" si="69"/>
        <v>1938</v>
      </c>
      <c r="K40" s="669">
        <f t="shared" si="70"/>
        <v>-19775000</v>
      </c>
      <c r="L40" s="667">
        <f t="shared" si="70"/>
        <v>-1582</v>
      </c>
      <c r="M40" s="670">
        <f t="shared" ref="M40:M43" si="76">SUM(I40/G40*100)</f>
        <v>55.05681818181818</v>
      </c>
      <c r="N40" s="6"/>
      <c r="O40" s="488"/>
      <c r="P40" s="6"/>
      <c r="Q40" s="6"/>
      <c r="R40" s="331">
        <v>12500</v>
      </c>
      <c r="S40" s="332"/>
      <c r="T40" s="333"/>
      <c r="U40" s="337"/>
      <c r="V40" s="400"/>
      <c r="W40" s="389" t="s">
        <v>114</v>
      </c>
      <c r="X40" s="401" t="s">
        <v>108</v>
      </c>
      <c r="Y40" s="338">
        <f>SUM('[1]JANUARI 26'!AN24)</f>
        <v>2825000</v>
      </c>
      <c r="Z40" s="339">
        <f t="shared" si="71"/>
        <v>226</v>
      </c>
      <c r="AA40" s="331">
        <f>SUM('[1]FEBRUARI 26'!AN24)</f>
        <v>1437500</v>
      </c>
      <c r="AB40" s="398">
        <f>SUM(AA40/R40)</f>
        <v>115</v>
      </c>
      <c r="AC40" s="331">
        <f>SUM('[1]MARET 26'!AR24)</f>
        <v>2150000</v>
      </c>
      <c r="AD40" s="339">
        <f t="shared" ref="AD40:AD43" si="77">SUM(AC40/R40)</f>
        <v>172</v>
      </c>
      <c r="AE40" s="331">
        <f>SUM('[1]APRIL 26'!AL24)</f>
        <v>2387500</v>
      </c>
      <c r="AF40" s="339">
        <f t="shared" si="72"/>
        <v>191</v>
      </c>
      <c r="AG40" s="338">
        <f>SUM('[1]MEI 26'!AP24)</f>
        <v>3137500</v>
      </c>
      <c r="AH40" s="339">
        <f t="shared" ref="AH40:AH43" si="78">SUM(AG40/R40)</f>
        <v>251</v>
      </c>
      <c r="AI40" s="338">
        <f>SUM('[1]JUNI 26'!AJ24)</f>
        <v>3425000</v>
      </c>
      <c r="AJ40" s="339">
        <f t="shared" ref="AJ40:AJ43" si="79">SUM(AI40/R40)</f>
        <v>274</v>
      </c>
      <c r="AK40" s="331">
        <f>SUM('[1]JULI 26'!AM24)</f>
        <v>3237500</v>
      </c>
      <c r="AL40" s="339">
        <f t="shared" ref="AL40:AL43" si="80">SUM(AK40/R40)</f>
        <v>259</v>
      </c>
      <c r="AM40" s="338">
        <f>SUM('[1]AGUSTUS 26'!AQ24)</f>
        <v>2300000</v>
      </c>
      <c r="AN40" s="339">
        <f t="shared" si="73"/>
        <v>184</v>
      </c>
      <c r="AO40" s="338">
        <f>SUM('[1]SEPTEMBER 26'!AK24)</f>
        <v>3325000</v>
      </c>
      <c r="AP40" s="339">
        <f t="shared" si="74"/>
        <v>266</v>
      </c>
      <c r="AQ40" s="338"/>
      <c r="AR40" s="339">
        <f t="shared" ref="AR40:AR43" si="81">SUM(AQ40/R40)</f>
        <v>0</v>
      </c>
      <c r="AS40" s="338"/>
      <c r="AT40" s="339">
        <f t="shared" ref="AT40:AT43" si="82">SUM(AS40/R40)</f>
        <v>0</v>
      </c>
      <c r="AU40" s="340"/>
      <c r="AV40" s="398"/>
      <c r="AW40" s="341">
        <f t="shared" si="66"/>
        <v>24225000</v>
      </c>
      <c r="AX40" s="341">
        <f t="shared" si="67"/>
        <v>1938</v>
      </c>
      <c r="AY40" s="5"/>
    </row>
    <row r="41" spans="1:59" ht="30.6" customHeight="1" x14ac:dyDescent="0.25">
      <c r="A41" s="179"/>
      <c r="B41" s="180"/>
      <c r="C41" s="151"/>
      <c r="D41" s="151">
        <v>18</v>
      </c>
      <c r="E41" s="250" t="s">
        <v>115</v>
      </c>
      <c r="F41" s="251" t="s">
        <v>170</v>
      </c>
      <c r="G41" s="252">
        <v>6750000000</v>
      </c>
      <c r="H41" s="210">
        <f t="shared" si="68"/>
        <v>1125000</v>
      </c>
      <c r="I41" s="262">
        <f t="shared" si="75"/>
        <v>1501938000</v>
      </c>
      <c r="J41" s="210">
        <f t="shared" si="69"/>
        <v>250323</v>
      </c>
      <c r="K41" s="211">
        <f t="shared" si="70"/>
        <v>-5248062000</v>
      </c>
      <c r="L41" s="210">
        <f t="shared" si="70"/>
        <v>-874677</v>
      </c>
      <c r="M41" s="212">
        <f t="shared" si="76"/>
        <v>22.250933333333332</v>
      </c>
      <c r="N41" s="6"/>
      <c r="O41" s="488"/>
      <c r="P41" s="6"/>
      <c r="Q41" s="6"/>
      <c r="R41" s="331">
        <v>6000</v>
      </c>
      <c r="S41" s="332"/>
      <c r="T41" s="333"/>
      <c r="U41" s="337"/>
      <c r="V41" s="386">
        <v>18</v>
      </c>
      <c r="W41" s="389" t="s">
        <v>115</v>
      </c>
      <c r="X41" s="402" t="s">
        <v>109</v>
      </c>
      <c r="Y41" s="338">
        <f>SUM('[1]JANUARI 26'!AN25)</f>
        <v>163080000</v>
      </c>
      <c r="Z41" s="339">
        <f t="shared" si="71"/>
        <v>27180</v>
      </c>
      <c r="AA41" s="331">
        <f>SUM('[1]FEBRUARI 26'!AN25)</f>
        <v>63582000</v>
      </c>
      <c r="AB41" s="398">
        <f t="shared" ref="AB41:AB43" si="83">SUM(AA41/R41)</f>
        <v>10597</v>
      </c>
      <c r="AC41" s="331">
        <f>SUM('[1]MARET 26'!AR25)</f>
        <v>143538000</v>
      </c>
      <c r="AD41" s="339">
        <f t="shared" si="77"/>
        <v>23923</v>
      </c>
      <c r="AE41" s="331">
        <f>SUM('[1]APRIL 26'!AL25)</f>
        <v>165996000</v>
      </c>
      <c r="AF41" s="339">
        <f t="shared" si="72"/>
        <v>27666</v>
      </c>
      <c r="AG41" s="338">
        <f>SUM('[1]MEI 26'!AP25)</f>
        <v>226320000</v>
      </c>
      <c r="AH41" s="339">
        <f t="shared" si="78"/>
        <v>37720</v>
      </c>
      <c r="AI41" s="338">
        <f>SUM('[1]JUNI 26'!AJ25)</f>
        <v>206886000</v>
      </c>
      <c r="AJ41" s="339">
        <f t="shared" si="79"/>
        <v>34481</v>
      </c>
      <c r="AK41" s="331">
        <f>SUM('[1]JULI 26'!AM25)</f>
        <v>218508000</v>
      </c>
      <c r="AL41" s="339">
        <f t="shared" si="80"/>
        <v>36418</v>
      </c>
      <c r="AM41" s="338">
        <f>SUM('[1]AGUSTUS 26'!AQ25)</f>
        <v>180132000</v>
      </c>
      <c r="AN41" s="339">
        <f t="shared" si="73"/>
        <v>30022</v>
      </c>
      <c r="AO41" s="338">
        <f>SUM('[1]SEPTEMBER 26'!AK25)</f>
        <v>133896000</v>
      </c>
      <c r="AP41" s="339">
        <f t="shared" si="74"/>
        <v>22316</v>
      </c>
      <c r="AQ41" s="338"/>
      <c r="AR41" s="339">
        <f t="shared" si="81"/>
        <v>0</v>
      </c>
      <c r="AS41" s="338"/>
      <c r="AT41" s="339">
        <f t="shared" si="82"/>
        <v>0</v>
      </c>
      <c r="AU41" s="340"/>
      <c r="AV41" s="398"/>
      <c r="AW41" s="341">
        <f t="shared" si="66"/>
        <v>1501938000</v>
      </c>
      <c r="AX41" s="341">
        <f t="shared" si="67"/>
        <v>250323</v>
      </c>
      <c r="AY41" s="5"/>
    </row>
    <row r="42" spans="1:59" ht="16.899999999999999" customHeight="1" x14ac:dyDescent="0.25">
      <c r="A42" s="179"/>
      <c r="B42" s="180"/>
      <c r="C42" s="151"/>
      <c r="D42" s="151">
        <v>19</v>
      </c>
      <c r="E42" s="234" t="s">
        <v>116</v>
      </c>
      <c r="F42" s="235" t="s">
        <v>110</v>
      </c>
      <c r="G42" s="236">
        <v>5224998000</v>
      </c>
      <c r="H42" s="190">
        <f t="shared" si="68"/>
        <v>1741666</v>
      </c>
      <c r="I42" s="237">
        <f t="shared" si="75"/>
        <v>1302159000</v>
      </c>
      <c r="J42" s="190">
        <f t="shared" si="69"/>
        <v>434053</v>
      </c>
      <c r="K42" s="191">
        <f t="shared" si="70"/>
        <v>-3922839000</v>
      </c>
      <c r="L42" s="190">
        <f t="shared" si="70"/>
        <v>-1307613</v>
      </c>
      <c r="M42" s="192">
        <f t="shared" si="76"/>
        <v>24.921712888693929</v>
      </c>
      <c r="N42" s="6"/>
      <c r="O42" s="488"/>
      <c r="P42" s="6"/>
      <c r="Q42" s="6"/>
      <c r="R42" s="331">
        <v>3000</v>
      </c>
      <c r="S42" s="332"/>
      <c r="T42" s="333"/>
      <c r="U42" s="337"/>
      <c r="V42" s="386">
        <v>19</v>
      </c>
      <c r="W42" s="389" t="s">
        <v>116</v>
      </c>
      <c r="X42" s="390" t="s">
        <v>110</v>
      </c>
      <c r="Y42" s="338">
        <f>SUM('[1]JANUARI 26'!AN26)</f>
        <v>132207000</v>
      </c>
      <c r="Z42" s="339">
        <f t="shared" si="71"/>
        <v>44069</v>
      </c>
      <c r="AA42" s="331">
        <f>SUM('[1]FEBRUARI 26'!AN26)</f>
        <v>51009000</v>
      </c>
      <c r="AB42" s="398">
        <f t="shared" si="83"/>
        <v>17003</v>
      </c>
      <c r="AC42" s="331">
        <f>SUM('[1]MARET 26'!AR26)</f>
        <v>157923000</v>
      </c>
      <c r="AD42" s="339">
        <f t="shared" si="77"/>
        <v>52641</v>
      </c>
      <c r="AE42" s="331">
        <f>SUM('[1]APRIL 26'!AL26)</f>
        <v>154029000</v>
      </c>
      <c r="AF42" s="339">
        <f t="shared" si="72"/>
        <v>51343</v>
      </c>
      <c r="AG42" s="338">
        <f>SUM('[1]MEI 26'!AP26)</f>
        <v>183645000</v>
      </c>
      <c r="AH42" s="339">
        <f t="shared" si="78"/>
        <v>61215</v>
      </c>
      <c r="AI42" s="338">
        <f>SUM('[1]JUNI 26'!AJ26)</f>
        <v>183870000</v>
      </c>
      <c r="AJ42" s="339">
        <f t="shared" si="79"/>
        <v>61290</v>
      </c>
      <c r="AK42" s="331">
        <f>SUM('[1]JULI 26'!AM26)</f>
        <v>174495000</v>
      </c>
      <c r="AL42" s="339">
        <f t="shared" si="80"/>
        <v>58165</v>
      </c>
      <c r="AM42" s="338">
        <f>SUM('[1]AGUSTUS 26'!AQ26)</f>
        <v>153264000</v>
      </c>
      <c r="AN42" s="339">
        <f t="shared" si="73"/>
        <v>51088</v>
      </c>
      <c r="AO42" s="338">
        <f>SUM('[1]SEPTEMBER 26'!AK26)</f>
        <v>111717000</v>
      </c>
      <c r="AP42" s="339">
        <f t="shared" si="74"/>
        <v>37239</v>
      </c>
      <c r="AQ42" s="338"/>
      <c r="AR42" s="339">
        <f t="shared" si="81"/>
        <v>0</v>
      </c>
      <c r="AS42" s="338"/>
      <c r="AT42" s="339">
        <f t="shared" si="82"/>
        <v>0</v>
      </c>
      <c r="AU42" s="340"/>
      <c r="AV42" s="398"/>
      <c r="AW42" s="341">
        <f t="shared" si="66"/>
        <v>1302159000</v>
      </c>
      <c r="AX42" s="341">
        <f t="shared" si="67"/>
        <v>434053</v>
      </c>
      <c r="AY42" s="5"/>
    </row>
    <row r="43" spans="1:59" ht="16.899999999999999" customHeight="1" x14ac:dyDescent="0.25">
      <c r="A43" s="179"/>
      <c r="B43" s="180"/>
      <c r="C43" s="151"/>
      <c r="D43" s="151">
        <v>20</v>
      </c>
      <c r="E43" s="215" t="s">
        <v>117</v>
      </c>
      <c r="F43" s="229" t="s">
        <v>111</v>
      </c>
      <c r="G43" s="253">
        <v>125002000</v>
      </c>
      <c r="H43" s="190">
        <f t="shared" si="68"/>
        <v>125002</v>
      </c>
      <c r="I43" s="237">
        <f t="shared" si="75"/>
        <v>28272000</v>
      </c>
      <c r="J43" s="190">
        <f t="shared" si="69"/>
        <v>28272</v>
      </c>
      <c r="K43" s="191">
        <f t="shared" si="70"/>
        <v>-96730000</v>
      </c>
      <c r="L43" s="190">
        <f t="shared" si="70"/>
        <v>-96730</v>
      </c>
      <c r="M43" s="192">
        <f t="shared" si="76"/>
        <v>22.617238124190013</v>
      </c>
      <c r="N43" s="6"/>
      <c r="O43" s="488"/>
      <c r="P43" s="6"/>
      <c r="Q43" s="6"/>
      <c r="R43" s="331">
        <v>1000</v>
      </c>
      <c r="S43" s="332"/>
      <c r="T43" s="403"/>
      <c r="U43" s="337"/>
      <c r="V43" s="386">
        <v>20</v>
      </c>
      <c r="W43" s="404" t="s">
        <v>117</v>
      </c>
      <c r="X43" s="381" t="s">
        <v>111</v>
      </c>
      <c r="Y43" s="338">
        <f>SUM('[1]JANUARI 26'!AN27)</f>
        <v>1887000</v>
      </c>
      <c r="Z43" s="339">
        <f t="shared" si="71"/>
        <v>1887</v>
      </c>
      <c r="AA43" s="331">
        <f>SUM('[1]FEBRUARI 26'!AN27)</f>
        <v>999000</v>
      </c>
      <c r="AB43" s="398">
        <f t="shared" si="83"/>
        <v>999</v>
      </c>
      <c r="AC43" s="331">
        <f>SUM('[1]MARET 26'!AR27)</f>
        <v>790000</v>
      </c>
      <c r="AD43" s="406">
        <f t="shared" si="77"/>
        <v>790</v>
      </c>
      <c r="AE43" s="331">
        <f>SUM('[1]APRIL 26'!AL27)</f>
        <v>2480000</v>
      </c>
      <c r="AF43" s="339">
        <f t="shared" si="72"/>
        <v>2480</v>
      </c>
      <c r="AG43" s="338">
        <f>SUM('[1]MEI 26'!AP27)</f>
        <v>4366000</v>
      </c>
      <c r="AH43" s="339">
        <f t="shared" si="78"/>
        <v>4366</v>
      </c>
      <c r="AI43" s="338">
        <f>SUM('[1]JUNI 26'!AJ27)</f>
        <v>3924000</v>
      </c>
      <c r="AJ43" s="339">
        <f t="shared" si="79"/>
        <v>3924</v>
      </c>
      <c r="AK43" s="331">
        <f>SUM('[1]JULI 26'!AM27)</f>
        <v>4421000</v>
      </c>
      <c r="AL43" s="339">
        <f t="shared" si="80"/>
        <v>4421</v>
      </c>
      <c r="AM43" s="338">
        <f>SUM('[1]AGUSTUS 26'!AQ27)</f>
        <v>5425000</v>
      </c>
      <c r="AN43" s="339">
        <f t="shared" si="73"/>
        <v>5425</v>
      </c>
      <c r="AO43" s="338">
        <f>SUM('[1]SEPTEMBER 26'!AK27)</f>
        <v>3980000</v>
      </c>
      <c r="AP43" s="339">
        <f t="shared" si="74"/>
        <v>3980</v>
      </c>
      <c r="AQ43" s="338"/>
      <c r="AR43" s="339">
        <f t="shared" si="81"/>
        <v>0</v>
      </c>
      <c r="AS43" s="338"/>
      <c r="AT43" s="339">
        <f t="shared" si="82"/>
        <v>0</v>
      </c>
      <c r="AU43" s="340"/>
      <c r="AV43" s="355"/>
      <c r="AW43" s="356">
        <f t="shared" si="66"/>
        <v>28272000</v>
      </c>
      <c r="AX43" s="356">
        <f t="shared" si="67"/>
        <v>28272</v>
      </c>
      <c r="AY43" s="5"/>
    </row>
    <row r="44" spans="1:59" ht="22.5" customHeight="1" x14ac:dyDescent="0.25">
      <c r="A44" s="254" t="s">
        <v>206</v>
      </c>
      <c r="B44" s="254"/>
      <c r="C44" s="255">
        <v>4</v>
      </c>
      <c r="D44" s="217">
        <v>5</v>
      </c>
      <c r="E44" s="680" t="s">
        <v>213</v>
      </c>
      <c r="F44" s="681"/>
      <c r="G44" s="256">
        <f>SUM(G46:G66)</f>
        <v>3548500000</v>
      </c>
      <c r="H44" s="257">
        <f t="shared" ref="H44:L44" si="84">SUM(H46:H66)</f>
        <v>378921</v>
      </c>
      <c r="I44" s="256">
        <f t="shared" si="84"/>
        <v>604610000</v>
      </c>
      <c r="J44" s="257">
        <f t="shared" si="84"/>
        <v>77740</v>
      </c>
      <c r="K44" s="256">
        <f t="shared" si="84"/>
        <v>-2943890000</v>
      </c>
      <c r="L44" s="257">
        <f t="shared" si="84"/>
        <v>-301181</v>
      </c>
      <c r="M44" s="256">
        <f>SUM(I44/G44*100)</f>
        <v>17.03846695786952</v>
      </c>
      <c r="N44" s="6"/>
      <c r="O44" s="488"/>
      <c r="P44" s="6"/>
      <c r="Q44" s="6"/>
      <c r="R44" s="316"/>
      <c r="S44" s="333" t="s">
        <v>206</v>
      </c>
      <c r="T44" s="337"/>
      <c r="U44" s="407">
        <v>4</v>
      </c>
      <c r="V44" s="372">
        <v>5</v>
      </c>
      <c r="W44" s="682" t="s">
        <v>213</v>
      </c>
      <c r="X44" s="682"/>
      <c r="Y44" s="408">
        <f>SUM(Y46:Y66)</f>
        <v>57955000</v>
      </c>
      <c r="Z44" s="408">
        <f t="shared" ref="Z44" si="85">SUM(Z46:Z66)</f>
        <v>5563</v>
      </c>
      <c r="AA44" s="408">
        <f>SUM(AA46:AA66)</f>
        <v>28135000</v>
      </c>
      <c r="AB44" s="408">
        <f t="shared" ref="AB44:AD44" si="86">SUM(AB46:AB66)</f>
        <v>1600</v>
      </c>
      <c r="AC44" s="408">
        <f>SUM(AC46:AC66)</f>
        <v>69890000</v>
      </c>
      <c r="AD44" s="408">
        <f t="shared" si="86"/>
        <v>5324</v>
      </c>
      <c r="AE44" s="408">
        <f>SUM(AE46:AE66)</f>
        <v>74315000</v>
      </c>
      <c r="AF44" s="408">
        <f t="shared" ref="AF44:AH44" si="87">SUM(AF46:AF66)</f>
        <v>9304</v>
      </c>
      <c r="AG44" s="408">
        <f>SUM(AG46:AG66)</f>
        <v>102425000</v>
      </c>
      <c r="AH44" s="408">
        <f t="shared" si="87"/>
        <v>7399</v>
      </c>
      <c r="AI44" s="408">
        <f>SUM(AI46:AI66)</f>
        <v>83400000</v>
      </c>
      <c r="AJ44" s="408">
        <f t="shared" ref="AJ44:AV44" si="88">SUM(AJ46:AJ66)</f>
        <v>12124</v>
      </c>
      <c r="AK44" s="408">
        <f t="shared" si="88"/>
        <v>47255000</v>
      </c>
      <c r="AL44" s="408">
        <f t="shared" si="88"/>
        <v>6553</v>
      </c>
      <c r="AM44" s="408">
        <f t="shared" si="88"/>
        <v>66210000</v>
      </c>
      <c r="AN44" s="409">
        <f t="shared" si="88"/>
        <v>10154</v>
      </c>
      <c r="AO44" s="408">
        <f t="shared" si="88"/>
        <v>75025000</v>
      </c>
      <c r="AP44" s="408">
        <f t="shared" si="88"/>
        <v>19719</v>
      </c>
      <c r="AQ44" s="408">
        <f t="shared" si="88"/>
        <v>0</v>
      </c>
      <c r="AR44" s="408">
        <f t="shared" si="88"/>
        <v>0</v>
      </c>
      <c r="AS44" s="408">
        <f t="shared" si="88"/>
        <v>0</v>
      </c>
      <c r="AT44" s="408">
        <f t="shared" si="88"/>
        <v>0</v>
      </c>
      <c r="AU44" s="408">
        <f t="shared" si="88"/>
        <v>0</v>
      </c>
      <c r="AV44" s="408">
        <f t="shared" si="88"/>
        <v>0</v>
      </c>
      <c r="AW44" s="410">
        <f t="shared" si="66"/>
        <v>604610000</v>
      </c>
      <c r="AX44" s="360">
        <f t="shared" si="67"/>
        <v>77740</v>
      </c>
      <c r="AY44" s="5"/>
    </row>
    <row r="45" spans="1:59" ht="16.149999999999999" customHeight="1" x14ac:dyDescent="0.25">
      <c r="A45" s="254"/>
      <c r="B45" s="200"/>
      <c r="C45" s="221"/>
      <c r="D45" s="258"/>
      <c r="E45" s="239" t="s">
        <v>173</v>
      </c>
      <c r="F45" s="239" t="s">
        <v>14</v>
      </c>
      <c r="G45" s="259"/>
      <c r="H45" s="259"/>
      <c r="I45" s="259"/>
      <c r="J45" s="259"/>
      <c r="K45" s="259"/>
      <c r="L45" s="259"/>
      <c r="M45" s="259"/>
      <c r="N45" s="6"/>
      <c r="O45" s="488"/>
      <c r="P45" s="6"/>
      <c r="Q45" s="6"/>
      <c r="R45" s="316"/>
      <c r="S45" s="333"/>
      <c r="T45" s="337"/>
      <c r="U45" s="411"/>
      <c r="V45" s="412"/>
      <c r="W45" s="683" t="s">
        <v>14</v>
      </c>
      <c r="X45" s="683"/>
      <c r="Y45" s="378"/>
      <c r="Z45" s="379"/>
      <c r="AA45" s="378"/>
      <c r="AB45" s="379"/>
      <c r="AC45" s="378"/>
      <c r="AD45" s="379"/>
      <c r="AE45" s="378"/>
      <c r="AF45" s="379"/>
      <c r="AG45" s="378"/>
      <c r="AH45" s="379"/>
      <c r="AI45" s="378"/>
      <c r="AJ45" s="379"/>
      <c r="AK45" s="379"/>
      <c r="AL45" s="379"/>
      <c r="AM45" s="378"/>
      <c r="AN45" s="379"/>
      <c r="AO45" s="380"/>
      <c r="AP45" s="379"/>
      <c r="AQ45" s="380"/>
      <c r="AR45" s="379"/>
      <c r="AS45" s="380"/>
      <c r="AT45" s="379"/>
      <c r="AU45" s="380"/>
      <c r="AV45" s="379"/>
      <c r="AW45" s="410"/>
      <c r="AX45" s="360"/>
      <c r="AY45" s="5"/>
    </row>
    <row r="46" spans="1:59" ht="15" customHeight="1" x14ac:dyDescent="0.25">
      <c r="A46" s="254"/>
      <c r="B46" s="151"/>
      <c r="C46" s="180"/>
      <c r="D46" s="151">
        <v>36</v>
      </c>
      <c r="E46" s="250" t="s">
        <v>129</v>
      </c>
      <c r="F46" s="260" t="s">
        <v>119</v>
      </c>
      <c r="G46" s="252"/>
      <c r="H46" s="261"/>
      <c r="I46" s="262"/>
      <c r="J46" s="261"/>
      <c r="K46" s="262"/>
      <c r="L46" s="261"/>
      <c r="M46" s="263"/>
      <c r="N46" s="6"/>
      <c r="O46" s="488"/>
      <c r="P46" s="6"/>
      <c r="Q46" s="6"/>
      <c r="R46" s="331"/>
      <c r="S46" s="333"/>
      <c r="T46" s="337"/>
      <c r="U46" s="335"/>
      <c r="V46" s="386">
        <v>36</v>
      </c>
      <c r="W46" s="383" t="s">
        <v>129</v>
      </c>
      <c r="X46" s="384" t="s">
        <v>119</v>
      </c>
      <c r="Y46" s="378"/>
      <c r="Z46" s="379"/>
      <c r="AA46" s="378"/>
      <c r="AB46" s="379"/>
      <c r="AC46" s="378"/>
      <c r="AD46" s="379"/>
      <c r="AE46" s="378"/>
      <c r="AF46" s="379"/>
      <c r="AG46" s="378"/>
      <c r="AH46" s="379"/>
      <c r="AI46" s="378"/>
      <c r="AJ46" s="379"/>
      <c r="AK46" s="379"/>
      <c r="AL46" s="379"/>
      <c r="AM46" s="378"/>
      <c r="AN46" s="379"/>
      <c r="AO46" s="380"/>
      <c r="AP46" s="379"/>
      <c r="AQ46" s="380"/>
      <c r="AR46" s="379"/>
      <c r="AS46" s="380"/>
      <c r="AT46" s="379"/>
      <c r="AU46" s="380"/>
      <c r="AV46" s="379"/>
      <c r="AW46" s="410"/>
      <c r="AX46" s="360"/>
      <c r="AY46" s="5"/>
    </row>
    <row r="47" spans="1:59" ht="15" customHeight="1" x14ac:dyDescent="0.25">
      <c r="A47" s="254"/>
      <c r="B47" s="151"/>
      <c r="C47" s="180"/>
      <c r="D47" s="151">
        <v>37</v>
      </c>
      <c r="E47" s="250" t="s">
        <v>130</v>
      </c>
      <c r="F47" s="264" t="s">
        <v>120</v>
      </c>
      <c r="G47" s="265">
        <v>7500000</v>
      </c>
      <c r="H47" s="190">
        <f t="shared" ref="H47:H66" si="89">G47/R47</f>
        <v>5</v>
      </c>
      <c r="I47" s="266">
        <f>AW47</f>
        <v>1500000</v>
      </c>
      <c r="J47" s="190">
        <f t="shared" ref="J47:J66" si="90">I47/R47</f>
        <v>1</v>
      </c>
      <c r="K47" s="191">
        <f>I47-G47</f>
        <v>-6000000</v>
      </c>
      <c r="L47" s="190">
        <f t="shared" ref="L47:L66" si="91">J47-H47</f>
        <v>-4</v>
      </c>
      <c r="M47" s="192">
        <f>SUM(I47/G47*100)</f>
        <v>20</v>
      </c>
      <c r="N47" s="6"/>
      <c r="O47" s="488"/>
      <c r="P47" s="6"/>
      <c r="Q47" s="6"/>
      <c r="R47" s="331">
        <v>1500000</v>
      </c>
      <c r="S47" s="333"/>
      <c r="T47" s="337"/>
      <c r="U47" s="335"/>
      <c r="V47" s="386">
        <v>37</v>
      </c>
      <c r="W47" s="387" t="s">
        <v>130</v>
      </c>
      <c r="X47" s="413" t="s">
        <v>120</v>
      </c>
      <c r="Y47" s="338">
        <f>SUM('[1]JANUARI 26'!AN28)</f>
        <v>0</v>
      </c>
      <c r="Z47" s="339">
        <f t="shared" ref="Z47:Z66" si="92">Y47/R47</f>
        <v>0</v>
      </c>
      <c r="AA47" s="331">
        <f>SUM('[1]FEBRUARI 26'!AN28)</f>
        <v>0</v>
      </c>
      <c r="AB47" s="414">
        <f>SUM(AA47/R47)</f>
        <v>0</v>
      </c>
      <c r="AC47" s="331">
        <f>SUM('[1]MARET 26'!AR28)</f>
        <v>0</v>
      </c>
      <c r="AD47" s="415">
        <f>SUM(AC47/R47)</f>
        <v>0</v>
      </c>
      <c r="AE47" s="331">
        <f>SUM('[1]APRIL 26'!AL28)</f>
        <v>0</v>
      </c>
      <c r="AF47" s="339">
        <f t="shared" ref="AF47:AF66" si="93">SUM(AE47/R47)</f>
        <v>0</v>
      </c>
      <c r="AG47" s="331">
        <f>SUM('[1]MEI 26'!AP28)</f>
        <v>0</v>
      </c>
      <c r="AH47" s="339">
        <f t="shared" ref="AH47:AH66" si="94">SUM(AG47/R47)</f>
        <v>0</v>
      </c>
      <c r="AI47" s="338">
        <f>SUM('[1]JUNI 26'!AJ28)</f>
        <v>0</v>
      </c>
      <c r="AJ47" s="339">
        <f>SUM(AI47/R47)</f>
        <v>0</v>
      </c>
      <c r="AK47" s="331">
        <f>SUM('[1]JULI 26'!AM28)</f>
        <v>0</v>
      </c>
      <c r="AL47" s="339">
        <f>SUM(AK47/R47)</f>
        <v>0</v>
      </c>
      <c r="AM47" s="338">
        <f>SUM('[1]AGUSTUS 26'!AQ28)</f>
        <v>1500000</v>
      </c>
      <c r="AN47" s="399">
        <f t="shared" ref="AN47:AN66" si="95">SUM(AM47/R47)</f>
        <v>1</v>
      </c>
      <c r="AO47" s="338">
        <f>SUM('[1]SEPTEMBER 26'!AK28)</f>
        <v>0</v>
      </c>
      <c r="AP47" s="339">
        <f t="shared" ref="AP47:AP66" si="96">SUM(AO47/R47)</f>
        <v>0</v>
      </c>
      <c r="AQ47" s="331"/>
      <c r="AR47" s="339">
        <f>SUM(AQ47/R47)</f>
        <v>0</v>
      </c>
      <c r="AS47" s="331"/>
      <c r="AT47" s="339">
        <f>SUM(AS47/R47)</f>
        <v>0</v>
      </c>
      <c r="AU47" s="340"/>
      <c r="AV47" s="414"/>
      <c r="AW47" s="341">
        <f t="shared" ref="AW47:AW70" si="97">SUM(Y47+AA47+AC47+AE47+AG47+AI47+AK47+AM47+AO47+AQ47+AS47+AU47)</f>
        <v>1500000</v>
      </c>
      <c r="AX47" s="341">
        <f t="shared" ref="AX47:AX66" si="98">Z47+AB47+AD47+AF47+AH47+AJ47+AL47+AN47+AP47+AR47+AT47+AV47</f>
        <v>1</v>
      </c>
      <c r="AY47" s="5"/>
    </row>
    <row r="48" spans="1:59" s="2" customFormat="1" ht="15" customHeight="1" x14ac:dyDescent="0.25">
      <c r="A48" s="267"/>
      <c r="B48" s="222"/>
      <c r="C48" s="268"/>
      <c r="D48" s="222">
        <v>39</v>
      </c>
      <c r="E48" s="234" t="s">
        <v>131</v>
      </c>
      <c r="F48" s="269" t="s">
        <v>121</v>
      </c>
      <c r="G48" s="270">
        <v>7500000</v>
      </c>
      <c r="H48" s="190">
        <f t="shared" si="89"/>
        <v>3</v>
      </c>
      <c r="I48" s="266">
        <f t="shared" ref="I48:I66" si="99">AW48</f>
        <v>2500000</v>
      </c>
      <c r="J48" s="190">
        <f t="shared" si="90"/>
        <v>1</v>
      </c>
      <c r="K48" s="191">
        <f t="shared" ref="K48:K66" si="100">I48-G48</f>
        <v>-5000000</v>
      </c>
      <c r="L48" s="190">
        <f t="shared" si="91"/>
        <v>-2</v>
      </c>
      <c r="M48" s="192">
        <f t="shared" ref="M48:M66" si="101">SUM(I48/G48*100)</f>
        <v>33.333333333333329</v>
      </c>
      <c r="N48" s="8"/>
      <c r="O48" s="489"/>
      <c r="P48" s="8"/>
      <c r="Q48" s="8"/>
      <c r="R48" s="416">
        <v>2500000</v>
      </c>
      <c r="S48" s="417"/>
      <c r="T48" s="418"/>
      <c r="U48" s="419"/>
      <c r="V48" s="377">
        <v>39</v>
      </c>
      <c r="W48" s="389" t="s">
        <v>131</v>
      </c>
      <c r="X48" s="420" t="s">
        <v>121</v>
      </c>
      <c r="Y48" s="338">
        <f>SUM('[1]JANUARI 26'!AN29)</f>
        <v>0</v>
      </c>
      <c r="Z48" s="339">
        <f t="shared" si="92"/>
        <v>0</v>
      </c>
      <c r="AA48" s="331">
        <f>SUM('[1]FEBRUARI 26'!AN29)</f>
        <v>0</v>
      </c>
      <c r="AB48" s="414">
        <f t="shared" ref="AB48:AB66" si="102">SUM(AA48/R48)</f>
        <v>0</v>
      </c>
      <c r="AC48" s="331">
        <f>SUM('[1]MARET 26'!AR29)</f>
        <v>0</v>
      </c>
      <c r="AD48" s="399">
        <f t="shared" ref="AD48:AD66" si="103">SUM(AC48/R48)</f>
        <v>0</v>
      </c>
      <c r="AE48" s="331">
        <f>SUM('[1]APRIL 26'!AL29)</f>
        <v>0</v>
      </c>
      <c r="AF48" s="339">
        <f t="shared" si="93"/>
        <v>0</v>
      </c>
      <c r="AG48" s="331">
        <f>SUM('[1]MEI 26'!AP29)</f>
        <v>0</v>
      </c>
      <c r="AH48" s="339">
        <f t="shared" si="94"/>
        <v>0</v>
      </c>
      <c r="AI48" s="338">
        <f>SUM('[1]JUNI 26'!AJ29)</f>
        <v>0</v>
      </c>
      <c r="AJ48" s="339">
        <f t="shared" ref="AJ48:AJ66" si="104">SUM(AI48/R48)</f>
        <v>0</v>
      </c>
      <c r="AK48" s="331">
        <f>SUM('[1]JULI 26'!AM29)</f>
        <v>2500000</v>
      </c>
      <c r="AL48" s="339">
        <f t="shared" ref="AL48:AL66" si="105">SUM(AK48/R48)</f>
        <v>1</v>
      </c>
      <c r="AM48" s="338">
        <f>SUM('[1]AGUSTUS 26'!AQ29)</f>
        <v>0</v>
      </c>
      <c r="AN48" s="399">
        <f t="shared" si="95"/>
        <v>0</v>
      </c>
      <c r="AO48" s="338">
        <f>SUM('[1]SEPTEMBER 26'!AK29)</f>
        <v>0</v>
      </c>
      <c r="AP48" s="339">
        <f t="shared" si="96"/>
        <v>0</v>
      </c>
      <c r="AQ48" s="331"/>
      <c r="AR48" s="339">
        <f t="shared" ref="AR48:AR66" si="106">SUM(AQ48/R48)</f>
        <v>0</v>
      </c>
      <c r="AS48" s="331"/>
      <c r="AT48" s="339">
        <f t="shared" ref="AT48:AT66" si="107">SUM(AS48/R48)</f>
        <v>0</v>
      </c>
      <c r="AU48" s="340"/>
      <c r="AV48" s="421"/>
      <c r="AW48" s="341">
        <f t="shared" si="97"/>
        <v>2500000</v>
      </c>
      <c r="AX48" s="341">
        <f t="shared" si="98"/>
        <v>1</v>
      </c>
      <c r="AY48" s="9"/>
      <c r="AZ48" s="10"/>
      <c r="BA48" s="10"/>
      <c r="BB48" s="11"/>
      <c r="BC48" s="11"/>
      <c r="BD48" s="11"/>
      <c r="BE48" s="11"/>
      <c r="BF48" s="11"/>
      <c r="BG48" s="11"/>
    </row>
    <row r="49" spans="1:52" ht="15" customHeight="1" x14ac:dyDescent="0.25">
      <c r="A49" s="254"/>
      <c r="B49" s="151"/>
      <c r="C49" s="180"/>
      <c r="D49" s="151">
        <v>40</v>
      </c>
      <c r="E49" s="234" t="s">
        <v>132</v>
      </c>
      <c r="F49" s="269" t="s">
        <v>122</v>
      </c>
      <c r="G49" s="270">
        <v>9500000</v>
      </c>
      <c r="H49" s="190">
        <f t="shared" si="89"/>
        <v>19</v>
      </c>
      <c r="I49" s="266">
        <f t="shared" si="99"/>
        <v>0</v>
      </c>
      <c r="J49" s="190">
        <f t="shared" si="90"/>
        <v>0</v>
      </c>
      <c r="K49" s="191">
        <f t="shared" si="100"/>
        <v>-9500000</v>
      </c>
      <c r="L49" s="190">
        <f t="shared" si="91"/>
        <v>-19</v>
      </c>
      <c r="M49" s="192">
        <f t="shared" si="101"/>
        <v>0</v>
      </c>
      <c r="N49" s="6"/>
      <c r="O49" s="488"/>
      <c r="P49" s="6"/>
      <c r="Q49" s="6"/>
      <c r="R49" s="331">
        <v>500000</v>
      </c>
      <c r="S49" s="333"/>
      <c r="T49" s="337"/>
      <c r="U49" s="335"/>
      <c r="V49" s="386">
        <v>40</v>
      </c>
      <c r="W49" s="389" t="s">
        <v>132</v>
      </c>
      <c r="X49" s="420" t="s">
        <v>122</v>
      </c>
      <c r="Y49" s="338">
        <f>SUM('[1]JANUARI 26'!AN30)</f>
        <v>0</v>
      </c>
      <c r="Z49" s="339">
        <f t="shared" si="92"/>
        <v>0</v>
      </c>
      <c r="AA49" s="331">
        <f>SUM('[1]FEBRUARI 26'!AN30)</f>
        <v>0</v>
      </c>
      <c r="AB49" s="414">
        <f t="shared" si="102"/>
        <v>0</v>
      </c>
      <c r="AC49" s="331">
        <f>SUM('[1]MARET 26'!AR30)</f>
        <v>0</v>
      </c>
      <c r="AD49" s="399">
        <f t="shared" si="103"/>
        <v>0</v>
      </c>
      <c r="AE49" s="331">
        <f>SUM('[1]APRIL 26'!AL30)</f>
        <v>0</v>
      </c>
      <c r="AF49" s="339">
        <f t="shared" si="93"/>
        <v>0</v>
      </c>
      <c r="AG49" s="331">
        <f>SUM('[1]MEI 26'!AP30)</f>
        <v>0</v>
      </c>
      <c r="AH49" s="339">
        <f t="shared" si="94"/>
        <v>0</v>
      </c>
      <c r="AI49" s="338">
        <f>SUM('[1]JUNI 26'!AJ30)</f>
        <v>0</v>
      </c>
      <c r="AJ49" s="339">
        <f t="shared" si="104"/>
        <v>0</v>
      </c>
      <c r="AK49" s="331">
        <f>SUM('[1]JULI 26'!AM30)</f>
        <v>0</v>
      </c>
      <c r="AL49" s="339">
        <f t="shared" si="105"/>
        <v>0</v>
      </c>
      <c r="AM49" s="338">
        <f>SUM('[1]AGUSTUS 26'!AQ30)</f>
        <v>0</v>
      </c>
      <c r="AN49" s="399">
        <f t="shared" si="95"/>
        <v>0</v>
      </c>
      <c r="AO49" s="338">
        <f>SUM('[1]SEPTEMBER 26'!AK30)</f>
        <v>0</v>
      </c>
      <c r="AP49" s="339">
        <f t="shared" si="96"/>
        <v>0</v>
      </c>
      <c r="AQ49" s="331"/>
      <c r="AR49" s="339">
        <f t="shared" si="106"/>
        <v>0</v>
      </c>
      <c r="AS49" s="331"/>
      <c r="AT49" s="339">
        <f t="shared" si="107"/>
        <v>0</v>
      </c>
      <c r="AU49" s="340"/>
      <c r="AV49" s="398"/>
      <c r="AW49" s="341">
        <f t="shared" si="97"/>
        <v>0</v>
      </c>
      <c r="AX49" s="341">
        <f t="shared" si="98"/>
        <v>0</v>
      </c>
      <c r="AY49" s="5"/>
    </row>
    <row r="50" spans="1:52" ht="15" customHeight="1" x14ac:dyDescent="0.25">
      <c r="A50" s="254"/>
      <c r="B50" s="151"/>
      <c r="C50" s="180"/>
      <c r="D50" s="151">
        <v>41</v>
      </c>
      <c r="E50" s="234" t="s">
        <v>133</v>
      </c>
      <c r="F50" s="269" t="s">
        <v>123</v>
      </c>
      <c r="G50" s="270">
        <v>1500000</v>
      </c>
      <c r="H50" s="190">
        <f t="shared" si="89"/>
        <v>6</v>
      </c>
      <c r="I50" s="266">
        <f t="shared" si="99"/>
        <v>0</v>
      </c>
      <c r="J50" s="190">
        <f t="shared" si="90"/>
        <v>0</v>
      </c>
      <c r="K50" s="191">
        <f t="shared" si="100"/>
        <v>-1500000</v>
      </c>
      <c r="L50" s="190">
        <f t="shared" si="91"/>
        <v>-6</v>
      </c>
      <c r="M50" s="192">
        <f t="shared" si="101"/>
        <v>0</v>
      </c>
      <c r="N50" s="6"/>
      <c r="O50" s="488"/>
      <c r="P50" s="6"/>
      <c r="Q50" s="6"/>
      <c r="R50" s="331">
        <v>250000</v>
      </c>
      <c r="S50" s="333"/>
      <c r="T50" s="337"/>
      <c r="U50" s="335"/>
      <c r="V50" s="386">
        <v>41</v>
      </c>
      <c r="W50" s="389" t="s">
        <v>133</v>
      </c>
      <c r="X50" s="420" t="s">
        <v>123</v>
      </c>
      <c r="Y50" s="338">
        <f>SUM('[1]JANUARI 26'!AN31)</f>
        <v>0</v>
      </c>
      <c r="Z50" s="339">
        <f t="shared" si="92"/>
        <v>0</v>
      </c>
      <c r="AA50" s="331">
        <f>SUM('[1]FEBRUARI 26'!AN31)</f>
        <v>0</v>
      </c>
      <c r="AB50" s="414">
        <f t="shared" si="102"/>
        <v>0</v>
      </c>
      <c r="AC50" s="331">
        <f>SUM('[1]MARET 26'!AR31)</f>
        <v>0</v>
      </c>
      <c r="AD50" s="399">
        <f t="shared" si="103"/>
        <v>0</v>
      </c>
      <c r="AE50" s="331">
        <f>SUM('[1]APRIL 26'!AL31)</f>
        <v>0</v>
      </c>
      <c r="AF50" s="339">
        <f t="shared" si="93"/>
        <v>0</v>
      </c>
      <c r="AG50" s="331">
        <f>SUM('[1]MEI 26'!AP31)</f>
        <v>0</v>
      </c>
      <c r="AH50" s="339">
        <f t="shared" si="94"/>
        <v>0</v>
      </c>
      <c r="AI50" s="338">
        <f>SUM('[1]JUNI 26'!AJ31)</f>
        <v>0</v>
      </c>
      <c r="AJ50" s="339">
        <f t="shared" si="104"/>
        <v>0</v>
      </c>
      <c r="AK50" s="331">
        <f>SUM('[1]JULI 26'!AM31)</f>
        <v>0</v>
      </c>
      <c r="AL50" s="339">
        <f t="shared" si="105"/>
        <v>0</v>
      </c>
      <c r="AM50" s="338">
        <f>SUM('[1]AGUSTUS 26'!AQ31)</f>
        <v>0</v>
      </c>
      <c r="AN50" s="399">
        <f t="shared" si="95"/>
        <v>0</v>
      </c>
      <c r="AO50" s="338">
        <f>SUM('[1]SEPTEMBER 26'!AK31)</f>
        <v>0</v>
      </c>
      <c r="AP50" s="339">
        <f t="shared" si="96"/>
        <v>0</v>
      </c>
      <c r="AQ50" s="331"/>
      <c r="AR50" s="339">
        <f t="shared" si="106"/>
        <v>0</v>
      </c>
      <c r="AS50" s="331"/>
      <c r="AT50" s="339">
        <f t="shared" si="107"/>
        <v>0</v>
      </c>
      <c r="AU50" s="340"/>
      <c r="AV50" s="398"/>
      <c r="AW50" s="341">
        <f t="shared" si="97"/>
        <v>0</v>
      </c>
      <c r="AX50" s="341">
        <f t="shared" si="98"/>
        <v>0</v>
      </c>
      <c r="AY50" s="5"/>
    </row>
    <row r="51" spans="1:52" ht="15" customHeight="1" x14ac:dyDescent="0.25">
      <c r="A51" s="254"/>
      <c r="B51" s="151"/>
      <c r="C51" s="180"/>
      <c r="D51" s="151">
        <v>42</v>
      </c>
      <c r="E51" s="234" t="s">
        <v>134</v>
      </c>
      <c r="F51" s="269" t="s">
        <v>124</v>
      </c>
      <c r="G51" s="270">
        <v>13500000</v>
      </c>
      <c r="H51" s="190">
        <f t="shared" si="89"/>
        <v>18</v>
      </c>
      <c r="I51" s="266">
        <f t="shared" si="99"/>
        <v>3000000</v>
      </c>
      <c r="J51" s="190">
        <f t="shared" si="90"/>
        <v>4</v>
      </c>
      <c r="K51" s="191">
        <f t="shared" si="100"/>
        <v>-10500000</v>
      </c>
      <c r="L51" s="190">
        <f t="shared" si="91"/>
        <v>-14</v>
      </c>
      <c r="M51" s="192">
        <f t="shared" si="101"/>
        <v>22.222222222222221</v>
      </c>
      <c r="N51" s="6"/>
      <c r="O51" s="488"/>
      <c r="P51" s="6"/>
      <c r="Q51" s="6"/>
      <c r="R51" s="331">
        <v>750000</v>
      </c>
      <c r="S51" s="422"/>
      <c r="T51" s="337"/>
      <c r="U51" s="335"/>
      <c r="V51" s="386">
        <v>42</v>
      </c>
      <c r="W51" s="389" t="s">
        <v>134</v>
      </c>
      <c r="X51" s="420" t="s">
        <v>124</v>
      </c>
      <c r="Y51" s="338">
        <f>SUM('[1]JANUARI 26'!AN32)</f>
        <v>0</v>
      </c>
      <c r="Z51" s="339">
        <f t="shared" si="92"/>
        <v>0</v>
      </c>
      <c r="AA51" s="331">
        <f>SUM('[1]FEBRUARI 26'!AN32)</f>
        <v>0</v>
      </c>
      <c r="AB51" s="414">
        <f t="shared" si="102"/>
        <v>0</v>
      </c>
      <c r="AC51" s="331">
        <f>SUM('[1]MARET 26'!AR32)</f>
        <v>0</v>
      </c>
      <c r="AD51" s="399">
        <f t="shared" si="103"/>
        <v>0</v>
      </c>
      <c r="AE51" s="331">
        <f>SUM('[1]APRIL 26'!AL32)</f>
        <v>0</v>
      </c>
      <c r="AF51" s="339">
        <f t="shared" si="93"/>
        <v>0</v>
      </c>
      <c r="AG51" s="331">
        <f>SUM('[1]MEI 26'!AP32)</f>
        <v>0</v>
      </c>
      <c r="AH51" s="339">
        <f t="shared" si="94"/>
        <v>0</v>
      </c>
      <c r="AI51" s="338">
        <f>SUM('[1]JUNI 26'!AJ32)</f>
        <v>1500000</v>
      </c>
      <c r="AJ51" s="339">
        <f t="shared" si="104"/>
        <v>2</v>
      </c>
      <c r="AK51" s="331">
        <f>SUM('[1]JULI 26'!AM32)</f>
        <v>750000</v>
      </c>
      <c r="AL51" s="339">
        <f t="shared" si="105"/>
        <v>1</v>
      </c>
      <c r="AM51" s="338">
        <f>SUM('[1]AGUSTUS 26'!AQ32)</f>
        <v>750000</v>
      </c>
      <c r="AN51" s="399">
        <f t="shared" si="95"/>
        <v>1</v>
      </c>
      <c r="AO51" s="338">
        <f>SUM('[1]SEPTEMBER 26'!AK32)</f>
        <v>0</v>
      </c>
      <c r="AP51" s="339">
        <f t="shared" si="96"/>
        <v>0</v>
      </c>
      <c r="AQ51" s="331"/>
      <c r="AR51" s="339">
        <f t="shared" si="106"/>
        <v>0</v>
      </c>
      <c r="AS51" s="331"/>
      <c r="AT51" s="339">
        <f t="shared" si="107"/>
        <v>0</v>
      </c>
      <c r="AU51" s="340"/>
      <c r="AV51" s="398"/>
      <c r="AW51" s="341">
        <f t="shared" si="97"/>
        <v>3000000</v>
      </c>
      <c r="AX51" s="341">
        <f t="shared" si="98"/>
        <v>4</v>
      </c>
      <c r="AY51" s="5"/>
    </row>
    <row r="52" spans="1:52" ht="15" customHeight="1" x14ac:dyDescent="0.25">
      <c r="A52" s="254"/>
      <c r="B52" s="151"/>
      <c r="C52" s="180"/>
      <c r="D52" s="151">
        <v>43</v>
      </c>
      <c r="E52" s="234" t="s">
        <v>135</v>
      </c>
      <c r="F52" s="269" t="s">
        <v>60</v>
      </c>
      <c r="G52" s="270">
        <v>5000000</v>
      </c>
      <c r="H52" s="190">
        <f t="shared" si="89"/>
        <v>5</v>
      </c>
      <c r="I52" s="266">
        <f t="shared" si="99"/>
        <v>0</v>
      </c>
      <c r="J52" s="190">
        <f t="shared" si="90"/>
        <v>0</v>
      </c>
      <c r="K52" s="191">
        <f t="shared" si="100"/>
        <v>-5000000</v>
      </c>
      <c r="L52" s="190">
        <f t="shared" si="91"/>
        <v>-5</v>
      </c>
      <c r="M52" s="192">
        <f t="shared" si="101"/>
        <v>0</v>
      </c>
      <c r="N52" s="6"/>
      <c r="O52" s="488"/>
      <c r="P52" s="6"/>
      <c r="Q52" s="6"/>
      <c r="R52" s="331">
        <v>1000000</v>
      </c>
      <c r="S52" s="422"/>
      <c r="T52" s="337"/>
      <c r="U52" s="335"/>
      <c r="V52" s="386">
        <v>43</v>
      </c>
      <c r="W52" s="389" t="s">
        <v>135</v>
      </c>
      <c r="X52" s="420" t="s">
        <v>60</v>
      </c>
      <c r="Y52" s="338">
        <f>SUM('[1]JANUARI 26'!AN33)</f>
        <v>0</v>
      </c>
      <c r="Z52" s="339">
        <f t="shared" si="92"/>
        <v>0</v>
      </c>
      <c r="AA52" s="331">
        <f>SUM('[1]FEBRUARI 26'!AN33)</f>
        <v>0</v>
      </c>
      <c r="AB52" s="414">
        <f t="shared" si="102"/>
        <v>0</v>
      </c>
      <c r="AC52" s="331">
        <f>SUM('[1]MARET 26'!AR33)</f>
        <v>0</v>
      </c>
      <c r="AD52" s="399">
        <f t="shared" si="103"/>
        <v>0</v>
      </c>
      <c r="AE52" s="331">
        <f>SUM('[1]APRIL 26'!AL33)</f>
        <v>0</v>
      </c>
      <c r="AF52" s="339">
        <f t="shared" si="93"/>
        <v>0</v>
      </c>
      <c r="AG52" s="331">
        <f>SUM('[1]MEI 26'!AP33)</f>
        <v>0</v>
      </c>
      <c r="AH52" s="339">
        <f t="shared" si="94"/>
        <v>0</v>
      </c>
      <c r="AI52" s="338">
        <f>SUM('[1]JUNI 26'!AJ33)</f>
        <v>0</v>
      </c>
      <c r="AJ52" s="339">
        <f t="shared" si="104"/>
        <v>0</v>
      </c>
      <c r="AK52" s="331">
        <f>SUM('[1]JULI 26'!AM33)</f>
        <v>0</v>
      </c>
      <c r="AL52" s="339">
        <f t="shared" si="105"/>
        <v>0</v>
      </c>
      <c r="AM52" s="338">
        <f>SUM('[1]AGUSTUS 26'!AQ33)</f>
        <v>0</v>
      </c>
      <c r="AN52" s="399">
        <f t="shared" si="95"/>
        <v>0</v>
      </c>
      <c r="AO52" s="338">
        <f>SUM('[1]SEPTEMBER 26'!AK33)</f>
        <v>0</v>
      </c>
      <c r="AP52" s="339">
        <f t="shared" si="96"/>
        <v>0</v>
      </c>
      <c r="AQ52" s="331"/>
      <c r="AR52" s="339">
        <f t="shared" si="106"/>
        <v>0</v>
      </c>
      <c r="AS52" s="331"/>
      <c r="AT52" s="339">
        <f t="shared" si="107"/>
        <v>0</v>
      </c>
      <c r="AU52" s="340"/>
      <c r="AV52" s="398"/>
      <c r="AW52" s="341">
        <f t="shared" si="97"/>
        <v>0</v>
      </c>
      <c r="AX52" s="341">
        <f t="shared" si="98"/>
        <v>0</v>
      </c>
      <c r="AY52" s="5"/>
    </row>
    <row r="53" spans="1:52" ht="15" customHeight="1" x14ac:dyDescent="0.25">
      <c r="A53" s="254"/>
      <c r="B53" s="151"/>
      <c r="C53" s="180"/>
      <c r="D53" s="151"/>
      <c r="E53" s="234" t="s">
        <v>136</v>
      </c>
      <c r="F53" s="269" t="s">
        <v>125</v>
      </c>
      <c r="G53" s="270">
        <v>4250000</v>
      </c>
      <c r="H53" s="190">
        <f t="shared" si="89"/>
        <v>17</v>
      </c>
      <c r="I53" s="266">
        <f t="shared" si="99"/>
        <v>750000</v>
      </c>
      <c r="J53" s="190">
        <f t="shared" si="90"/>
        <v>3</v>
      </c>
      <c r="K53" s="191">
        <f t="shared" si="100"/>
        <v>-3500000</v>
      </c>
      <c r="L53" s="190">
        <f t="shared" si="91"/>
        <v>-14</v>
      </c>
      <c r="M53" s="192">
        <f t="shared" si="101"/>
        <v>17.647058823529413</v>
      </c>
      <c r="N53" s="6"/>
      <c r="O53" s="488"/>
      <c r="P53" s="6"/>
      <c r="Q53" s="6"/>
      <c r="R53" s="331">
        <v>250000</v>
      </c>
      <c r="S53" s="422"/>
      <c r="T53" s="337"/>
      <c r="U53" s="335"/>
      <c r="V53" s="386"/>
      <c r="W53" s="389" t="s">
        <v>136</v>
      </c>
      <c r="X53" s="420" t="s">
        <v>125</v>
      </c>
      <c r="Y53" s="338">
        <f>SUM('[1]JANUARI 26'!AN34)</f>
        <v>0</v>
      </c>
      <c r="Z53" s="339">
        <f t="shared" si="92"/>
        <v>0</v>
      </c>
      <c r="AA53" s="331">
        <f>SUM('[1]FEBRUARI 26'!AN34)</f>
        <v>0</v>
      </c>
      <c r="AB53" s="414">
        <f t="shared" si="102"/>
        <v>0</v>
      </c>
      <c r="AC53" s="331">
        <f>SUM('[1]MARET 26'!AR34)</f>
        <v>0</v>
      </c>
      <c r="AD53" s="399">
        <f t="shared" si="103"/>
        <v>0</v>
      </c>
      <c r="AE53" s="331">
        <f>SUM('[1]APRIL 26'!AL34)</f>
        <v>250000</v>
      </c>
      <c r="AF53" s="339">
        <f t="shared" si="93"/>
        <v>1</v>
      </c>
      <c r="AG53" s="331">
        <f>SUM('[1]MEI 26'!AP34)</f>
        <v>0</v>
      </c>
      <c r="AH53" s="339">
        <f t="shared" si="94"/>
        <v>0</v>
      </c>
      <c r="AI53" s="338">
        <f>SUM('[1]JUNI 26'!AJ34)</f>
        <v>0</v>
      </c>
      <c r="AJ53" s="339">
        <f t="shared" si="104"/>
        <v>0</v>
      </c>
      <c r="AK53" s="331">
        <f>SUM('[1]JULI 26'!AM34)</f>
        <v>250000</v>
      </c>
      <c r="AL53" s="339">
        <f t="shared" si="105"/>
        <v>1</v>
      </c>
      <c r="AM53" s="338">
        <f>SUM('[1]AGUSTUS 26'!AQ34)</f>
        <v>0</v>
      </c>
      <c r="AN53" s="399">
        <f t="shared" si="95"/>
        <v>0</v>
      </c>
      <c r="AO53" s="338">
        <f>SUM('[1]SEPTEMBER 26'!AK34)</f>
        <v>250000</v>
      </c>
      <c r="AP53" s="339">
        <f t="shared" si="96"/>
        <v>1</v>
      </c>
      <c r="AQ53" s="331"/>
      <c r="AR53" s="339">
        <f t="shared" si="106"/>
        <v>0</v>
      </c>
      <c r="AS53" s="331"/>
      <c r="AT53" s="339">
        <f t="shared" si="107"/>
        <v>0</v>
      </c>
      <c r="AU53" s="340"/>
      <c r="AV53" s="398"/>
      <c r="AW53" s="341">
        <f t="shared" si="97"/>
        <v>750000</v>
      </c>
      <c r="AX53" s="341">
        <f t="shared" si="98"/>
        <v>3</v>
      </c>
      <c r="AY53" s="5"/>
    </row>
    <row r="54" spans="1:52" ht="15" customHeight="1" x14ac:dyDescent="0.25">
      <c r="A54" s="254"/>
      <c r="B54" s="151"/>
      <c r="C54" s="180"/>
      <c r="D54" s="151"/>
      <c r="E54" s="234" t="s">
        <v>137</v>
      </c>
      <c r="F54" s="269" t="s">
        <v>126</v>
      </c>
      <c r="G54" s="270">
        <v>700000000</v>
      </c>
      <c r="H54" s="190">
        <f t="shared" si="89"/>
        <v>350000</v>
      </c>
      <c r="I54" s="266">
        <f t="shared" si="99"/>
        <v>117890000</v>
      </c>
      <c r="J54" s="190">
        <f t="shared" si="90"/>
        <v>58945</v>
      </c>
      <c r="K54" s="191">
        <f t="shared" si="100"/>
        <v>-582110000</v>
      </c>
      <c r="L54" s="190">
        <f t="shared" si="91"/>
        <v>-291055</v>
      </c>
      <c r="M54" s="192">
        <f t="shared" si="101"/>
        <v>16.841428571428573</v>
      </c>
      <c r="N54" s="6"/>
      <c r="O54" s="488"/>
      <c r="P54" s="6"/>
      <c r="Q54" s="6"/>
      <c r="R54" s="331">
        <v>2000</v>
      </c>
      <c r="S54" s="422"/>
      <c r="T54" s="337"/>
      <c r="U54" s="335"/>
      <c r="V54" s="386"/>
      <c r="W54" s="389" t="s">
        <v>137</v>
      </c>
      <c r="X54" s="420" t="s">
        <v>126</v>
      </c>
      <c r="Y54" s="338">
        <f>SUM('[1]JANUARI 26'!AN35)</f>
        <v>6500000</v>
      </c>
      <c r="Z54" s="339">
        <f t="shared" si="92"/>
        <v>3250</v>
      </c>
      <c r="AA54" s="331">
        <f>SUM('[1]FEBRUARI 26'!AN35)</f>
        <v>1100000</v>
      </c>
      <c r="AB54" s="414">
        <f t="shared" si="102"/>
        <v>550</v>
      </c>
      <c r="AC54" s="331">
        <f>SUM('[1]MARET 26'!AR35)</f>
        <v>2900000</v>
      </c>
      <c r="AD54" s="399">
        <f t="shared" si="103"/>
        <v>1450</v>
      </c>
      <c r="AE54" s="331">
        <f>SUM('[1]APRIL 26'!AL35)</f>
        <v>13850000</v>
      </c>
      <c r="AF54" s="339">
        <f t="shared" si="93"/>
        <v>6925</v>
      </c>
      <c r="AG54" s="331">
        <f>SUM('[1]MEI 26'!AP35)</f>
        <v>9090000</v>
      </c>
      <c r="AH54" s="339">
        <f t="shared" si="94"/>
        <v>4545</v>
      </c>
      <c r="AI54" s="338">
        <f>SUM('[1]JUNI 26'!AJ35)</f>
        <v>19460000</v>
      </c>
      <c r="AJ54" s="339">
        <f t="shared" si="104"/>
        <v>9730</v>
      </c>
      <c r="AK54" s="331">
        <f>SUM('[1]JULI 26'!AM35)</f>
        <v>10490000</v>
      </c>
      <c r="AL54" s="339">
        <f t="shared" si="105"/>
        <v>5245</v>
      </c>
      <c r="AM54" s="338">
        <f>SUM('[1]AGUSTUS 26'!AQ35)</f>
        <v>17190000</v>
      </c>
      <c r="AN54" s="399">
        <f t="shared" si="95"/>
        <v>8595</v>
      </c>
      <c r="AO54" s="338">
        <f>SUM('[1]SEPTEMBER 26'!AK35)</f>
        <v>37310000</v>
      </c>
      <c r="AP54" s="339">
        <f t="shared" si="96"/>
        <v>18655</v>
      </c>
      <c r="AQ54" s="331"/>
      <c r="AR54" s="339">
        <f t="shared" si="106"/>
        <v>0</v>
      </c>
      <c r="AS54" s="331"/>
      <c r="AT54" s="339">
        <f t="shared" si="107"/>
        <v>0</v>
      </c>
      <c r="AU54" s="340"/>
      <c r="AV54" s="398"/>
      <c r="AW54" s="341">
        <f t="shared" si="97"/>
        <v>117890000</v>
      </c>
      <c r="AX54" s="341">
        <f t="shared" si="98"/>
        <v>58945</v>
      </c>
      <c r="AY54" s="5"/>
    </row>
    <row r="55" spans="1:52" ht="15" customHeight="1" x14ac:dyDescent="0.25">
      <c r="A55" s="254"/>
      <c r="B55" s="151"/>
      <c r="C55" s="180"/>
      <c r="D55" s="151"/>
      <c r="E55" s="234" t="s">
        <v>138</v>
      </c>
      <c r="F55" s="269" t="s">
        <v>127</v>
      </c>
      <c r="G55" s="270">
        <v>15000000</v>
      </c>
      <c r="H55" s="190">
        <f t="shared" si="89"/>
        <v>150</v>
      </c>
      <c r="I55" s="266">
        <f t="shared" si="99"/>
        <v>27100000</v>
      </c>
      <c r="J55" s="190">
        <f t="shared" si="90"/>
        <v>271</v>
      </c>
      <c r="K55" s="191">
        <f t="shared" si="100"/>
        <v>12100000</v>
      </c>
      <c r="L55" s="190">
        <f t="shared" si="91"/>
        <v>121</v>
      </c>
      <c r="M55" s="192">
        <f t="shared" si="101"/>
        <v>180.66666666666666</v>
      </c>
      <c r="N55" s="6"/>
      <c r="O55" s="488"/>
      <c r="P55" s="6"/>
      <c r="Q55" s="6"/>
      <c r="R55" s="331">
        <v>100000</v>
      </c>
      <c r="S55" s="422"/>
      <c r="T55" s="337"/>
      <c r="U55" s="335"/>
      <c r="V55" s="386"/>
      <c r="W55" s="389" t="s">
        <v>138</v>
      </c>
      <c r="X55" s="420" t="s">
        <v>127</v>
      </c>
      <c r="Y55" s="338">
        <f>SUM('[1]JANUARI 26'!AN36)</f>
        <v>200000</v>
      </c>
      <c r="Z55" s="339">
        <f t="shared" si="92"/>
        <v>2</v>
      </c>
      <c r="AA55" s="331">
        <f>SUM('[1]FEBRUARI 26'!AN36)</f>
        <v>0</v>
      </c>
      <c r="AB55" s="414">
        <f t="shared" si="102"/>
        <v>0</v>
      </c>
      <c r="AC55" s="331">
        <f>SUM('[1]MARET 26'!AR36)</f>
        <v>8700000</v>
      </c>
      <c r="AD55" s="399">
        <f t="shared" si="103"/>
        <v>87</v>
      </c>
      <c r="AE55" s="331">
        <f>SUM('[1]APRIL 26'!AL36)</f>
        <v>0</v>
      </c>
      <c r="AF55" s="339">
        <f t="shared" si="93"/>
        <v>0</v>
      </c>
      <c r="AG55" s="331">
        <f>SUM('[1]MEI 26'!AP36)</f>
        <v>15500000</v>
      </c>
      <c r="AH55" s="339">
        <f t="shared" si="94"/>
        <v>155</v>
      </c>
      <c r="AI55" s="338">
        <f>SUM('[1]JUNI 26'!AJ36)</f>
        <v>2700000</v>
      </c>
      <c r="AJ55" s="339">
        <f t="shared" si="104"/>
        <v>27</v>
      </c>
      <c r="AK55" s="331">
        <f>SUM('[1]JULI 26'!AM36)</f>
        <v>0</v>
      </c>
      <c r="AL55" s="339">
        <f t="shared" si="105"/>
        <v>0</v>
      </c>
      <c r="AM55" s="338">
        <f>SUM('[1]AGUSTUS 26'!AQ36)</f>
        <v>0</v>
      </c>
      <c r="AN55" s="399">
        <f t="shared" si="95"/>
        <v>0</v>
      </c>
      <c r="AO55" s="338">
        <f>SUM('[1]SEPTEMBER 26'!AK36)</f>
        <v>0</v>
      </c>
      <c r="AP55" s="339">
        <f t="shared" si="96"/>
        <v>0</v>
      </c>
      <c r="AQ55" s="331"/>
      <c r="AR55" s="339">
        <f t="shared" si="106"/>
        <v>0</v>
      </c>
      <c r="AS55" s="331"/>
      <c r="AT55" s="339">
        <f t="shared" si="107"/>
        <v>0</v>
      </c>
      <c r="AU55" s="340"/>
      <c r="AV55" s="398"/>
      <c r="AW55" s="341">
        <f t="shared" si="97"/>
        <v>27100000</v>
      </c>
      <c r="AX55" s="341">
        <f t="shared" si="98"/>
        <v>271</v>
      </c>
      <c r="AY55" s="5"/>
    </row>
    <row r="56" spans="1:52" ht="15" customHeight="1" x14ac:dyDescent="0.25">
      <c r="A56" s="254"/>
      <c r="B56" s="151"/>
      <c r="C56" s="180"/>
      <c r="D56" s="151"/>
      <c r="E56" s="234" t="s">
        <v>139</v>
      </c>
      <c r="F56" s="269" t="s">
        <v>128</v>
      </c>
      <c r="G56" s="270">
        <v>175000000</v>
      </c>
      <c r="H56" s="190">
        <f t="shared" si="89"/>
        <v>1750</v>
      </c>
      <c r="I56" s="266">
        <f t="shared" si="99"/>
        <v>83400000</v>
      </c>
      <c r="J56" s="190">
        <f t="shared" si="90"/>
        <v>834</v>
      </c>
      <c r="K56" s="191">
        <f t="shared" si="100"/>
        <v>-91600000</v>
      </c>
      <c r="L56" s="190">
        <f t="shared" si="91"/>
        <v>-916</v>
      </c>
      <c r="M56" s="192">
        <f t="shared" si="101"/>
        <v>47.657142857142858</v>
      </c>
      <c r="N56" s="6"/>
      <c r="O56" s="488"/>
      <c r="P56" s="6"/>
      <c r="Q56" s="6"/>
      <c r="R56" s="331">
        <v>100000</v>
      </c>
      <c r="S56" s="422"/>
      <c r="T56" s="337"/>
      <c r="U56" s="335"/>
      <c r="V56" s="386"/>
      <c r="W56" s="389" t="s">
        <v>139</v>
      </c>
      <c r="X56" s="420" t="s">
        <v>128</v>
      </c>
      <c r="Y56" s="338">
        <f>SUM('[1]JANUARI 26'!AN37)</f>
        <v>3100000</v>
      </c>
      <c r="Z56" s="339">
        <f t="shared" si="92"/>
        <v>31</v>
      </c>
      <c r="AA56" s="331">
        <f>SUM('[1]FEBRUARI 26'!AN37)</f>
        <v>4500000</v>
      </c>
      <c r="AB56" s="414">
        <f t="shared" si="102"/>
        <v>45</v>
      </c>
      <c r="AC56" s="331">
        <f>SUM('[1]MARET 26'!AR37)</f>
        <v>31000000</v>
      </c>
      <c r="AD56" s="399">
        <f t="shared" si="103"/>
        <v>310</v>
      </c>
      <c r="AE56" s="331">
        <f>SUM('[1]APRIL 26'!AL37)</f>
        <v>2100000</v>
      </c>
      <c r="AF56" s="339">
        <f t="shared" si="93"/>
        <v>21</v>
      </c>
      <c r="AG56" s="331">
        <f>SUM('[1]MEI 26'!AP37)</f>
        <v>20800000</v>
      </c>
      <c r="AH56" s="339">
        <f t="shared" si="94"/>
        <v>208</v>
      </c>
      <c r="AI56" s="338">
        <f>SUM('[1]JUNI 26'!AJ37)</f>
        <v>3400000</v>
      </c>
      <c r="AJ56" s="339">
        <f t="shared" si="104"/>
        <v>34</v>
      </c>
      <c r="AK56" s="331">
        <f>SUM('[1]JULI 26'!AM37)</f>
        <v>5200000</v>
      </c>
      <c r="AL56" s="339">
        <f t="shared" si="105"/>
        <v>52</v>
      </c>
      <c r="AM56" s="338">
        <f>SUM('[1]AGUSTUS 26'!AQ37)</f>
        <v>8500000</v>
      </c>
      <c r="AN56" s="399">
        <f t="shared" si="95"/>
        <v>85</v>
      </c>
      <c r="AO56" s="338">
        <f>SUM('[1]SEPTEMBER 26'!AK37)</f>
        <v>4800000</v>
      </c>
      <c r="AP56" s="339">
        <f t="shared" si="96"/>
        <v>48</v>
      </c>
      <c r="AQ56" s="331"/>
      <c r="AR56" s="339">
        <f t="shared" si="106"/>
        <v>0</v>
      </c>
      <c r="AS56" s="331"/>
      <c r="AT56" s="339">
        <f t="shared" si="107"/>
        <v>0</v>
      </c>
      <c r="AU56" s="340"/>
      <c r="AV56" s="398"/>
      <c r="AW56" s="341">
        <f t="shared" si="97"/>
        <v>83400000</v>
      </c>
      <c r="AX56" s="341">
        <f t="shared" si="98"/>
        <v>834</v>
      </c>
      <c r="AY56" s="5"/>
    </row>
    <row r="57" spans="1:52" ht="15" customHeight="1" x14ac:dyDescent="0.25">
      <c r="A57" s="254"/>
      <c r="B57" s="151"/>
      <c r="C57" s="180"/>
      <c r="D57" s="151">
        <v>44</v>
      </c>
      <c r="E57" s="234" t="s">
        <v>148</v>
      </c>
      <c r="F57" s="269" t="s">
        <v>158</v>
      </c>
      <c r="G57" s="270">
        <v>1375000000</v>
      </c>
      <c r="H57" s="190">
        <f t="shared" si="89"/>
        <v>5500</v>
      </c>
      <c r="I57" s="266">
        <f t="shared" si="99"/>
        <v>168250000</v>
      </c>
      <c r="J57" s="190">
        <f t="shared" si="90"/>
        <v>673</v>
      </c>
      <c r="K57" s="191">
        <f t="shared" si="100"/>
        <v>-1206750000</v>
      </c>
      <c r="L57" s="190">
        <f t="shared" si="91"/>
        <v>-4827</v>
      </c>
      <c r="M57" s="192">
        <f t="shared" si="101"/>
        <v>12.236363636363636</v>
      </c>
      <c r="N57" s="6"/>
      <c r="O57" s="488"/>
      <c r="P57" s="6"/>
      <c r="Q57" s="6"/>
      <c r="R57" s="331">
        <v>250000</v>
      </c>
      <c r="S57" s="422"/>
      <c r="T57" s="337"/>
      <c r="U57" s="335"/>
      <c r="V57" s="386">
        <v>44</v>
      </c>
      <c r="W57" s="389" t="s">
        <v>148</v>
      </c>
      <c r="X57" s="420" t="s">
        <v>158</v>
      </c>
      <c r="Y57" s="338">
        <f>SUM('[1]JANUARI 26'!AN38)</f>
        <v>24250000</v>
      </c>
      <c r="Z57" s="339">
        <f t="shared" si="92"/>
        <v>97</v>
      </c>
      <c r="AA57" s="331">
        <f>SUM('[1]FEBRUARI 26'!AN38)</f>
        <v>7500000</v>
      </c>
      <c r="AB57" s="414">
        <f t="shared" si="102"/>
        <v>30</v>
      </c>
      <c r="AC57" s="331">
        <f>SUM('[1]MARET 26'!AR38)</f>
        <v>7250000</v>
      </c>
      <c r="AD57" s="399">
        <f t="shared" si="103"/>
        <v>29</v>
      </c>
      <c r="AE57" s="331">
        <f>SUM('[1]APRIL 26'!AL38)</f>
        <v>26750000</v>
      </c>
      <c r="AF57" s="339">
        <f t="shared" si="93"/>
        <v>107</v>
      </c>
      <c r="AG57" s="331">
        <f>SUM('[1]MEI 26'!AP38)</f>
        <v>27250000</v>
      </c>
      <c r="AH57" s="339">
        <f t="shared" si="94"/>
        <v>109</v>
      </c>
      <c r="AI57" s="338">
        <f>SUM('[1]JUNI 26'!AJ38)</f>
        <v>24250000</v>
      </c>
      <c r="AJ57" s="339">
        <f t="shared" si="104"/>
        <v>97</v>
      </c>
      <c r="AK57" s="331">
        <f>SUM('[1]JULI 26'!AM38)</f>
        <v>16250000</v>
      </c>
      <c r="AL57" s="339">
        <f t="shared" si="105"/>
        <v>65</v>
      </c>
      <c r="AM57" s="338">
        <f>SUM('[1]AGUSTUS 26'!AQ38)</f>
        <v>17750000</v>
      </c>
      <c r="AN57" s="399">
        <f t="shared" si="95"/>
        <v>71</v>
      </c>
      <c r="AO57" s="338">
        <f>SUM('[1]SEPTEMBER 26'!AK38)</f>
        <v>17000000</v>
      </c>
      <c r="AP57" s="339">
        <f t="shared" si="96"/>
        <v>68</v>
      </c>
      <c r="AQ57" s="331"/>
      <c r="AR57" s="339">
        <f t="shared" si="106"/>
        <v>0</v>
      </c>
      <c r="AS57" s="331"/>
      <c r="AT57" s="339">
        <f t="shared" si="107"/>
        <v>0</v>
      </c>
      <c r="AU57" s="340"/>
      <c r="AV57" s="398"/>
      <c r="AW57" s="341">
        <f t="shared" si="97"/>
        <v>168250000</v>
      </c>
      <c r="AX57" s="341">
        <f t="shared" si="98"/>
        <v>673</v>
      </c>
      <c r="AY57" s="5"/>
      <c r="AZ57" s="12"/>
    </row>
    <row r="58" spans="1:52" ht="15" customHeight="1" x14ac:dyDescent="0.25">
      <c r="A58" s="254"/>
      <c r="B58" s="151"/>
      <c r="C58" s="180"/>
      <c r="D58" s="151"/>
      <c r="E58" s="234" t="s">
        <v>149</v>
      </c>
      <c r="F58" s="269" t="s">
        <v>163</v>
      </c>
      <c r="G58" s="270">
        <v>0</v>
      </c>
      <c r="H58" s="190">
        <f t="shared" si="89"/>
        <v>0</v>
      </c>
      <c r="I58" s="266">
        <f t="shared" si="99"/>
        <v>1800000</v>
      </c>
      <c r="J58" s="190">
        <f t="shared" si="90"/>
        <v>6</v>
      </c>
      <c r="K58" s="191">
        <f t="shared" si="100"/>
        <v>1800000</v>
      </c>
      <c r="L58" s="190">
        <f t="shared" si="91"/>
        <v>6</v>
      </c>
      <c r="M58" s="192">
        <v>0</v>
      </c>
      <c r="N58" s="6"/>
      <c r="O58" s="488"/>
      <c r="P58" s="6"/>
      <c r="Q58" s="6"/>
      <c r="R58" s="331">
        <v>300000</v>
      </c>
      <c r="S58" s="422"/>
      <c r="T58" s="337"/>
      <c r="U58" s="335"/>
      <c r="V58" s="386"/>
      <c r="W58" s="389" t="s">
        <v>149</v>
      </c>
      <c r="X58" s="420" t="s">
        <v>163</v>
      </c>
      <c r="Y58" s="338">
        <f>SUM('[1]JANUARI 26'!AN39)</f>
        <v>0</v>
      </c>
      <c r="Z58" s="339">
        <f t="shared" si="92"/>
        <v>0</v>
      </c>
      <c r="AA58" s="331">
        <f>SUM('[1]FEBRUARI 26'!AN39)</f>
        <v>0</v>
      </c>
      <c r="AB58" s="414">
        <f t="shared" si="102"/>
        <v>0</v>
      </c>
      <c r="AC58" s="331">
        <f>SUM('[1]MARET 26'!AR39)</f>
        <v>0</v>
      </c>
      <c r="AD58" s="399">
        <f t="shared" si="103"/>
        <v>0</v>
      </c>
      <c r="AE58" s="331">
        <f>SUM('[1]APRIL 26'!AL39)</f>
        <v>0</v>
      </c>
      <c r="AF58" s="339">
        <f t="shared" si="93"/>
        <v>0</v>
      </c>
      <c r="AG58" s="331">
        <f>SUM('[1]MEI 26'!AP39)</f>
        <v>0</v>
      </c>
      <c r="AH58" s="339">
        <f t="shared" si="94"/>
        <v>0</v>
      </c>
      <c r="AI58" s="338">
        <f>SUM('[1]JUNI 26'!AJ39)</f>
        <v>0</v>
      </c>
      <c r="AJ58" s="339">
        <f t="shared" si="104"/>
        <v>0</v>
      </c>
      <c r="AK58" s="331">
        <f>SUM('[1]JULI 26'!AM39)</f>
        <v>0</v>
      </c>
      <c r="AL58" s="339">
        <f t="shared" si="105"/>
        <v>0</v>
      </c>
      <c r="AM58" s="338">
        <f>SUM('[1]AGUSTUS 26'!AQ39)</f>
        <v>0</v>
      </c>
      <c r="AN58" s="399">
        <f t="shared" si="95"/>
        <v>0</v>
      </c>
      <c r="AO58" s="338">
        <f>SUM('[1]SEPTEMBER 26'!AK39)</f>
        <v>1800000</v>
      </c>
      <c r="AP58" s="339">
        <f t="shared" si="96"/>
        <v>6</v>
      </c>
      <c r="AQ58" s="331"/>
      <c r="AR58" s="339">
        <f t="shared" si="106"/>
        <v>0</v>
      </c>
      <c r="AS58" s="331"/>
      <c r="AT58" s="339">
        <f t="shared" si="107"/>
        <v>0</v>
      </c>
      <c r="AU58" s="340"/>
      <c r="AV58" s="398"/>
      <c r="AW58" s="341">
        <f t="shared" si="97"/>
        <v>1800000</v>
      </c>
      <c r="AX58" s="341">
        <f t="shared" si="98"/>
        <v>6</v>
      </c>
      <c r="AY58" s="5"/>
      <c r="AZ58" s="12"/>
    </row>
    <row r="59" spans="1:52" ht="15" customHeight="1" x14ac:dyDescent="0.25">
      <c r="A59" s="254"/>
      <c r="B59" s="151"/>
      <c r="C59" s="180"/>
      <c r="D59" s="151"/>
      <c r="E59" s="234" t="s">
        <v>150</v>
      </c>
      <c r="F59" s="269" t="s">
        <v>140</v>
      </c>
      <c r="G59" s="270">
        <v>363750000</v>
      </c>
      <c r="H59" s="190">
        <f t="shared" si="89"/>
        <v>485</v>
      </c>
      <c r="I59" s="266">
        <f t="shared" si="99"/>
        <v>21750000</v>
      </c>
      <c r="J59" s="190">
        <f t="shared" si="90"/>
        <v>29</v>
      </c>
      <c r="K59" s="191">
        <f t="shared" si="100"/>
        <v>-342000000</v>
      </c>
      <c r="L59" s="190">
        <f t="shared" si="91"/>
        <v>-456</v>
      </c>
      <c r="M59" s="192">
        <f t="shared" si="101"/>
        <v>5.9793814432989691</v>
      </c>
      <c r="N59" s="6"/>
      <c r="O59" s="488"/>
      <c r="P59" s="6"/>
      <c r="Q59" s="6"/>
      <c r="R59" s="331">
        <v>750000</v>
      </c>
      <c r="S59" s="422"/>
      <c r="T59" s="337"/>
      <c r="U59" s="335"/>
      <c r="V59" s="386"/>
      <c r="W59" s="389" t="s">
        <v>150</v>
      </c>
      <c r="X59" s="420" t="s">
        <v>140</v>
      </c>
      <c r="Y59" s="338">
        <f>SUM('[1]JANUARI 26'!AN40)</f>
        <v>1500000</v>
      </c>
      <c r="Z59" s="339">
        <f t="shared" si="92"/>
        <v>2</v>
      </c>
      <c r="AA59" s="331">
        <f>SUM('[1]FEBRUARI 26'!AN40)</f>
        <v>1500000</v>
      </c>
      <c r="AB59" s="414">
        <f t="shared" si="102"/>
        <v>2</v>
      </c>
      <c r="AC59" s="331">
        <f>SUM('[1]MARET 26'!AR40)</f>
        <v>0</v>
      </c>
      <c r="AD59" s="399">
        <f t="shared" si="103"/>
        <v>0</v>
      </c>
      <c r="AE59" s="331">
        <f>SUM('[1]APRIL 26'!AL40)</f>
        <v>6000000</v>
      </c>
      <c r="AF59" s="339">
        <f t="shared" si="93"/>
        <v>8</v>
      </c>
      <c r="AG59" s="331">
        <f>SUM('[1]MEI 26'!AP40)</f>
        <v>3000000</v>
      </c>
      <c r="AH59" s="339">
        <f t="shared" si="94"/>
        <v>4</v>
      </c>
      <c r="AI59" s="338">
        <f>SUM('[1]JUNI 26'!AJ40)</f>
        <v>4500000</v>
      </c>
      <c r="AJ59" s="339">
        <f t="shared" si="104"/>
        <v>6</v>
      </c>
      <c r="AK59" s="331">
        <f>SUM('[1]JULI 26'!AM40)</f>
        <v>0</v>
      </c>
      <c r="AL59" s="339">
        <f t="shared" si="105"/>
        <v>0</v>
      </c>
      <c r="AM59" s="338">
        <f>SUM('[1]AGUSTUS 26'!AQ40)</f>
        <v>3750000</v>
      </c>
      <c r="AN59" s="399">
        <f t="shared" si="95"/>
        <v>5</v>
      </c>
      <c r="AO59" s="338">
        <f>SUM('[1]SEPTEMBER 26'!AK40)</f>
        <v>1500000</v>
      </c>
      <c r="AP59" s="339">
        <f t="shared" si="96"/>
        <v>2</v>
      </c>
      <c r="AQ59" s="331"/>
      <c r="AR59" s="339">
        <f t="shared" si="106"/>
        <v>0</v>
      </c>
      <c r="AS59" s="331"/>
      <c r="AT59" s="339">
        <f t="shared" si="107"/>
        <v>0</v>
      </c>
      <c r="AU59" s="340"/>
      <c r="AV59" s="398"/>
      <c r="AW59" s="341">
        <f t="shared" si="97"/>
        <v>21750000</v>
      </c>
      <c r="AX59" s="341">
        <f t="shared" si="98"/>
        <v>29</v>
      </c>
      <c r="AY59" s="5"/>
      <c r="AZ59" s="12"/>
    </row>
    <row r="60" spans="1:52" ht="15" customHeight="1" x14ac:dyDescent="0.25">
      <c r="A60" s="254"/>
      <c r="B60" s="151"/>
      <c r="C60" s="180"/>
      <c r="D60" s="151"/>
      <c r="E60" s="234" t="s">
        <v>151</v>
      </c>
      <c r="F60" s="269" t="s">
        <v>141</v>
      </c>
      <c r="G60" s="270">
        <v>387000000</v>
      </c>
      <c r="H60" s="190">
        <f t="shared" si="89"/>
        <v>387</v>
      </c>
      <c r="I60" s="266">
        <f t="shared" si="99"/>
        <v>25000000</v>
      </c>
      <c r="J60" s="190">
        <f t="shared" si="90"/>
        <v>25</v>
      </c>
      <c r="K60" s="191">
        <f t="shared" si="100"/>
        <v>-362000000</v>
      </c>
      <c r="L60" s="190">
        <f t="shared" si="91"/>
        <v>-362</v>
      </c>
      <c r="M60" s="192">
        <f t="shared" si="101"/>
        <v>6.459948320413436</v>
      </c>
      <c r="N60" s="6"/>
      <c r="O60" s="488"/>
      <c r="P60" s="6"/>
      <c r="Q60" s="6"/>
      <c r="R60" s="331">
        <v>1000000</v>
      </c>
      <c r="S60" s="422"/>
      <c r="T60" s="337"/>
      <c r="U60" s="335"/>
      <c r="V60" s="386"/>
      <c r="W60" s="389" t="s">
        <v>151</v>
      </c>
      <c r="X60" s="420" t="s">
        <v>141</v>
      </c>
      <c r="Y60" s="338">
        <f>SUM('[1]JANUARI 26'!AN41)</f>
        <v>1000000</v>
      </c>
      <c r="Z60" s="339">
        <f t="shared" si="92"/>
        <v>1</v>
      </c>
      <c r="AA60" s="331">
        <f>SUM('[1]FEBRUARI 26'!AN41)</f>
        <v>2000000</v>
      </c>
      <c r="AB60" s="414">
        <f t="shared" si="102"/>
        <v>2</v>
      </c>
      <c r="AC60" s="331">
        <f>SUM('[1]MARET 26'!AR41)</f>
        <v>0</v>
      </c>
      <c r="AD60" s="399">
        <f t="shared" si="103"/>
        <v>0</v>
      </c>
      <c r="AE60" s="331">
        <f>SUM('[1]APRIL 26'!AL41)</f>
        <v>6000000</v>
      </c>
      <c r="AF60" s="339">
        <f t="shared" si="93"/>
        <v>6</v>
      </c>
      <c r="AG60" s="331">
        <f>SUM('[1]MEI 26'!AP41)</f>
        <v>4000000</v>
      </c>
      <c r="AH60" s="339">
        <f t="shared" si="94"/>
        <v>4</v>
      </c>
      <c r="AI60" s="338">
        <f>SUM('[1]JUNI 26'!AJ41)</f>
        <v>6000000</v>
      </c>
      <c r="AJ60" s="339">
        <f t="shared" si="104"/>
        <v>6</v>
      </c>
      <c r="AK60" s="331">
        <f>SUM('[1]JULI 26'!AM41)</f>
        <v>0</v>
      </c>
      <c r="AL60" s="339">
        <f t="shared" si="105"/>
        <v>0</v>
      </c>
      <c r="AM60" s="338">
        <f>SUM('[1]AGUSTUS 26'!AQ41)</f>
        <v>4000000</v>
      </c>
      <c r="AN60" s="399">
        <f t="shared" si="95"/>
        <v>4</v>
      </c>
      <c r="AO60" s="338">
        <f>SUM('[1]SEPTEMBER 26'!AK41)</f>
        <v>2000000</v>
      </c>
      <c r="AP60" s="339">
        <f t="shared" si="96"/>
        <v>2</v>
      </c>
      <c r="AQ60" s="331"/>
      <c r="AR60" s="339">
        <f t="shared" si="106"/>
        <v>0</v>
      </c>
      <c r="AS60" s="331"/>
      <c r="AT60" s="339">
        <f t="shared" si="107"/>
        <v>0</v>
      </c>
      <c r="AU60" s="340"/>
      <c r="AV60" s="398"/>
      <c r="AW60" s="341">
        <f t="shared" si="97"/>
        <v>25000000</v>
      </c>
      <c r="AX60" s="341">
        <f t="shared" si="98"/>
        <v>25</v>
      </c>
      <c r="AY60" s="5"/>
      <c r="AZ60" s="12"/>
    </row>
    <row r="61" spans="1:52" ht="15" customHeight="1" x14ac:dyDescent="0.25">
      <c r="A61" s="254"/>
      <c r="B61" s="151"/>
      <c r="C61" s="180"/>
      <c r="D61" s="151"/>
      <c r="E61" s="234" t="s">
        <v>152</v>
      </c>
      <c r="F61" s="269" t="s">
        <v>142</v>
      </c>
      <c r="G61" s="270">
        <v>90000000</v>
      </c>
      <c r="H61" s="190">
        <f t="shared" si="89"/>
        <v>900</v>
      </c>
      <c r="I61" s="266">
        <f t="shared" si="99"/>
        <v>8800000</v>
      </c>
      <c r="J61" s="190">
        <f t="shared" si="90"/>
        <v>88</v>
      </c>
      <c r="K61" s="191">
        <f t="shared" si="100"/>
        <v>-81200000</v>
      </c>
      <c r="L61" s="190">
        <f t="shared" si="91"/>
        <v>-812</v>
      </c>
      <c r="M61" s="192">
        <f t="shared" si="101"/>
        <v>9.7777777777777786</v>
      </c>
      <c r="N61" s="6"/>
      <c r="O61" s="488"/>
      <c r="P61" s="6"/>
      <c r="Q61" s="6"/>
      <c r="R61" s="331">
        <v>100000</v>
      </c>
      <c r="S61" s="422"/>
      <c r="T61" s="337"/>
      <c r="U61" s="335"/>
      <c r="V61" s="386"/>
      <c r="W61" s="389" t="s">
        <v>152</v>
      </c>
      <c r="X61" s="420" t="s">
        <v>142</v>
      </c>
      <c r="Y61" s="338">
        <f>SUM('[1]JANUARI 26'!AN42)</f>
        <v>900000</v>
      </c>
      <c r="Z61" s="339">
        <f t="shared" si="92"/>
        <v>9</v>
      </c>
      <c r="AA61" s="331">
        <f>SUM('[1]FEBRUARI 26'!AN42)</f>
        <v>200000</v>
      </c>
      <c r="AB61" s="414">
        <f t="shared" si="102"/>
        <v>2</v>
      </c>
      <c r="AC61" s="331">
        <f>SUM('[1]MARET 26'!AR42)</f>
        <v>200000</v>
      </c>
      <c r="AD61" s="399">
        <f t="shared" si="103"/>
        <v>2</v>
      </c>
      <c r="AE61" s="331">
        <f>SUM('[1]APRIL 26'!AL42)</f>
        <v>900000</v>
      </c>
      <c r="AF61" s="339">
        <f t="shared" si="93"/>
        <v>9</v>
      </c>
      <c r="AG61" s="331">
        <f>SUM('[1]MEI 26'!AP42)</f>
        <v>1300000</v>
      </c>
      <c r="AH61" s="339">
        <f t="shared" si="94"/>
        <v>13</v>
      </c>
      <c r="AI61" s="338">
        <f>SUM('[1]JUNI 26'!AJ42)</f>
        <v>1400000</v>
      </c>
      <c r="AJ61" s="339">
        <f t="shared" si="104"/>
        <v>14</v>
      </c>
      <c r="AK61" s="331">
        <f>SUM('[1]JULI 26'!AM42)</f>
        <v>1100000</v>
      </c>
      <c r="AL61" s="339">
        <f t="shared" si="105"/>
        <v>11</v>
      </c>
      <c r="AM61" s="338">
        <f>SUM('[1]AGUSTUS 26'!AQ42)</f>
        <v>1000000</v>
      </c>
      <c r="AN61" s="399">
        <f t="shared" si="95"/>
        <v>10</v>
      </c>
      <c r="AO61" s="338">
        <f>SUM('[1]SEPTEMBER 26'!AK42)</f>
        <v>1800000</v>
      </c>
      <c r="AP61" s="339">
        <f t="shared" si="96"/>
        <v>18</v>
      </c>
      <c r="AQ61" s="331"/>
      <c r="AR61" s="339">
        <f t="shared" si="106"/>
        <v>0</v>
      </c>
      <c r="AS61" s="331"/>
      <c r="AT61" s="339">
        <f t="shared" si="107"/>
        <v>0</v>
      </c>
      <c r="AU61" s="340"/>
      <c r="AV61" s="398"/>
      <c r="AW61" s="341">
        <f t="shared" si="97"/>
        <v>8800000</v>
      </c>
      <c r="AX61" s="341">
        <f t="shared" si="98"/>
        <v>88</v>
      </c>
      <c r="AY61" s="5"/>
      <c r="AZ61" s="12"/>
    </row>
    <row r="62" spans="1:52" ht="15" customHeight="1" x14ac:dyDescent="0.25">
      <c r="A62" s="254"/>
      <c r="B62" s="151"/>
      <c r="C62" s="180"/>
      <c r="D62" s="151"/>
      <c r="E62" s="234" t="s">
        <v>153</v>
      </c>
      <c r="F62" s="269" t="s">
        <v>176</v>
      </c>
      <c r="G62" s="270">
        <v>280050000</v>
      </c>
      <c r="H62" s="190">
        <f t="shared" si="89"/>
        <v>18670</v>
      </c>
      <c r="I62" s="266">
        <f t="shared" si="99"/>
        <v>81600000</v>
      </c>
      <c r="J62" s="190">
        <f t="shared" si="90"/>
        <v>5440</v>
      </c>
      <c r="K62" s="191">
        <f t="shared" si="100"/>
        <v>-198450000</v>
      </c>
      <c r="L62" s="190">
        <f t="shared" si="91"/>
        <v>-13230</v>
      </c>
      <c r="M62" s="192">
        <f t="shared" si="101"/>
        <v>29.137653990358864</v>
      </c>
      <c r="N62" s="6"/>
      <c r="O62" s="488"/>
      <c r="P62" s="6"/>
      <c r="Q62" s="6"/>
      <c r="R62" s="331">
        <v>15000</v>
      </c>
      <c r="S62" s="422"/>
      <c r="T62" s="337"/>
      <c r="U62" s="335"/>
      <c r="V62" s="386"/>
      <c r="W62" s="389" t="s">
        <v>153</v>
      </c>
      <c r="X62" s="420" t="s">
        <v>143</v>
      </c>
      <c r="Y62" s="338">
        <f>SUM('[1]JANUARI 26'!AN43)</f>
        <v>13950000</v>
      </c>
      <c r="Z62" s="339">
        <f t="shared" si="92"/>
        <v>930</v>
      </c>
      <c r="AA62" s="331">
        <f>SUM('[1]FEBRUARI 26'!AN43)</f>
        <v>8895000</v>
      </c>
      <c r="AB62" s="414">
        <f t="shared" si="102"/>
        <v>593</v>
      </c>
      <c r="AC62" s="331">
        <f>SUM('[1]MARET 26'!AR43)</f>
        <v>3915000</v>
      </c>
      <c r="AD62" s="399">
        <f t="shared" si="103"/>
        <v>261</v>
      </c>
      <c r="AE62" s="331">
        <f>SUM('[1]APRIL 26'!AL43)</f>
        <v>9840000</v>
      </c>
      <c r="AF62" s="339">
        <f t="shared" si="93"/>
        <v>656</v>
      </c>
      <c r="AG62" s="331">
        <f>SUM('[1]MEI 26'!AP43)</f>
        <v>14205000</v>
      </c>
      <c r="AH62" s="339">
        <f t="shared" si="94"/>
        <v>947</v>
      </c>
      <c r="AI62" s="338">
        <f>SUM('[1]JUNI 26'!AJ43)</f>
        <v>13095000</v>
      </c>
      <c r="AJ62" s="339">
        <f t="shared" si="104"/>
        <v>873</v>
      </c>
      <c r="AK62" s="331">
        <f>SUM('[1]JULI 26'!AM43)</f>
        <v>6930000</v>
      </c>
      <c r="AL62" s="339">
        <f t="shared" si="105"/>
        <v>462</v>
      </c>
      <c r="AM62" s="338">
        <f>SUM('[1]AGUSTUS 26'!AQ43)</f>
        <v>5130000</v>
      </c>
      <c r="AN62" s="399">
        <f t="shared" si="95"/>
        <v>342</v>
      </c>
      <c r="AO62" s="338">
        <f>SUM('[1]SEPTEMBER 26'!AK43)</f>
        <v>5640000</v>
      </c>
      <c r="AP62" s="339">
        <f t="shared" si="96"/>
        <v>376</v>
      </c>
      <c r="AQ62" s="331"/>
      <c r="AR62" s="339">
        <f t="shared" si="106"/>
        <v>0</v>
      </c>
      <c r="AS62" s="331"/>
      <c r="AT62" s="339">
        <f t="shared" si="107"/>
        <v>0</v>
      </c>
      <c r="AU62" s="340"/>
      <c r="AV62" s="398"/>
      <c r="AW62" s="341">
        <f t="shared" si="97"/>
        <v>81600000</v>
      </c>
      <c r="AX62" s="341">
        <f t="shared" si="98"/>
        <v>5440</v>
      </c>
      <c r="AY62" s="5"/>
      <c r="AZ62" s="12"/>
    </row>
    <row r="63" spans="1:52" ht="15" customHeight="1" x14ac:dyDescent="0.25">
      <c r="A63" s="254"/>
      <c r="B63" s="151"/>
      <c r="C63" s="180"/>
      <c r="D63" s="151"/>
      <c r="E63" s="234" t="s">
        <v>154</v>
      </c>
      <c r="F63" s="269" t="s">
        <v>144</v>
      </c>
      <c r="G63" s="270">
        <v>0</v>
      </c>
      <c r="H63" s="190">
        <f t="shared" si="89"/>
        <v>0</v>
      </c>
      <c r="I63" s="266">
        <f t="shared" si="99"/>
        <v>56845000</v>
      </c>
      <c r="J63" s="190">
        <f t="shared" si="90"/>
        <v>11369</v>
      </c>
      <c r="K63" s="191">
        <f t="shared" si="100"/>
        <v>56845000</v>
      </c>
      <c r="L63" s="190">
        <f t="shared" si="91"/>
        <v>11369</v>
      </c>
      <c r="M63" s="192">
        <v>0</v>
      </c>
      <c r="N63" s="6"/>
      <c r="O63" s="488"/>
      <c r="P63" s="6"/>
      <c r="Q63" s="6"/>
      <c r="R63" s="331">
        <v>5000</v>
      </c>
      <c r="S63" s="422"/>
      <c r="T63" s="337"/>
      <c r="U63" s="335"/>
      <c r="V63" s="386"/>
      <c r="W63" s="389" t="s">
        <v>154</v>
      </c>
      <c r="X63" s="420" t="s">
        <v>144</v>
      </c>
      <c r="Y63" s="338">
        <f>SUM('[1]JANUARI 26'!AN44)</f>
        <v>6180000</v>
      </c>
      <c r="Z63" s="339">
        <f t="shared" si="92"/>
        <v>1236</v>
      </c>
      <c r="AA63" s="331">
        <f>SUM('[1]FEBRUARI 26'!AN44)</f>
        <v>1840000</v>
      </c>
      <c r="AB63" s="414">
        <f t="shared" si="102"/>
        <v>368</v>
      </c>
      <c r="AC63" s="331">
        <f>SUM('[1]MARET 26'!AR44)</f>
        <v>15925000</v>
      </c>
      <c r="AD63" s="399">
        <f t="shared" si="103"/>
        <v>3185</v>
      </c>
      <c r="AE63" s="331">
        <f>SUM('[1]APRIL 26'!AL44)</f>
        <v>7800000</v>
      </c>
      <c r="AF63" s="339">
        <f t="shared" si="93"/>
        <v>1560</v>
      </c>
      <c r="AG63" s="331">
        <f>SUM('[1]MEI 26'!AP44)</f>
        <v>7055000</v>
      </c>
      <c r="AH63" s="339">
        <f t="shared" si="94"/>
        <v>1411</v>
      </c>
      <c r="AI63" s="338">
        <f>SUM('[1]JUNI 26'!AJ44)</f>
        <v>6645000</v>
      </c>
      <c r="AJ63" s="339">
        <f t="shared" si="104"/>
        <v>1329</v>
      </c>
      <c r="AK63" s="331">
        <f>SUM('[1]JULI 26'!AM44)</f>
        <v>3560000</v>
      </c>
      <c r="AL63" s="339">
        <f t="shared" si="105"/>
        <v>712</v>
      </c>
      <c r="AM63" s="338">
        <f>SUM('[1]AGUSTUS 26'!AQ44)</f>
        <v>5140000</v>
      </c>
      <c r="AN63" s="399">
        <f t="shared" si="95"/>
        <v>1028</v>
      </c>
      <c r="AO63" s="338">
        <f>SUM('[1]SEPTEMBER 26'!AK44)</f>
        <v>2700000</v>
      </c>
      <c r="AP63" s="339">
        <f t="shared" si="96"/>
        <v>540</v>
      </c>
      <c r="AQ63" s="331"/>
      <c r="AR63" s="339">
        <f t="shared" si="106"/>
        <v>0</v>
      </c>
      <c r="AS63" s="331"/>
      <c r="AT63" s="339">
        <f t="shared" si="107"/>
        <v>0</v>
      </c>
      <c r="AU63" s="340"/>
      <c r="AV63" s="398"/>
      <c r="AW63" s="341">
        <f t="shared" si="97"/>
        <v>56845000</v>
      </c>
      <c r="AX63" s="341">
        <f t="shared" si="98"/>
        <v>11369</v>
      </c>
      <c r="AY63" s="5"/>
      <c r="AZ63" s="12"/>
    </row>
    <row r="64" spans="1:52" ht="15" customHeight="1" x14ac:dyDescent="0.25">
      <c r="A64" s="254"/>
      <c r="B64" s="151"/>
      <c r="C64" s="180"/>
      <c r="D64" s="151"/>
      <c r="E64" s="234" t="s">
        <v>155</v>
      </c>
      <c r="F64" s="269" t="s">
        <v>145</v>
      </c>
      <c r="G64" s="270">
        <v>60000000</v>
      </c>
      <c r="H64" s="190">
        <f t="shared" si="89"/>
        <v>400</v>
      </c>
      <c r="I64" s="266">
        <f t="shared" si="99"/>
        <v>900000</v>
      </c>
      <c r="J64" s="190">
        <f t="shared" si="90"/>
        <v>6</v>
      </c>
      <c r="K64" s="191">
        <f t="shared" si="100"/>
        <v>-59100000</v>
      </c>
      <c r="L64" s="190">
        <f t="shared" si="91"/>
        <v>-394</v>
      </c>
      <c r="M64" s="192">
        <f t="shared" si="101"/>
        <v>1.5</v>
      </c>
      <c r="N64" s="6"/>
      <c r="O64" s="488"/>
      <c r="P64" s="6"/>
      <c r="Q64" s="6"/>
      <c r="R64" s="331">
        <v>150000</v>
      </c>
      <c r="S64" s="422"/>
      <c r="T64" s="337"/>
      <c r="U64" s="335"/>
      <c r="V64" s="386"/>
      <c r="W64" s="389" t="s">
        <v>155</v>
      </c>
      <c r="X64" s="420" t="s">
        <v>145</v>
      </c>
      <c r="Y64" s="338">
        <f>SUM('[1]JANUARI 26'!AN45)</f>
        <v>0</v>
      </c>
      <c r="Z64" s="339">
        <f t="shared" si="92"/>
        <v>0</v>
      </c>
      <c r="AA64" s="331">
        <f>SUM('[1]FEBRUARI 26'!AN45)</f>
        <v>0</v>
      </c>
      <c r="AB64" s="414">
        <f t="shared" si="102"/>
        <v>0</v>
      </c>
      <c r="AC64" s="331">
        <f>SUM('[1]MARET 26'!AR45)</f>
        <v>0</v>
      </c>
      <c r="AD64" s="399">
        <f t="shared" si="103"/>
        <v>0</v>
      </c>
      <c r="AE64" s="331">
        <f>SUM('[1]APRIL 26'!AL45)</f>
        <v>0</v>
      </c>
      <c r="AF64" s="339">
        <f t="shared" si="93"/>
        <v>0</v>
      </c>
      <c r="AG64" s="331">
        <f>SUM('[1]MEI 26'!AP45)</f>
        <v>0</v>
      </c>
      <c r="AH64" s="339">
        <f t="shared" si="94"/>
        <v>0</v>
      </c>
      <c r="AI64" s="338">
        <f>SUM('[1]JUNI 26'!AJ45)</f>
        <v>0</v>
      </c>
      <c r="AJ64" s="339">
        <f t="shared" si="104"/>
        <v>0</v>
      </c>
      <c r="AK64" s="331">
        <f>SUM('[1]JULI 26'!AM45)</f>
        <v>0</v>
      </c>
      <c r="AL64" s="339">
        <f t="shared" si="105"/>
        <v>0</v>
      </c>
      <c r="AM64" s="338">
        <f>SUM('[1]AGUSTUS 26'!AQ45)</f>
        <v>900000</v>
      </c>
      <c r="AN64" s="399">
        <f t="shared" si="95"/>
        <v>6</v>
      </c>
      <c r="AO64" s="338">
        <f>SUM('[1]SEPTEMBER 26'!AK45)</f>
        <v>0</v>
      </c>
      <c r="AP64" s="339">
        <f t="shared" si="96"/>
        <v>0</v>
      </c>
      <c r="AQ64" s="331"/>
      <c r="AR64" s="339">
        <f t="shared" si="106"/>
        <v>0</v>
      </c>
      <c r="AS64" s="331"/>
      <c r="AT64" s="339">
        <f t="shared" si="107"/>
        <v>0</v>
      </c>
      <c r="AU64" s="340"/>
      <c r="AV64" s="398"/>
      <c r="AW64" s="341">
        <f t="shared" si="97"/>
        <v>900000</v>
      </c>
      <c r="AX64" s="341">
        <f t="shared" si="98"/>
        <v>6</v>
      </c>
      <c r="AY64" s="5"/>
      <c r="AZ64" s="12"/>
    </row>
    <row r="65" spans="1:59" ht="15" customHeight="1" x14ac:dyDescent="0.25">
      <c r="A65" s="254"/>
      <c r="B65" s="151"/>
      <c r="C65" s="180"/>
      <c r="D65" s="151"/>
      <c r="E65" s="234" t="s">
        <v>156</v>
      </c>
      <c r="F65" s="269" t="s">
        <v>175</v>
      </c>
      <c r="G65" s="270">
        <v>19950000</v>
      </c>
      <c r="H65" s="190">
        <f t="shared" si="89"/>
        <v>266</v>
      </c>
      <c r="I65" s="266">
        <f t="shared" si="99"/>
        <v>2925000</v>
      </c>
      <c r="J65" s="190">
        <f t="shared" si="90"/>
        <v>39</v>
      </c>
      <c r="K65" s="191">
        <f t="shared" si="100"/>
        <v>-17025000</v>
      </c>
      <c r="L65" s="190">
        <f t="shared" si="91"/>
        <v>-227</v>
      </c>
      <c r="M65" s="192">
        <f t="shared" si="101"/>
        <v>14.661654135338345</v>
      </c>
      <c r="N65" s="6"/>
      <c r="O65" s="488"/>
      <c r="P65" s="6"/>
      <c r="Q65" s="6"/>
      <c r="R65" s="331">
        <v>75000</v>
      </c>
      <c r="S65" s="422"/>
      <c r="T65" s="337"/>
      <c r="U65" s="335"/>
      <c r="V65" s="386"/>
      <c r="W65" s="389" t="s">
        <v>156</v>
      </c>
      <c r="X65" s="420" t="s">
        <v>146</v>
      </c>
      <c r="Y65" s="338">
        <f>SUM('[1]JANUARI 26'!AN46)</f>
        <v>375000</v>
      </c>
      <c r="Z65" s="339">
        <f t="shared" si="92"/>
        <v>5</v>
      </c>
      <c r="AA65" s="331">
        <f>SUM('[1]FEBRUARI 26'!AN46)</f>
        <v>600000</v>
      </c>
      <c r="AB65" s="414">
        <f t="shared" si="102"/>
        <v>8</v>
      </c>
      <c r="AC65" s="331">
        <f>SUM('[1]MARET 26'!AR46)</f>
        <v>0</v>
      </c>
      <c r="AD65" s="423">
        <f t="shared" si="103"/>
        <v>0</v>
      </c>
      <c r="AE65" s="331">
        <f>SUM('[1]APRIL 26'!AL46)</f>
        <v>825000</v>
      </c>
      <c r="AF65" s="339">
        <f t="shared" si="93"/>
        <v>11</v>
      </c>
      <c r="AG65" s="331">
        <f>SUM('[1]MEI 26'!AP46)</f>
        <v>225000</v>
      </c>
      <c r="AH65" s="339">
        <f t="shared" si="94"/>
        <v>3</v>
      </c>
      <c r="AI65" s="338">
        <f>SUM('[1]JUNI 26'!AJ46)</f>
        <v>450000</v>
      </c>
      <c r="AJ65" s="339">
        <f t="shared" si="104"/>
        <v>6</v>
      </c>
      <c r="AK65" s="331">
        <f>SUM('[1]JULI 26'!AM46)</f>
        <v>225000</v>
      </c>
      <c r="AL65" s="339">
        <f t="shared" si="105"/>
        <v>3</v>
      </c>
      <c r="AM65" s="338">
        <f>SUM('[1]AGUSTUS 26'!AQ46)</f>
        <v>0</v>
      </c>
      <c r="AN65" s="399">
        <f t="shared" si="95"/>
        <v>0</v>
      </c>
      <c r="AO65" s="338">
        <f>SUM('[1]SEPTEMBER 26'!AK46)</f>
        <v>225000</v>
      </c>
      <c r="AP65" s="339">
        <f t="shared" si="96"/>
        <v>3</v>
      </c>
      <c r="AQ65" s="331"/>
      <c r="AR65" s="339">
        <f t="shared" si="106"/>
        <v>0</v>
      </c>
      <c r="AS65" s="331"/>
      <c r="AT65" s="339">
        <f t="shared" si="107"/>
        <v>0</v>
      </c>
      <c r="AU65" s="340"/>
      <c r="AV65" s="398"/>
      <c r="AW65" s="341">
        <f t="shared" si="97"/>
        <v>2925000</v>
      </c>
      <c r="AX65" s="341">
        <f t="shared" si="98"/>
        <v>39</v>
      </c>
      <c r="AY65" s="5"/>
      <c r="AZ65" s="12"/>
    </row>
    <row r="66" spans="1:59" ht="15" customHeight="1" x14ac:dyDescent="0.25">
      <c r="A66" s="254"/>
      <c r="B66" s="151"/>
      <c r="C66" s="180"/>
      <c r="D66" s="151"/>
      <c r="E66" s="215" t="s">
        <v>157</v>
      </c>
      <c r="F66" s="271" t="s">
        <v>147</v>
      </c>
      <c r="G66" s="209">
        <v>34000000</v>
      </c>
      <c r="H66" s="190">
        <f t="shared" si="89"/>
        <v>340</v>
      </c>
      <c r="I66" s="266">
        <f t="shared" si="99"/>
        <v>600000</v>
      </c>
      <c r="J66" s="190">
        <f t="shared" si="90"/>
        <v>6</v>
      </c>
      <c r="K66" s="191">
        <f t="shared" si="100"/>
        <v>-33400000</v>
      </c>
      <c r="L66" s="190">
        <f t="shared" si="91"/>
        <v>-334</v>
      </c>
      <c r="M66" s="192">
        <f t="shared" si="101"/>
        <v>1.7647058823529411</v>
      </c>
      <c r="N66" s="6"/>
      <c r="O66" s="488"/>
      <c r="P66" s="6"/>
      <c r="Q66" s="6"/>
      <c r="R66" s="331">
        <v>100000</v>
      </c>
      <c r="S66" s="422"/>
      <c r="T66" s="337"/>
      <c r="U66" s="335"/>
      <c r="V66" s="386"/>
      <c r="W66" s="370" t="s">
        <v>157</v>
      </c>
      <c r="X66" s="366" t="s">
        <v>147</v>
      </c>
      <c r="Y66" s="338">
        <f>SUM('[1]JANUARI 26'!AN47)</f>
        <v>0</v>
      </c>
      <c r="Z66" s="339">
        <f t="shared" si="92"/>
        <v>0</v>
      </c>
      <c r="AA66" s="331">
        <f>SUM('[1]FEBRUARI 26'!AN47)</f>
        <v>0</v>
      </c>
      <c r="AB66" s="414">
        <f t="shared" si="102"/>
        <v>0</v>
      </c>
      <c r="AC66" s="331">
        <f>SUM('[1]MARET 26'!AR47)</f>
        <v>0</v>
      </c>
      <c r="AD66" s="423">
        <f t="shared" si="103"/>
        <v>0</v>
      </c>
      <c r="AE66" s="331">
        <f>SUM('[1]APRIL 26'!AL47)</f>
        <v>0</v>
      </c>
      <c r="AF66" s="339">
        <f t="shared" si="93"/>
        <v>0</v>
      </c>
      <c r="AG66" s="331">
        <f>SUM('[1]MEI 26'!AP47)</f>
        <v>0</v>
      </c>
      <c r="AH66" s="339">
        <f t="shared" si="94"/>
        <v>0</v>
      </c>
      <c r="AI66" s="338">
        <f>SUM('[1]JUNI 26'!AJ47)</f>
        <v>0</v>
      </c>
      <c r="AJ66" s="339">
        <f t="shared" si="104"/>
        <v>0</v>
      </c>
      <c r="AK66" s="331">
        <f>SUM('[1]JULI 26'!AM47)</f>
        <v>0</v>
      </c>
      <c r="AL66" s="339">
        <f t="shared" si="105"/>
        <v>0</v>
      </c>
      <c r="AM66" s="338">
        <f>SUM('[1]AGUSTUS 26'!AQ47)</f>
        <v>600000</v>
      </c>
      <c r="AN66" s="399">
        <f t="shared" si="95"/>
        <v>6</v>
      </c>
      <c r="AO66" s="338">
        <f>SUM('[1]SEPTEMBER 26'!AK47)</f>
        <v>0</v>
      </c>
      <c r="AP66" s="339">
        <f t="shared" si="96"/>
        <v>0</v>
      </c>
      <c r="AQ66" s="331"/>
      <c r="AR66" s="339">
        <f t="shared" si="106"/>
        <v>0</v>
      </c>
      <c r="AS66" s="331"/>
      <c r="AT66" s="339">
        <f t="shared" si="107"/>
        <v>0</v>
      </c>
      <c r="AU66" s="340"/>
      <c r="AV66" s="339"/>
      <c r="AW66" s="356">
        <f t="shared" si="97"/>
        <v>600000</v>
      </c>
      <c r="AX66" s="356">
        <f t="shared" si="98"/>
        <v>6</v>
      </c>
      <c r="AY66" s="5"/>
      <c r="AZ66" s="12"/>
    </row>
    <row r="67" spans="1:59" s="4" customFormat="1" ht="18.75" customHeight="1" x14ac:dyDescent="0.25">
      <c r="A67" s="162" t="s">
        <v>207</v>
      </c>
      <c r="B67" s="272" t="s">
        <v>13</v>
      </c>
      <c r="C67" s="273" t="s">
        <v>68</v>
      </c>
      <c r="D67" s="273" t="s">
        <v>66</v>
      </c>
      <c r="E67" s="273"/>
      <c r="F67" s="274"/>
      <c r="G67" s="275">
        <v>5000000000</v>
      </c>
      <c r="H67" s="276"/>
      <c r="I67" s="277">
        <f>AW67</f>
        <v>8389400000</v>
      </c>
      <c r="J67" s="277"/>
      <c r="K67" s="277">
        <f>I67-G67</f>
        <v>3389400000</v>
      </c>
      <c r="L67" s="278"/>
      <c r="M67" s="279">
        <f>SUM(I67/G67*100)</f>
        <v>167.78800000000001</v>
      </c>
      <c r="N67" s="6"/>
      <c r="O67" s="488"/>
      <c r="P67" s="6"/>
      <c r="Q67" s="6"/>
      <c r="R67" s="316"/>
      <c r="S67" s="424" t="s">
        <v>207</v>
      </c>
      <c r="T67" s="425" t="s">
        <v>13</v>
      </c>
      <c r="U67" s="426" t="s">
        <v>68</v>
      </c>
      <c r="V67" s="426" t="s">
        <v>66</v>
      </c>
      <c r="W67" s="426"/>
      <c r="X67" s="427"/>
      <c r="Y67" s="428">
        <f>SUM('[1]JANUARI 26'!$AN$56)</f>
        <v>26800000</v>
      </c>
      <c r="Z67" s="429"/>
      <c r="AA67" s="428"/>
      <c r="AB67" s="429"/>
      <c r="AC67" s="428"/>
      <c r="AD67" s="429"/>
      <c r="AE67" s="428">
        <f>SUM('[1]APRIL 26'!$AL$56)</f>
        <v>4363900000</v>
      </c>
      <c r="AF67" s="429"/>
      <c r="AG67" s="428"/>
      <c r="AH67" s="429"/>
      <c r="AI67" s="428">
        <f>SUM('[1]JUNI 26'!$AJ$56)</f>
        <v>1244500000</v>
      </c>
      <c r="AJ67" s="429"/>
      <c r="AK67" s="621">
        <f>SUM('[1]JULI 26'!$AM$56)</f>
        <v>242000000</v>
      </c>
      <c r="AL67" s="429"/>
      <c r="AM67" s="428">
        <f>SUM('[1]AGUSTUS 26'!$AQ$58)</f>
        <v>0</v>
      </c>
      <c r="AN67" s="430"/>
      <c r="AO67" s="431">
        <f>SUM('[1]SEPTEMBER 26'!$AK$57)</f>
        <v>2512200000</v>
      </c>
      <c r="AP67" s="429"/>
      <c r="AQ67" s="431"/>
      <c r="AR67" s="429"/>
      <c r="AS67" s="431"/>
      <c r="AT67" s="430"/>
      <c r="AU67" s="431"/>
      <c r="AV67" s="432"/>
      <c r="AW67" s="433">
        <f t="shared" si="97"/>
        <v>8389400000</v>
      </c>
      <c r="AX67" s="433"/>
      <c r="AY67" s="5"/>
      <c r="BB67" s="1"/>
      <c r="BC67" s="1"/>
      <c r="BD67" s="1"/>
      <c r="BE67" s="1"/>
      <c r="BF67" s="1"/>
      <c r="BG67" s="1"/>
    </row>
    <row r="68" spans="1:59" s="4" customFormat="1" ht="18.75" customHeight="1" x14ac:dyDescent="0.25">
      <c r="A68" s="162" t="s">
        <v>208</v>
      </c>
      <c r="B68" s="272" t="s">
        <v>17</v>
      </c>
      <c r="C68" s="684" t="s">
        <v>65</v>
      </c>
      <c r="D68" s="685"/>
      <c r="E68" s="685"/>
      <c r="F68" s="686"/>
      <c r="G68" s="280">
        <v>240000000</v>
      </c>
      <c r="H68" s="281"/>
      <c r="I68" s="277">
        <f t="shared" ref="I68" si="108">AW68</f>
        <v>117158335</v>
      </c>
      <c r="J68" s="282"/>
      <c r="K68" s="277">
        <f>I68-G68</f>
        <v>-122841665</v>
      </c>
      <c r="L68" s="281"/>
      <c r="M68" s="279">
        <f>SUM(I68/G68*100)</f>
        <v>48.815972916666666</v>
      </c>
      <c r="N68" s="6"/>
      <c r="O68" s="488"/>
      <c r="P68" s="6"/>
      <c r="Q68" s="6"/>
      <c r="R68" s="316"/>
      <c r="S68" s="424" t="s">
        <v>208</v>
      </c>
      <c r="T68" s="425" t="s">
        <v>17</v>
      </c>
      <c r="U68" s="687" t="s">
        <v>65</v>
      </c>
      <c r="V68" s="688"/>
      <c r="W68" s="688"/>
      <c r="X68" s="689"/>
      <c r="Y68" s="428">
        <f>SUM('[1]JANUARI 26'!$AN$54)</f>
        <v>3038392</v>
      </c>
      <c r="Z68" s="429"/>
      <c r="AA68" s="428">
        <f>SUM('[1]FEBRUARI 26'!$AN$54)</f>
        <v>3179750</v>
      </c>
      <c r="AB68" s="429"/>
      <c r="AC68" s="428">
        <f>SUM('[1]MARET 26'!$AR$54)+'[1]MARET 26'!$AR$55</f>
        <v>1763092</v>
      </c>
      <c r="AD68" s="429"/>
      <c r="AE68" s="428">
        <f>SUM('[1]APRIL 26'!$AL$54)</f>
        <v>8786013</v>
      </c>
      <c r="AF68" s="429"/>
      <c r="AG68" s="428">
        <f>SUM('[1]MEI 26'!$AP$54+'[1]MEI 26'!$AP$55)</f>
        <v>16157772</v>
      </c>
      <c r="AH68" s="429"/>
      <c r="AI68" s="428">
        <f>SUM('[1]JUNI 26'!$AJ$54)</f>
        <v>19313094</v>
      </c>
      <c r="AJ68" s="429"/>
      <c r="AK68" s="622">
        <f>SUM('[1]JULI 26'!$AM$54)</f>
        <v>21314767</v>
      </c>
      <c r="AL68" s="429"/>
      <c r="AM68" s="428">
        <f>SUM('[1]AGUSTUS 26'!$AQ$54)</f>
        <v>22779321</v>
      </c>
      <c r="AN68" s="430"/>
      <c r="AO68" s="431">
        <f>SUM('[1]SEPTEMBER 26'!$AK$54)</f>
        <v>20826134</v>
      </c>
      <c r="AP68" s="429"/>
      <c r="AQ68" s="431"/>
      <c r="AR68" s="429"/>
      <c r="AS68" s="431"/>
      <c r="AT68" s="430"/>
      <c r="AU68" s="431"/>
      <c r="AV68" s="432"/>
      <c r="AW68" s="433">
        <f t="shared" si="97"/>
        <v>117158335</v>
      </c>
      <c r="AX68" s="433"/>
      <c r="AY68" s="5"/>
      <c r="BB68" s="1"/>
      <c r="BC68" s="1"/>
      <c r="BD68" s="1"/>
      <c r="BE68" s="1"/>
      <c r="BF68" s="1"/>
      <c r="BG68" s="1"/>
    </row>
    <row r="69" spans="1:59" s="4" customFormat="1" ht="18.75" customHeight="1" x14ac:dyDescent="0.25">
      <c r="A69" s="162" t="s">
        <v>209</v>
      </c>
      <c r="B69" s="283" t="s">
        <v>18</v>
      </c>
      <c r="C69" s="690" t="s">
        <v>64</v>
      </c>
      <c r="D69" s="691"/>
      <c r="E69" s="691"/>
      <c r="F69" s="692"/>
      <c r="G69" s="284">
        <v>600000000</v>
      </c>
      <c r="H69" s="285"/>
      <c r="I69" s="277">
        <f>AW69</f>
        <v>623272427</v>
      </c>
      <c r="J69" s="286"/>
      <c r="K69" s="277">
        <f>I69-G69</f>
        <v>23272427</v>
      </c>
      <c r="L69" s="285"/>
      <c r="M69" s="279">
        <f>SUM(I69/G69*100)</f>
        <v>103.87873783333332</v>
      </c>
      <c r="N69" s="6"/>
      <c r="O69" s="488"/>
      <c r="P69" s="6"/>
      <c r="Q69" s="6"/>
      <c r="R69" s="316"/>
      <c r="S69" s="424" t="s">
        <v>209</v>
      </c>
      <c r="T69" s="435" t="s">
        <v>18</v>
      </c>
      <c r="U69" s="693" t="s">
        <v>64</v>
      </c>
      <c r="V69" s="694"/>
      <c r="W69" s="694"/>
      <c r="X69" s="695"/>
      <c r="Y69" s="428">
        <f>SUM('[1]JANUARI 26'!$AN$49+'[1]JANUARI 26'!$AN$50+'[1]JANUARI 26'!$AN$51+'[1]JANUARI 26'!$AN$52+'[1]JANUARI 26'!$AN$53)</f>
        <v>78413240</v>
      </c>
      <c r="Z69" s="429"/>
      <c r="AA69" s="428">
        <f>SUM('[1]FEBRUARI 26'!$AN$49+'[1]FEBRUARI 26'!$AN$50+'[1]FEBRUARI 26'!$AN$51+'[1]FEBRUARI 26'!$AN$52+'[1]FEBRUARI 26'!$AN$53)</f>
        <v>46219495</v>
      </c>
      <c r="AB69" s="429"/>
      <c r="AC69" s="428">
        <f>SUM('[1]MARET 26'!$AR$49+'[1]MARET 26'!$AR$50+'[1]MARET 26'!$AR$51+'[1]MARET 26'!$AR$52+'[1]MARET 26'!$AR$53)+'[1]MARET 26'!$AR$56</f>
        <v>60158495</v>
      </c>
      <c r="AD69" s="429"/>
      <c r="AE69" s="428">
        <f>SUM('[1]APRIL 26'!$AL$49+'[1]APRIL 26'!$AL$50+'[1]APRIL 26'!$AL$51+'[1]APRIL 26'!$AL$52+'[1]APRIL 26'!$AL$53+'[1]APRIL 26'!$AL$57)</f>
        <v>71081435</v>
      </c>
      <c r="AF69" s="429"/>
      <c r="AG69" s="428">
        <f>SUM('[1]MEI 26'!$AP$49+'[1]MEI 26'!$AP$50+'[1]MEI 26'!$AP$51+'[1]MEI 26'!$AP$52+'[1]MEI 26'!$AP$53)</f>
        <v>84747275</v>
      </c>
      <c r="AH69" s="429"/>
      <c r="AI69" s="428">
        <f>SUM('[1]JUNI 26'!$AJ$49+'[1]JUNI 26'!$AJ$50+'[1]JUNI 26'!$AJ$51+'[1]JUNI 26'!$AJ$52+'[1]JUNI 26'!$AJ$53)</f>
        <v>71026350</v>
      </c>
      <c r="AJ69" s="429"/>
      <c r="AK69" s="622">
        <f>SUM('[1]JULI 26'!$AM$49+'[1]JULI 26'!$AM$50+'[1]JULI 26'!$AM$51+'[1]JULI 26'!$AM$52+'[1]JULI 26'!$AM$53)</f>
        <v>73209725</v>
      </c>
      <c r="AL69" s="429"/>
      <c r="AM69" s="428">
        <f>SUM('[1]AGUSTUS 26'!$AQ$49+'[1]AGUSTUS 26'!$AQ$50+'[1]AGUSTUS 26'!$AQ$51+'[1]AGUSTUS 26'!$AQ$52+'[1]AGUSTUS 26'!$AQ$53)+'[1]AGUSTUS 26'!$AQ$56</f>
        <v>75817787</v>
      </c>
      <c r="AN69" s="430"/>
      <c r="AO69" s="431">
        <f>SUM('[1]SEPTEMBER 26'!$AK$49+'[1]SEPTEMBER 26'!$AK$50+'[1]SEPTEMBER 26'!$AK$51+'[1]SEPTEMBER 26'!$AK$52+'[1]SEPTEMBER 26'!$AK$53)+'[1]SEPTEMBER 26'!$AK$59+'[1]SEPTEMBER 26'!$AK$56</f>
        <v>62598625</v>
      </c>
      <c r="AP69" s="429"/>
      <c r="AQ69" s="431"/>
      <c r="AR69" s="429"/>
      <c r="AS69" s="431"/>
      <c r="AT69" s="430"/>
      <c r="AU69" s="431"/>
      <c r="AV69" s="432"/>
      <c r="AW69" s="433">
        <f>SUM(Y69+AA69+AC69+AE69+AG69+AI69+AK69+AM69+AO69+AQ69+AS69+AU69)</f>
        <v>623272427</v>
      </c>
      <c r="AX69" s="433"/>
      <c r="AY69" s="5"/>
      <c r="BB69" s="1"/>
      <c r="BC69" s="1"/>
      <c r="BD69" s="1"/>
      <c r="BE69" s="1"/>
      <c r="BF69" s="1"/>
      <c r="BG69" s="1"/>
    </row>
    <row r="70" spans="1:59" s="4" customFormat="1" ht="25.15" customHeight="1" x14ac:dyDescent="0.25">
      <c r="A70" s="696" t="s">
        <v>70</v>
      </c>
      <c r="B70" s="697"/>
      <c r="C70" s="697"/>
      <c r="D70" s="697"/>
      <c r="E70" s="697"/>
      <c r="F70" s="698"/>
      <c r="G70" s="287">
        <f>G9+G67+G68+G69</f>
        <v>102320000000</v>
      </c>
      <c r="H70" s="287"/>
      <c r="I70" s="287">
        <f t="shared" ref="I70" si="109">I9+I67+I68+I69</f>
        <v>33228241137</v>
      </c>
      <c r="J70" s="287"/>
      <c r="K70" s="287">
        <f>K9+K67+K68+K69</f>
        <v>-69091758863</v>
      </c>
      <c r="L70" s="287"/>
      <c r="M70" s="287">
        <f>SUM(I70/G70*100)</f>
        <v>32.474825192533231</v>
      </c>
      <c r="N70" s="7"/>
      <c r="O70" s="490"/>
      <c r="P70" s="7"/>
      <c r="Q70" s="7"/>
      <c r="R70" s="436"/>
      <c r="S70" s="699" t="s">
        <v>165</v>
      </c>
      <c r="T70" s="700"/>
      <c r="U70" s="700"/>
      <c r="V70" s="700"/>
      <c r="W70" s="700"/>
      <c r="X70" s="701"/>
      <c r="Y70" s="437">
        <f>Y9+Y67+Y68+Y69</f>
        <v>2778122882</v>
      </c>
      <c r="Z70" s="437">
        <f t="shared" ref="Z70" si="110">Z9+Z67+Z68+Z69</f>
        <v>601069</v>
      </c>
      <c r="AA70" s="437">
        <f>AA9+AA67+AA68+AA69</f>
        <v>1042116745</v>
      </c>
      <c r="AB70" s="437">
        <f t="shared" ref="AB70:AD70" si="111">AB9+AB67+AB68+AB69</f>
        <v>203402</v>
      </c>
      <c r="AC70" s="437">
        <f>AC9+AC67+AC68+AC69</f>
        <v>3223459837</v>
      </c>
      <c r="AD70" s="437">
        <f t="shared" si="111"/>
        <v>629974</v>
      </c>
      <c r="AE70" s="437">
        <f>AE9+AE67+AE68+AE69</f>
        <v>7064344198</v>
      </c>
      <c r="AF70" s="438">
        <f t="shared" ref="AF70:AH70" si="112">AF9+AF67+AF68+AF69</f>
        <v>578849</v>
      </c>
      <c r="AG70" s="437">
        <f>AG9+AG67+AG68+AG69</f>
        <v>3511930297</v>
      </c>
      <c r="AH70" s="437">
        <f t="shared" si="112"/>
        <v>710617</v>
      </c>
      <c r="AI70" s="437">
        <f>AI9+AI67+AI68+AI69</f>
        <v>4267689069</v>
      </c>
      <c r="AJ70" s="437">
        <f t="shared" ref="AJ70:AV70" si="113">AJ9+AJ67+AJ68+AJ69</f>
        <v>629101</v>
      </c>
      <c r="AK70" s="437">
        <f t="shared" si="113"/>
        <v>3916293742</v>
      </c>
      <c r="AL70" s="437">
        <f t="shared" si="113"/>
        <v>793768</v>
      </c>
      <c r="AM70" s="437">
        <f t="shared" si="113"/>
        <v>2783304358</v>
      </c>
      <c r="AN70" s="437">
        <f t="shared" si="113"/>
        <v>572084</v>
      </c>
      <c r="AO70" s="437">
        <f t="shared" si="113"/>
        <v>4640980009</v>
      </c>
      <c r="AP70" s="437">
        <f t="shared" si="113"/>
        <v>459289</v>
      </c>
      <c r="AQ70" s="437">
        <f t="shared" si="113"/>
        <v>0</v>
      </c>
      <c r="AR70" s="437">
        <f t="shared" si="113"/>
        <v>0</v>
      </c>
      <c r="AS70" s="437">
        <f t="shared" si="113"/>
        <v>0</v>
      </c>
      <c r="AT70" s="437">
        <f t="shared" si="113"/>
        <v>0</v>
      </c>
      <c r="AU70" s="437">
        <f t="shared" si="113"/>
        <v>0</v>
      </c>
      <c r="AV70" s="439">
        <f t="shared" si="113"/>
        <v>0</v>
      </c>
      <c r="AW70" s="440">
        <f t="shared" si="97"/>
        <v>33228241137</v>
      </c>
      <c r="AX70" s="440">
        <f>Z70+AB70+AD70+AF70+AH70+AJ70+AL70+AN70+AP70+AR70+AT70+AV70</f>
        <v>5178153</v>
      </c>
      <c r="AY70" s="5"/>
      <c r="BB70" s="1"/>
      <c r="BC70" s="1"/>
      <c r="BD70" s="1"/>
      <c r="BE70" s="1"/>
      <c r="BF70" s="1"/>
      <c r="BG70" s="1"/>
    </row>
    <row r="73" spans="1:59" ht="15.75" customHeight="1" x14ac:dyDescent="0.25">
      <c r="J73" s="676" t="s">
        <v>252</v>
      </c>
      <c r="K73" s="676"/>
      <c r="L73" s="676"/>
      <c r="M73" s="676"/>
    </row>
    <row r="74" spans="1:59" ht="15.75" customHeight="1" x14ac:dyDescent="0.25">
      <c r="J74" s="676" t="s">
        <v>201</v>
      </c>
      <c r="K74" s="676"/>
      <c r="L74" s="676"/>
      <c r="M74" s="676"/>
    </row>
    <row r="75" spans="1:59" ht="15.75" customHeight="1" x14ac:dyDescent="0.25">
      <c r="J75" s="676" t="s">
        <v>20</v>
      </c>
      <c r="K75" s="676"/>
      <c r="L75" s="676"/>
      <c r="M75" s="676"/>
    </row>
    <row r="76" spans="1:59" ht="15.75" customHeight="1" x14ac:dyDescent="0.25">
      <c r="J76" s="676" t="s">
        <v>53</v>
      </c>
      <c r="K76" s="676"/>
      <c r="L76" s="676"/>
      <c r="M76" s="676"/>
    </row>
    <row r="77" spans="1:59" x14ac:dyDescent="0.25">
      <c r="J77" s="677" t="s">
        <v>54</v>
      </c>
      <c r="K77" s="677"/>
      <c r="L77" s="677"/>
      <c r="M77" s="677"/>
    </row>
    <row r="78" spans="1:59" x14ac:dyDescent="0.25">
      <c r="J78" s="303"/>
      <c r="K78" s="303"/>
      <c r="L78" s="303"/>
      <c r="M78" s="303"/>
    </row>
    <row r="79" spans="1:59" x14ac:dyDescent="0.25">
      <c r="J79" s="303"/>
      <c r="K79" s="303"/>
      <c r="L79" s="303"/>
      <c r="M79" s="303"/>
    </row>
    <row r="80" spans="1:59" ht="15.75" customHeight="1" x14ac:dyDescent="0.25">
      <c r="J80" s="676" t="s">
        <v>198</v>
      </c>
      <c r="K80" s="676"/>
      <c r="L80" s="676"/>
      <c r="M80" s="676"/>
    </row>
    <row r="81" spans="10:13" ht="15.75" customHeight="1" x14ac:dyDescent="0.25">
      <c r="J81" s="676" t="s">
        <v>199</v>
      </c>
      <c r="K81" s="676"/>
      <c r="L81" s="676"/>
      <c r="M81" s="676"/>
    </row>
  </sheetData>
  <sheetProtection selectLockedCells="1" selectUnlockedCells="1"/>
  <mergeCells count="57">
    <mergeCell ref="A1:M1"/>
    <mergeCell ref="A2:M2"/>
    <mergeCell ref="A3:M3"/>
    <mergeCell ref="A6:A7"/>
    <mergeCell ref="C6:C7"/>
    <mergeCell ref="E6:E7"/>
    <mergeCell ref="F6:F7"/>
    <mergeCell ref="G6:H6"/>
    <mergeCell ref="I6:J6"/>
    <mergeCell ref="K6:L6"/>
    <mergeCell ref="W11:X11"/>
    <mergeCell ref="AK6:AL6"/>
    <mergeCell ref="AM6:AN6"/>
    <mergeCell ref="AO6:AP6"/>
    <mergeCell ref="AQ6:AR6"/>
    <mergeCell ref="Y6:Z6"/>
    <mergeCell ref="AA6:AB6"/>
    <mergeCell ref="AC6:AD6"/>
    <mergeCell ref="AE6:AF6"/>
    <mergeCell ref="AG6:AH6"/>
    <mergeCell ref="AI6:AJ6"/>
    <mergeCell ref="W6:W7"/>
    <mergeCell ref="X6:X7"/>
    <mergeCell ref="AW6:AX6"/>
    <mergeCell ref="C9:F9"/>
    <mergeCell ref="U9:X9"/>
    <mergeCell ref="E10:F10"/>
    <mergeCell ref="W10:X10"/>
    <mergeCell ref="AS6:AT6"/>
    <mergeCell ref="AU6:AV6"/>
    <mergeCell ref="M6:M7"/>
    <mergeCell ref="R6:R7"/>
    <mergeCell ref="S6:S7"/>
    <mergeCell ref="U6:U7"/>
    <mergeCell ref="W17:X17"/>
    <mergeCell ref="E30:F30"/>
    <mergeCell ref="W30:X30"/>
    <mergeCell ref="W31:X31"/>
    <mergeCell ref="E36:F36"/>
    <mergeCell ref="W36:X36"/>
    <mergeCell ref="J74:M74"/>
    <mergeCell ref="W37:X37"/>
    <mergeCell ref="E44:F44"/>
    <mergeCell ref="W44:X44"/>
    <mergeCell ref="W45:X45"/>
    <mergeCell ref="C68:F68"/>
    <mergeCell ref="U68:X68"/>
    <mergeCell ref="C69:F69"/>
    <mergeCell ref="U69:X69"/>
    <mergeCell ref="A70:F70"/>
    <mergeCell ref="S70:X70"/>
    <mergeCell ref="J73:M73"/>
    <mergeCell ref="J75:M75"/>
    <mergeCell ref="J76:M76"/>
    <mergeCell ref="J80:M80"/>
    <mergeCell ref="J81:M81"/>
    <mergeCell ref="J77:M77"/>
  </mergeCells>
  <printOptions horizontalCentered="1"/>
  <pageMargins left="0.62" right="0.70866141732283472" top="0.55118110236220474" bottom="0.68" header="0.31496062992125984" footer="0.31496062992125984"/>
  <pageSetup paperSize="122" scale="70" fitToWidth="2" fitToHeight="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8B89-FF10-4F64-A254-F0001C57B35F}">
  <dimension ref="A1:BI80"/>
  <sheetViews>
    <sheetView showOutlineSymbols="0" zoomScaleNormal="100" workbookViewId="0">
      <selection activeCell="N68" sqref="N68"/>
    </sheetView>
  </sheetViews>
  <sheetFormatPr defaultColWidth="8.6640625" defaultRowHeight="15.75" x14ac:dyDescent="0.25"/>
  <cols>
    <col min="1" max="1" width="9" style="4" bestFit="1" customWidth="1"/>
    <col min="2" max="3" width="9" style="4" customWidth="1"/>
    <col min="4" max="4" width="14.5546875" style="4" customWidth="1"/>
    <col min="5" max="5" width="2.5546875" customWidth="1"/>
    <col min="6" max="6" width="2.6640625" customWidth="1"/>
    <col min="7" max="7" width="0.5546875" hidden="1" customWidth="1"/>
    <col min="8" max="8" width="9.5546875" customWidth="1"/>
    <col min="9" max="9" width="42.88671875" style="18" customWidth="1"/>
    <col min="10" max="10" width="14.77734375" style="4" customWidth="1"/>
    <col min="11" max="11" width="9.77734375" style="4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x14ac:dyDescent="0.25">
      <c r="D1" s="745" t="s">
        <v>215</v>
      </c>
      <c r="E1" s="745"/>
      <c r="F1" s="745"/>
      <c r="G1" s="745"/>
      <c r="H1" s="745"/>
      <c r="I1" s="745"/>
      <c r="J1" s="745"/>
      <c r="K1" s="745"/>
    </row>
    <row r="2" spans="1:20" x14ac:dyDescent="0.25">
      <c r="D2" s="745" t="s">
        <v>192</v>
      </c>
      <c r="E2" s="745"/>
      <c r="F2" s="745"/>
      <c r="G2" s="745"/>
      <c r="H2" s="745"/>
      <c r="I2" s="745"/>
      <c r="J2" s="745"/>
      <c r="K2" s="745"/>
    </row>
    <row r="3" spans="1:20" x14ac:dyDescent="0.25">
      <c r="D3" s="745" t="s">
        <v>55</v>
      </c>
      <c r="E3" s="745"/>
      <c r="F3" s="745"/>
      <c r="G3" s="745"/>
      <c r="H3" s="745"/>
      <c r="I3" s="745"/>
      <c r="J3" s="745"/>
      <c r="K3" s="745"/>
    </row>
    <row r="4" spans="1:20" ht="14.25" customHeight="1" x14ac:dyDescent="0.25">
      <c r="D4" s="745" t="s">
        <v>253</v>
      </c>
      <c r="E4" s="745"/>
      <c r="F4" s="745"/>
      <c r="G4" s="745"/>
      <c r="H4" s="745"/>
      <c r="I4" s="745"/>
      <c r="J4" s="745"/>
      <c r="K4" s="745"/>
    </row>
    <row r="5" spans="1:20" ht="9" customHeight="1" x14ac:dyDescent="0.25">
      <c r="E5" s="21"/>
      <c r="F5" s="24"/>
      <c r="G5" s="24"/>
      <c r="H5" s="24"/>
      <c r="I5" s="131"/>
    </row>
    <row r="6" spans="1:20" ht="15.75" customHeight="1" x14ac:dyDescent="0.25">
      <c r="A6" s="722" t="s">
        <v>50</v>
      </c>
      <c r="B6" s="444"/>
      <c r="C6" s="445"/>
      <c r="D6" s="772" t="s">
        <v>10</v>
      </c>
      <c r="E6" s="496"/>
      <c r="F6" s="774" t="s">
        <v>159</v>
      </c>
      <c r="G6" s="499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5" customHeight="1" x14ac:dyDescent="0.25">
      <c r="A7" s="723"/>
      <c r="B7" s="444"/>
      <c r="C7" s="445"/>
      <c r="D7" s="773"/>
      <c r="E7" s="500"/>
      <c r="F7" s="775"/>
      <c r="G7" s="501"/>
      <c r="H7" s="777"/>
      <c r="I7" s="779"/>
      <c r="J7" s="559" t="s">
        <v>5</v>
      </c>
      <c r="K7" s="493" t="s">
        <v>249</v>
      </c>
      <c r="L7" s="5"/>
    </row>
    <row r="8" spans="1:20" s="17" customFormat="1" ht="16.899999999999999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493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5" customHeight="1" x14ac:dyDescent="0.2">
      <c r="A9" s="309"/>
      <c r="B9" s="441"/>
      <c r="C9" s="446"/>
      <c r="D9" s="450" t="s">
        <v>166</v>
      </c>
      <c r="E9" s="617" t="s">
        <v>7</v>
      </c>
      <c r="F9" s="789" t="s">
        <v>67</v>
      </c>
      <c r="G9" s="789"/>
      <c r="H9" s="789"/>
      <c r="I9" s="789"/>
      <c r="J9" s="822">
        <f t="shared" ref="J9:K9" si="0">J10+J30+J36+J44</f>
        <v>2045355250</v>
      </c>
      <c r="K9" s="838">
        <f t="shared" si="0"/>
        <v>459289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83"/>
      <c r="J10" s="623">
        <f t="shared" ref="J10:K10" si="1">SUM(J12:J29)</f>
        <v>1529487250</v>
      </c>
      <c r="K10" s="839">
        <f t="shared" si="1"/>
        <v>369727</v>
      </c>
      <c r="L10" s="5"/>
    </row>
    <row r="11" spans="1:20" ht="15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84"/>
      <c r="J11" s="823"/>
      <c r="K11" s="824"/>
      <c r="L11" s="5"/>
    </row>
    <row r="12" spans="1:20" ht="15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69" t="s">
        <v>73</v>
      </c>
      <c r="I12" s="461" t="s">
        <v>11</v>
      </c>
      <c r="J12" s="570">
        <f>SUM('[1]SEPTEMBER 26'!AK3)</f>
        <v>965424000</v>
      </c>
      <c r="K12" s="825">
        <f>SUM(J12/A12)</f>
        <v>241356</v>
      </c>
      <c r="L12" s="5"/>
    </row>
    <row r="13" spans="1:20" ht="15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72" t="s">
        <v>74</v>
      </c>
      <c r="I13" s="462" t="s">
        <v>12</v>
      </c>
      <c r="J13" s="570">
        <f>SUM('[1]SEPTEMBER 26'!AK4)</f>
        <v>187545000</v>
      </c>
      <c r="K13" s="825">
        <f>SUM(J13/A13)</f>
        <v>62515</v>
      </c>
      <c r="L13" s="5"/>
    </row>
    <row r="14" spans="1:20" ht="39.75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73" t="s">
        <v>84</v>
      </c>
      <c r="I14" s="466" t="s">
        <v>75</v>
      </c>
      <c r="J14" s="574"/>
      <c r="K14" s="826"/>
      <c r="L14" s="5"/>
    </row>
    <row r="15" spans="1:20" ht="15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72" t="s">
        <v>76</v>
      </c>
      <c r="I15" s="462" t="s">
        <v>11</v>
      </c>
      <c r="J15" s="570">
        <f>SUM('[1]SEPTEMBER 26'!AK5)</f>
        <v>3123000</v>
      </c>
      <c r="K15" s="825">
        <f>SUM(J15/A15)</f>
        <v>1041</v>
      </c>
      <c r="L15" s="5"/>
    </row>
    <row r="16" spans="1:20" ht="15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76" t="s">
        <v>77</v>
      </c>
      <c r="I16" s="463" t="s">
        <v>12</v>
      </c>
      <c r="J16" s="570">
        <f>SUM('[1]SEPTEMBER 26'!AK6)</f>
        <v>2787750</v>
      </c>
      <c r="K16" s="825">
        <f>SUM(J16/A16)</f>
        <v>1239</v>
      </c>
      <c r="L16" s="5"/>
    </row>
    <row r="17" spans="1:12" ht="15" customHeight="1" x14ac:dyDescent="0.25">
      <c r="A17" s="346"/>
      <c r="B17" s="443"/>
      <c r="C17" s="447"/>
      <c r="D17" s="457"/>
      <c r="E17" s="458"/>
      <c r="F17" s="459"/>
      <c r="G17" s="460"/>
      <c r="H17" s="787" t="s">
        <v>14</v>
      </c>
      <c r="I17" s="827"/>
      <c r="J17" s="577"/>
      <c r="K17" s="828"/>
      <c r="L17" s="5"/>
    </row>
    <row r="18" spans="1:12" ht="15" customHeight="1" x14ac:dyDescent="0.25">
      <c r="A18" s="346"/>
      <c r="B18" s="443"/>
      <c r="C18" s="447"/>
      <c r="D18" s="457"/>
      <c r="E18" s="458"/>
      <c r="F18" s="459"/>
      <c r="G18" s="460"/>
      <c r="H18" s="579" t="s">
        <v>78</v>
      </c>
      <c r="I18" s="464" t="s">
        <v>79</v>
      </c>
      <c r="J18" s="577"/>
      <c r="K18" s="828"/>
      <c r="L18" s="5"/>
    </row>
    <row r="19" spans="1:12" ht="15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81" t="s">
        <v>80</v>
      </c>
      <c r="I19" s="625" t="s">
        <v>56</v>
      </c>
      <c r="J19" s="570">
        <f>SUM('[1]SEPTEMBER 26'!AK7)</f>
        <v>0</v>
      </c>
      <c r="K19" s="825">
        <f>SUM(J19/A19)</f>
        <v>0</v>
      </c>
      <c r="L19" s="5"/>
    </row>
    <row r="20" spans="1:12" ht="15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72" t="s">
        <v>81</v>
      </c>
      <c r="I20" s="462" t="s">
        <v>57</v>
      </c>
      <c r="J20" s="570">
        <f>SUM('[1]SEPTEMBER 26'!AK8)</f>
        <v>0</v>
      </c>
      <c r="K20" s="825">
        <f>SUM(J20/A20)</f>
        <v>0</v>
      </c>
      <c r="L20" s="5"/>
    </row>
    <row r="21" spans="1:12" ht="15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72" t="s">
        <v>82</v>
      </c>
      <c r="I21" s="462" t="s">
        <v>58</v>
      </c>
      <c r="J21" s="570">
        <f>SUM('[1]SEPTEMBER 26'!AK9)</f>
        <v>0</v>
      </c>
      <c r="K21" s="825">
        <f>SUM(J21/A21)</f>
        <v>0</v>
      </c>
      <c r="L21" s="5"/>
    </row>
    <row r="22" spans="1:12" ht="15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72" t="s">
        <v>83</v>
      </c>
      <c r="I22" s="462" t="s">
        <v>59</v>
      </c>
      <c r="J22" s="570">
        <f>SUM('[1]SEPTEMBER 26'!AK10)</f>
        <v>44485000</v>
      </c>
      <c r="K22" s="825">
        <f>SUM(J22/A22)</f>
        <v>17794</v>
      </c>
      <c r="L22" s="5"/>
    </row>
    <row r="23" spans="1:12" ht="15" customHeight="1" x14ac:dyDescent="0.25">
      <c r="A23" s="346"/>
      <c r="B23" s="443"/>
      <c r="C23" s="447"/>
      <c r="D23" s="457"/>
      <c r="E23" s="458"/>
      <c r="F23" s="459"/>
      <c r="G23" s="460"/>
      <c r="H23" s="573" t="s">
        <v>85</v>
      </c>
      <c r="I23" s="465" t="s">
        <v>86</v>
      </c>
      <c r="J23" s="574"/>
      <c r="K23" s="826"/>
      <c r="L23" s="5"/>
    </row>
    <row r="24" spans="1:12" ht="15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72" t="s">
        <v>87</v>
      </c>
      <c r="I24" s="462" t="s">
        <v>88</v>
      </c>
      <c r="J24" s="582">
        <f>SUM('[1]SEPTEMBER 26'!$AK$11+'[1]SEPTEMBER 26'!$AK$12)</f>
        <v>59706000</v>
      </c>
      <c r="K24" s="825">
        <f>SUM(J24/A24)</f>
        <v>9951</v>
      </c>
      <c r="L24" s="5"/>
    </row>
    <row r="25" spans="1:12" ht="15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72" t="s">
        <v>89</v>
      </c>
      <c r="I25" s="462" t="s">
        <v>90</v>
      </c>
      <c r="J25" s="582">
        <f>SUM('[1]SEPTEMBER 26'!$AK$15+'[1]SEPTEMBER 26'!$AK$16)</f>
        <v>262942500</v>
      </c>
      <c r="K25" s="825">
        <f>SUM(J25/A25)</f>
        <v>35059</v>
      </c>
      <c r="L25" s="5"/>
    </row>
    <row r="26" spans="1:12" ht="39" customHeight="1" x14ac:dyDescent="0.25">
      <c r="A26" s="346"/>
      <c r="B26" s="443"/>
      <c r="C26" s="447"/>
      <c r="D26" s="457"/>
      <c r="E26" s="458"/>
      <c r="F26" s="459"/>
      <c r="G26" s="460"/>
      <c r="H26" s="573" t="s">
        <v>92</v>
      </c>
      <c r="I26" s="466" t="s">
        <v>91</v>
      </c>
      <c r="J26" s="574"/>
      <c r="K26" s="826"/>
      <c r="L26" s="5"/>
    </row>
    <row r="27" spans="1:12" ht="15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72" t="s">
        <v>93</v>
      </c>
      <c r="I27" s="462" t="s">
        <v>88</v>
      </c>
      <c r="J27" s="582">
        <f>SUM('[1]SEPTEMBER 26'!$AK$13+'[1]SEPTEMBER 26'!$AK$14)</f>
        <v>3474000</v>
      </c>
      <c r="K27" s="825">
        <f>SUM(J27/A27)</f>
        <v>772</v>
      </c>
      <c r="L27" s="5"/>
    </row>
    <row r="28" spans="1:12" ht="15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72" t="s">
        <v>94</v>
      </c>
      <c r="I28" s="462" t="s">
        <v>90</v>
      </c>
      <c r="J28" s="582">
        <f>SUM('[1]SEPTEMBER 26'!$AK$17+'[1]SEPTEMBER 26'!$AK$18)</f>
        <v>0</v>
      </c>
      <c r="K28" s="825">
        <f>SUM(J28/A28)</f>
        <v>0</v>
      </c>
      <c r="L28" s="5"/>
    </row>
    <row r="29" spans="1:12" ht="15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83" t="s">
        <v>95</v>
      </c>
      <c r="I29" s="461" t="s">
        <v>16</v>
      </c>
      <c r="J29" s="570">
        <f>SUM('[1]SEPTEMBER 26'!AK19)</f>
        <v>0</v>
      </c>
      <c r="K29" s="825">
        <f>SUM(J29/A29)</f>
        <v>0</v>
      </c>
      <c r="L29" s="5"/>
    </row>
    <row r="30" spans="1:12" ht="25.5" customHeight="1" x14ac:dyDescent="0.25">
      <c r="A30" s="331"/>
      <c r="B30" s="442"/>
      <c r="C30" s="397"/>
      <c r="D30" s="457" t="s">
        <v>210</v>
      </c>
      <c r="E30" s="458"/>
      <c r="F30" s="584">
        <v>2</v>
      </c>
      <c r="G30" s="467">
        <v>5</v>
      </c>
      <c r="H30" s="761" t="s">
        <v>212</v>
      </c>
      <c r="I30" s="761"/>
      <c r="J30" s="585">
        <f t="shared" ref="J30:K30" si="2">SUM(J32:J35)</f>
        <v>178370000</v>
      </c>
      <c r="K30" s="836">
        <f t="shared" si="2"/>
        <v>5405</v>
      </c>
      <c r="L30" s="5"/>
    </row>
    <row r="31" spans="1:12" ht="1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63"/>
      <c r="J31" s="586"/>
      <c r="K31" s="829"/>
      <c r="L31" s="5"/>
    </row>
    <row r="32" spans="1:12" ht="1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88" t="s">
        <v>101</v>
      </c>
      <c r="I32" s="626" t="s">
        <v>97</v>
      </c>
      <c r="J32" s="586"/>
      <c r="K32" s="829"/>
      <c r="L32" s="5"/>
    </row>
    <row r="33" spans="1:20" ht="15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90" t="s">
        <v>102</v>
      </c>
      <c r="I33" s="627" t="s">
        <v>98</v>
      </c>
      <c r="J33" s="570">
        <f>SUM('[1]SEPTEMBER 26'!AK20)</f>
        <v>31960000</v>
      </c>
      <c r="K33" s="825">
        <f>SUM(J33/A33)</f>
        <v>3196</v>
      </c>
      <c r="L33" s="5"/>
    </row>
    <row r="34" spans="1:20" ht="15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91" t="s">
        <v>103</v>
      </c>
      <c r="I34" s="628" t="s">
        <v>99</v>
      </c>
      <c r="J34" s="570">
        <f>SUM('[1]SEPTEMBER 26'!AK21)</f>
        <v>31410000</v>
      </c>
      <c r="K34" s="825">
        <f>SUM(J34/A34)</f>
        <v>2094</v>
      </c>
      <c r="L34" s="5"/>
    </row>
    <row r="35" spans="1:20" ht="15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91" t="s">
        <v>104</v>
      </c>
      <c r="I35" s="628" t="s">
        <v>100</v>
      </c>
      <c r="J35" s="570">
        <f>SUM('[1]SEPTEMBER 26'!AK22)</f>
        <v>115000000</v>
      </c>
      <c r="K35" s="825">
        <f>SUM(J35/A35)</f>
        <v>115</v>
      </c>
      <c r="L35" s="5"/>
    </row>
    <row r="36" spans="1:20" ht="1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1"/>
      <c r="J36" s="585">
        <f t="shared" ref="J36:K36" si="3">SUM(J38:J43)</f>
        <v>262473000</v>
      </c>
      <c r="K36" s="836">
        <f t="shared" si="3"/>
        <v>64438</v>
      </c>
      <c r="L36" s="5"/>
    </row>
    <row r="37" spans="1:20" ht="1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63"/>
      <c r="J37" s="586"/>
      <c r="K37" s="829"/>
      <c r="L37" s="5"/>
    </row>
    <row r="38" spans="1:20" ht="15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92" t="s">
        <v>112</v>
      </c>
      <c r="I38" s="830" t="s">
        <v>106</v>
      </c>
      <c r="J38" s="593"/>
      <c r="K38" s="831"/>
      <c r="L38" s="5"/>
    </row>
    <row r="39" spans="1:20" ht="15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91" t="s">
        <v>113</v>
      </c>
      <c r="I39" s="628" t="s">
        <v>107</v>
      </c>
      <c r="J39" s="582">
        <f>SUM('[1]SEPTEMBER 26'!AK23)</f>
        <v>9555000</v>
      </c>
      <c r="K39" s="832">
        <f>SUM(J39/A39)</f>
        <v>637</v>
      </c>
      <c r="L39" s="5"/>
    </row>
    <row r="40" spans="1:20" ht="24.75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91" t="s">
        <v>114</v>
      </c>
      <c r="I40" s="629" t="s">
        <v>108</v>
      </c>
      <c r="J40" s="570">
        <f>SUM('[1]SEPTEMBER 26'!AK24)</f>
        <v>3325000</v>
      </c>
      <c r="K40" s="825">
        <f>SUM(J40/A40)</f>
        <v>266</v>
      </c>
      <c r="L40" s="5"/>
    </row>
    <row r="41" spans="1:20" ht="24.75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91" t="s">
        <v>115</v>
      </c>
      <c r="I41" s="630" t="s">
        <v>109</v>
      </c>
      <c r="J41" s="570">
        <f>SUM('[1]SEPTEMBER 26'!AK25)</f>
        <v>133896000</v>
      </c>
      <c r="K41" s="825">
        <f>SUM(J41/A41)</f>
        <v>22316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91" t="s">
        <v>116</v>
      </c>
      <c r="I42" s="628" t="s">
        <v>110</v>
      </c>
      <c r="J42" s="570">
        <f>SUM('[1]SEPTEMBER 26'!AK26)</f>
        <v>111717000</v>
      </c>
      <c r="K42" s="825">
        <f>SUM(J42/A42)</f>
        <v>37239</v>
      </c>
      <c r="L42" s="5"/>
    </row>
    <row r="43" spans="1:20" ht="15" customHeight="1" x14ac:dyDescent="0.25">
      <c r="A43" s="331">
        <v>1000</v>
      </c>
      <c r="B43" s="442"/>
      <c r="C43" s="397"/>
      <c r="D43" s="457"/>
      <c r="E43" s="476"/>
      <c r="F43" s="461"/>
      <c r="G43" s="472">
        <v>20</v>
      </c>
      <c r="H43" s="596" t="s">
        <v>117</v>
      </c>
      <c r="I43" s="830" t="s">
        <v>111</v>
      </c>
      <c r="J43" s="570">
        <f>SUM('[1]SEPTEMBER 26'!AK27)</f>
        <v>3980000</v>
      </c>
      <c r="K43" s="825">
        <f>SUM(J43/A43)</f>
        <v>3980</v>
      </c>
      <c r="L43" s="5"/>
    </row>
    <row r="44" spans="1:20" ht="15" customHeight="1" x14ac:dyDescent="0.25">
      <c r="A44" s="316"/>
      <c r="B44" s="442"/>
      <c r="C44" s="397"/>
      <c r="D44" s="458" t="s">
        <v>206</v>
      </c>
      <c r="E44" s="461"/>
      <c r="F44" s="598">
        <v>4</v>
      </c>
      <c r="G44" s="467">
        <v>5</v>
      </c>
      <c r="H44" s="754" t="s">
        <v>213</v>
      </c>
      <c r="I44" s="781"/>
      <c r="J44" s="833">
        <f t="shared" ref="J44:K44" si="4">SUM(J46:J66)</f>
        <v>75025000</v>
      </c>
      <c r="K44" s="837">
        <f t="shared" si="4"/>
        <v>19719</v>
      </c>
      <c r="L44" s="5"/>
    </row>
    <row r="45" spans="1:20" ht="1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2"/>
      <c r="J45" s="586"/>
      <c r="K45" s="829"/>
      <c r="L45" s="5"/>
    </row>
    <row r="46" spans="1:20" ht="1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88" t="s">
        <v>129</v>
      </c>
      <c r="I46" s="626" t="s">
        <v>119</v>
      </c>
      <c r="J46" s="586"/>
      <c r="K46" s="829"/>
      <c r="L46" s="5"/>
    </row>
    <row r="47" spans="1:20" ht="1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90" t="s">
        <v>130</v>
      </c>
      <c r="I47" s="631" t="s">
        <v>120</v>
      </c>
      <c r="J47" s="570">
        <f>SUM('[1]SEPTEMBER 26'!AK28)</f>
        <v>0</v>
      </c>
      <c r="K47" s="825">
        <f>SUM(J47/A47)</f>
        <v>0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91" t="s">
        <v>131</v>
      </c>
      <c r="I48" s="632" t="s">
        <v>121</v>
      </c>
      <c r="J48" s="570">
        <f>SUM('[1]SEPTEMBER 26'!AK29)</f>
        <v>0</v>
      </c>
      <c r="K48" s="825">
        <f>SUM(J48/A48)</f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91" t="s">
        <v>132</v>
      </c>
      <c r="I49" s="632" t="s">
        <v>122</v>
      </c>
      <c r="J49" s="570">
        <f>SUM('[1]SEPTEMBER 26'!AK30)</f>
        <v>0</v>
      </c>
      <c r="K49" s="825">
        <f>SUM(J49/A49)</f>
        <v>0</v>
      </c>
      <c r="L49" s="5"/>
    </row>
    <row r="50" spans="1:13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91" t="s">
        <v>133</v>
      </c>
      <c r="I50" s="632" t="s">
        <v>123</v>
      </c>
      <c r="J50" s="570">
        <f>SUM('[1]SEPTEMBER 26'!AK31)</f>
        <v>0</v>
      </c>
      <c r="K50" s="825">
        <f>SUM(J50/A50)</f>
        <v>0</v>
      </c>
      <c r="L50" s="5"/>
    </row>
    <row r="51" spans="1:13" ht="1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91" t="s">
        <v>134</v>
      </c>
      <c r="I51" s="632" t="s">
        <v>124</v>
      </c>
      <c r="J51" s="570">
        <f>SUM('[1]SEPTEMBER 26'!AK32)</f>
        <v>0</v>
      </c>
      <c r="K51" s="825">
        <f>SUM(J51/A51)</f>
        <v>0</v>
      </c>
      <c r="L51" s="5"/>
    </row>
    <row r="52" spans="1:13" ht="1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91" t="s">
        <v>135</v>
      </c>
      <c r="I52" s="632" t="s">
        <v>60</v>
      </c>
      <c r="J52" s="570">
        <f>SUM('[1]SEPTEMBER 26'!AK33)</f>
        <v>0</v>
      </c>
      <c r="K52" s="825">
        <f>SUM(J52/A52)</f>
        <v>0</v>
      </c>
      <c r="L52" s="5"/>
    </row>
    <row r="53" spans="1:13" ht="1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91" t="s">
        <v>136</v>
      </c>
      <c r="I53" s="632" t="s">
        <v>125</v>
      </c>
      <c r="J53" s="570">
        <f>SUM('[1]SEPTEMBER 26'!AK34)</f>
        <v>250000</v>
      </c>
      <c r="K53" s="825">
        <f>SUM(J53/A53)</f>
        <v>1</v>
      </c>
      <c r="L53" s="5"/>
    </row>
    <row r="54" spans="1:13" ht="1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91" t="s">
        <v>137</v>
      </c>
      <c r="I54" s="632" t="s">
        <v>126</v>
      </c>
      <c r="J54" s="570">
        <f>SUM('[1]SEPTEMBER 26'!AK35)</f>
        <v>37310000</v>
      </c>
      <c r="K54" s="825">
        <f>SUM(J54/A54)</f>
        <v>18655</v>
      </c>
      <c r="L54" s="5"/>
    </row>
    <row r="55" spans="1:13" ht="1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91" t="s">
        <v>138</v>
      </c>
      <c r="I55" s="632" t="s">
        <v>127</v>
      </c>
      <c r="J55" s="570">
        <f>SUM('[1]SEPTEMBER 26'!AK36)</f>
        <v>0</v>
      </c>
      <c r="K55" s="825">
        <f>SUM(J55/A55)</f>
        <v>0</v>
      </c>
      <c r="L55" s="5"/>
    </row>
    <row r="56" spans="1:13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91" t="s">
        <v>139</v>
      </c>
      <c r="I56" s="632" t="s">
        <v>128</v>
      </c>
      <c r="J56" s="570">
        <f>SUM('[1]SEPTEMBER 26'!AK37)</f>
        <v>4800000</v>
      </c>
      <c r="K56" s="825">
        <f>SUM(J56/A56)</f>
        <v>48</v>
      </c>
      <c r="L56" s="5"/>
    </row>
    <row r="57" spans="1:13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91" t="s">
        <v>148</v>
      </c>
      <c r="I57" s="632" t="s">
        <v>158</v>
      </c>
      <c r="J57" s="570">
        <f>SUM('[1]SEPTEMBER 26'!AK38)</f>
        <v>17000000</v>
      </c>
      <c r="K57" s="825">
        <f>SUM(J57/A57)</f>
        <v>68</v>
      </c>
      <c r="L57" s="5"/>
      <c r="M57" s="12"/>
    </row>
    <row r="58" spans="1:13" ht="1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91" t="s">
        <v>149</v>
      </c>
      <c r="I58" s="632" t="s">
        <v>163</v>
      </c>
      <c r="J58" s="570">
        <f>SUM('[1]SEPTEMBER 26'!AK39)</f>
        <v>1800000</v>
      </c>
      <c r="K58" s="825">
        <f>SUM(J58/A58)</f>
        <v>6</v>
      </c>
      <c r="L58" s="5"/>
      <c r="M58" s="12"/>
    </row>
    <row r="59" spans="1:13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91" t="s">
        <v>150</v>
      </c>
      <c r="I59" s="632" t="s">
        <v>140</v>
      </c>
      <c r="J59" s="570">
        <f>SUM('[1]SEPTEMBER 26'!AK40)</f>
        <v>1500000</v>
      </c>
      <c r="K59" s="825">
        <f>SUM(J59/A59)</f>
        <v>2</v>
      </c>
      <c r="L59" s="5"/>
      <c r="M59" s="12"/>
    </row>
    <row r="60" spans="1:13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91" t="s">
        <v>151</v>
      </c>
      <c r="I60" s="632" t="s">
        <v>141</v>
      </c>
      <c r="J60" s="570">
        <f>SUM('[1]SEPTEMBER 26'!AK41)</f>
        <v>2000000</v>
      </c>
      <c r="K60" s="825">
        <f>SUM(J60/A60)</f>
        <v>2</v>
      </c>
      <c r="L60" s="5"/>
      <c r="M60" s="12"/>
    </row>
    <row r="61" spans="1:13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91" t="s">
        <v>152</v>
      </c>
      <c r="I61" s="632" t="s">
        <v>142</v>
      </c>
      <c r="J61" s="570">
        <f>SUM('[1]SEPTEMBER 26'!AK42)</f>
        <v>1800000</v>
      </c>
      <c r="K61" s="825">
        <f>SUM(J61/A61)</f>
        <v>18</v>
      </c>
      <c r="L61" s="5"/>
      <c r="M61" s="12"/>
    </row>
    <row r="62" spans="1:13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91" t="s">
        <v>153</v>
      </c>
      <c r="I62" s="632" t="s">
        <v>143</v>
      </c>
      <c r="J62" s="570">
        <f>SUM('[1]SEPTEMBER 26'!AK43)</f>
        <v>5640000</v>
      </c>
      <c r="K62" s="825">
        <f>SUM(J62/A62)</f>
        <v>376</v>
      </c>
      <c r="L62" s="5"/>
      <c r="M62" s="12"/>
    </row>
    <row r="63" spans="1:13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91" t="s">
        <v>154</v>
      </c>
      <c r="I63" s="632" t="s">
        <v>144</v>
      </c>
      <c r="J63" s="570">
        <f>SUM('[1]SEPTEMBER 26'!AK44)</f>
        <v>2700000</v>
      </c>
      <c r="K63" s="825">
        <f>SUM(J63/A63)</f>
        <v>540</v>
      </c>
      <c r="L63" s="5"/>
      <c r="M63" s="12"/>
    </row>
    <row r="64" spans="1:13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91" t="s">
        <v>155</v>
      </c>
      <c r="I64" s="632" t="s">
        <v>145</v>
      </c>
      <c r="J64" s="570">
        <f>SUM('[1]SEPTEMBER 26'!AK45)</f>
        <v>0</v>
      </c>
      <c r="K64" s="825">
        <f>SUM(J64/A64)</f>
        <v>0</v>
      </c>
      <c r="L64" s="5"/>
      <c r="M64" s="12"/>
    </row>
    <row r="65" spans="1:61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91" t="s">
        <v>156</v>
      </c>
      <c r="I65" s="632" t="s">
        <v>146</v>
      </c>
      <c r="J65" s="570">
        <f>SUM('[1]SEPTEMBER 26'!AK46)</f>
        <v>225000</v>
      </c>
      <c r="K65" s="825">
        <f>SUM(J65/A65)</f>
        <v>3</v>
      </c>
      <c r="L65" s="5"/>
      <c r="M65" s="12"/>
    </row>
    <row r="66" spans="1:61" ht="1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83" t="s">
        <v>157</v>
      </c>
      <c r="I66" s="625" t="s">
        <v>147</v>
      </c>
      <c r="J66" s="570">
        <f>SUM('[1]SEPTEMBER 26'!AK47)</f>
        <v>0</v>
      </c>
      <c r="K66" s="825">
        <f>SUM(J66/A66)</f>
        <v>0</v>
      </c>
      <c r="L66" s="5"/>
      <c r="M66" s="12"/>
    </row>
    <row r="67" spans="1:61" s="4" customFormat="1" ht="1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485"/>
      <c r="J67" s="602">
        <f>SUM('[1]SEPTEMBER 26'!$AK$57)</f>
        <v>2512200000</v>
      </c>
      <c r="K67" s="834"/>
      <c r="L67" s="5"/>
      <c r="O67" s="1"/>
      <c r="P67" s="1"/>
      <c r="Q67" s="1"/>
      <c r="R67" s="1"/>
      <c r="S67" s="1"/>
      <c r="T67" s="1"/>
    </row>
    <row r="68" spans="1:61" s="4" customFormat="1" ht="1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7"/>
      <c r="J68" s="602">
        <f>SUM('[1]SEPTEMBER 26'!$AK$54)</f>
        <v>20826134</v>
      </c>
      <c r="K68" s="834"/>
      <c r="L68" s="5"/>
      <c r="O68" s="1"/>
      <c r="P68" s="1"/>
      <c r="Q68" s="1"/>
      <c r="R68" s="1"/>
      <c r="S68" s="1"/>
      <c r="T68" s="1"/>
    </row>
    <row r="69" spans="1:61" s="4" customFormat="1" ht="1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7"/>
      <c r="J69" s="602">
        <f>SUM('[1]SEPTEMBER 26'!$AK$49+'[1]SEPTEMBER 26'!$AK$50+'[1]SEPTEMBER 26'!$AK$51+'[1]SEPTEMBER 26'!$AK$52+'[1]SEPTEMBER 26'!$AK$53)+'[1]SEPTEMBER 26'!$AK$59+'[1]SEPTEMBER 26'!$AK$56</f>
        <v>62598625</v>
      </c>
      <c r="K69" s="834"/>
      <c r="L69" s="5"/>
      <c r="O69" s="1"/>
      <c r="P69" s="1"/>
      <c r="Q69" s="1"/>
      <c r="R69" s="1"/>
      <c r="S69" s="1"/>
      <c r="T69" s="1"/>
    </row>
    <row r="70" spans="1:61" s="4" customFormat="1" ht="18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50"/>
      <c r="J70" s="604">
        <f t="shared" ref="J70" si="5">J9+J67+J68+J69</f>
        <v>4640980009</v>
      </c>
      <c r="K70" s="835"/>
      <c r="L70" s="5"/>
      <c r="O70" s="1"/>
      <c r="P70" s="1"/>
      <c r="Q70" s="1"/>
      <c r="R70" s="1"/>
      <c r="S70" s="1"/>
      <c r="T70" s="1"/>
    </row>
    <row r="72" spans="1:61" ht="14.1" customHeight="1" x14ac:dyDescent="0.25">
      <c r="I72" s="744" t="s">
        <v>254</v>
      </c>
      <c r="J72" s="744"/>
      <c r="K72" s="744"/>
    </row>
    <row r="73" spans="1:61" ht="14.1" customHeight="1" x14ac:dyDescent="0.25">
      <c r="I73" s="744" t="s">
        <v>234</v>
      </c>
      <c r="J73" s="744"/>
      <c r="K73" s="744"/>
    </row>
    <row r="74" spans="1:61" ht="14.1" customHeight="1" x14ac:dyDescent="0.25">
      <c r="I74" s="744" t="s">
        <v>195</v>
      </c>
      <c r="J74" s="744"/>
      <c r="K74" s="744"/>
    </row>
    <row r="75" spans="1:61" ht="14.1" customHeight="1" x14ac:dyDescent="0.25">
      <c r="I75" s="744" t="s">
        <v>194</v>
      </c>
      <c r="J75" s="744"/>
      <c r="K75" s="744"/>
    </row>
    <row r="76" spans="1:61" ht="14.1" customHeight="1" x14ac:dyDescent="0.25">
      <c r="I76" s="744" t="s">
        <v>193</v>
      </c>
      <c r="J76" s="744"/>
      <c r="K76" s="744"/>
    </row>
    <row r="77" spans="1:61" ht="14.1" customHeight="1" x14ac:dyDescent="0.25">
      <c r="I77" s="298"/>
      <c r="J77" s="298"/>
      <c r="K77" s="298"/>
    </row>
    <row r="78" spans="1:61" ht="14.1" customHeight="1" x14ac:dyDescent="0.25">
      <c r="I78" s="298"/>
      <c r="J78" s="298"/>
      <c r="K78" s="298"/>
    </row>
    <row r="79" spans="1:61" ht="14.1" customHeight="1" x14ac:dyDescent="0.25">
      <c r="I79" s="744" t="s">
        <v>255</v>
      </c>
      <c r="J79" s="744"/>
      <c r="K79" s="744"/>
    </row>
    <row r="80" spans="1:61" s="4" customFormat="1" ht="14.1" customHeight="1" x14ac:dyDescent="0.25">
      <c r="E80"/>
      <c r="F80"/>
      <c r="G80"/>
      <c r="H80"/>
      <c r="I80" s="744" t="s">
        <v>256</v>
      </c>
      <c r="J80" s="744"/>
      <c r="K80" s="744"/>
      <c r="O80" s="1"/>
      <c r="P80" s="1"/>
      <c r="Q80" s="1"/>
      <c r="R80" s="1"/>
      <c r="S80" s="1"/>
      <c r="T80" s="1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</sheetData>
  <sheetProtection selectLockedCells="1" selectUnlockedCells="1"/>
  <mergeCells count="30">
    <mergeCell ref="I74:K74"/>
    <mergeCell ref="I75:K75"/>
    <mergeCell ref="I76:K76"/>
    <mergeCell ref="I79:K79"/>
    <mergeCell ref="I80:K80"/>
    <mergeCell ref="D1:K1"/>
    <mergeCell ref="D2:K2"/>
    <mergeCell ref="D3:K3"/>
    <mergeCell ref="D4:K4"/>
    <mergeCell ref="I72:K72"/>
    <mergeCell ref="F69:I69"/>
    <mergeCell ref="D70:I70"/>
    <mergeCell ref="I73:K73"/>
    <mergeCell ref="H37:I37"/>
    <mergeCell ref="H44:I44"/>
    <mergeCell ref="H45:I45"/>
    <mergeCell ref="F68:I68"/>
    <mergeCell ref="H17:I17"/>
    <mergeCell ref="H30:I30"/>
    <mergeCell ref="H31:I31"/>
    <mergeCell ref="H36:I36"/>
    <mergeCell ref="F9:I9"/>
    <mergeCell ref="H10:I10"/>
    <mergeCell ref="H11:I11"/>
    <mergeCell ref="J6:K6"/>
    <mergeCell ref="A6:A7"/>
    <mergeCell ref="D6:D7"/>
    <mergeCell ref="F6:F7"/>
    <mergeCell ref="H6:H7"/>
    <mergeCell ref="I6:I7"/>
  </mergeCells>
  <printOptions horizontalCentered="1"/>
  <pageMargins left="0.43307086614173229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E8BD-1F91-4947-9CF7-FF601A98055F}">
  <dimension ref="A1:T81"/>
  <sheetViews>
    <sheetView showOutlineSymbols="0" topLeftCell="A52" zoomScale="110" zoomScaleNormal="110" workbookViewId="0">
      <selection activeCell="I72" sqref="I72:K80"/>
    </sheetView>
  </sheetViews>
  <sheetFormatPr defaultColWidth="8.6640625" defaultRowHeight="15.75" x14ac:dyDescent="0.25"/>
  <cols>
    <col min="1" max="1" width="9" style="4" bestFit="1" customWidth="1"/>
    <col min="2" max="3" width="9" style="4" customWidth="1"/>
    <col min="4" max="4" width="14.5546875" style="4" customWidth="1"/>
    <col min="5" max="5" width="2.21875" customWidth="1"/>
    <col min="6" max="6" width="2.6640625" customWidth="1"/>
    <col min="7" max="7" width="0.5546875" hidden="1" customWidth="1"/>
    <col min="8" max="8" width="9.5546875" customWidth="1"/>
    <col min="9" max="9" width="42.88671875" style="18" customWidth="1"/>
    <col min="10" max="10" width="15.21875" style="4" customWidth="1"/>
    <col min="11" max="11" width="9.6640625" style="4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ht="15" customHeight="1" x14ac:dyDescent="0.25">
      <c r="D1" s="745" t="s">
        <v>215</v>
      </c>
      <c r="E1" s="745"/>
      <c r="F1" s="745"/>
      <c r="G1" s="745"/>
      <c r="H1" s="745"/>
      <c r="I1" s="745"/>
      <c r="J1" s="745"/>
      <c r="K1" s="745"/>
    </row>
    <row r="2" spans="1:20" ht="15" customHeight="1" x14ac:dyDescent="0.25">
      <c r="D2" s="745" t="s">
        <v>192</v>
      </c>
      <c r="E2" s="745"/>
      <c r="F2" s="745"/>
      <c r="G2" s="745"/>
      <c r="H2" s="745"/>
      <c r="I2" s="745"/>
      <c r="J2" s="745"/>
      <c r="K2" s="745"/>
    </row>
    <row r="3" spans="1:20" ht="15" customHeight="1" x14ac:dyDescent="0.25">
      <c r="D3" s="745" t="s">
        <v>55</v>
      </c>
      <c r="E3" s="745"/>
      <c r="F3" s="745"/>
      <c r="G3" s="745"/>
      <c r="H3" s="745"/>
      <c r="I3" s="745"/>
      <c r="J3" s="745"/>
      <c r="K3" s="745"/>
    </row>
    <row r="4" spans="1:20" ht="15" customHeight="1" x14ac:dyDescent="0.25">
      <c r="D4" s="745" t="s">
        <v>248</v>
      </c>
      <c r="E4" s="745"/>
      <c r="F4" s="745"/>
      <c r="G4" s="745"/>
      <c r="H4" s="745"/>
      <c r="I4" s="745"/>
      <c r="J4" s="745"/>
      <c r="K4" s="745"/>
    </row>
    <row r="5" spans="1:20" ht="10.5" customHeight="1" x14ac:dyDescent="0.25">
      <c r="D5" s="671"/>
      <c r="E5" s="672"/>
      <c r="F5" s="556"/>
      <c r="G5" s="556"/>
      <c r="H5" s="556"/>
      <c r="I5" s="673"/>
      <c r="J5" s="671"/>
      <c r="K5" s="671"/>
    </row>
    <row r="6" spans="1:20" ht="15" customHeight="1" x14ac:dyDescent="0.25">
      <c r="A6" s="722" t="s">
        <v>50</v>
      </c>
      <c r="B6" s="444"/>
      <c r="C6" s="445"/>
      <c r="D6" s="772" t="s">
        <v>10</v>
      </c>
      <c r="E6" s="496"/>
      <c r="F6" s="774" t="s">
        <v>159</v>
      </c>
      <c r="G6" s="499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5" customHeight="1" x14ac:dyDescent="0.25">
      <c r="A7" s="723"/>
      <c r="B7" s="444"/>
      <c r="C7" s="445"/>
      <c r="D7" s="773"/>
      <c r="E7" s="500"/>
      <c r="F7" s="775"/>
      <c r="G7" s="501"/>
      <c r="H7" s="777"/>
      <c r="I7" s="779"/>
      <c r="J7" s="559" t="s">
        <v>5</v>
      </c>
      <c r="K7" s="493" t="s">
        <v>249</v>
      </c>
      <c r="L7" s="5"/>
    </row>
    <row r="8" spans="1:20" s="17" customFormat="1" ht="15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493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5" customHeight="1" x14ac:dyDescent="0.2">
      <c r="A9" s="309"/>
      <c r="B9" s="441"/>
      <c r="C9" s="446"/>
      <c r="D9" s="450" t="s">
        <v>166</v>
      </c>
      <c r="E9" s="495" t="s">
        <v>7</v>
      </c>
      <c r="F9" s="764" t="s">
        <v>67</v>
      </c>
      <c r="G9" s="764"/>
      <c r="H9" s="764"/>
      <c r="I9" s="765"/>
      <c r="J9" s="560">
        <f t="shared" ref="J9:K9" si="0">J10+J30+J36+J44</f>
        <v>2684707250</v>
      </c>
      <c r="K9" s="566">
        <f t="shared" si="0"/>
        <v>572084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67"/>
      <c r="J10" s="529">
        <f t="shared" ref="J10:K10" si="1">SUM(J12:J29)</f>
        <v>1958551250</v>
      </c>
      <c r="K10" s="454">
        <f t="shared" si="1"/>
        <v>469266</v>
      </c>
      <c r="L10" s="5"/>
    </row>
    <row r="11" spans="1:20" ht="15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69"/>
      <c r="J11" s="530"/>
      <c r="K11" s="675"/>
      <c r="L11" s="5"/>
    </row>
    <row r="12" spans="1:20" ht="15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03" t="s">
        <v>73</v>
      </c>
      <c r="I12" s="461" t="s">
        <v>11</v>
      </c>
      <c r="J12" s="545">
        <f>SUM('[1]AGUSTUS 26'!AQ3)</f>
        <v>1239444000</v>
      </c>
      <c r="K12" s="504">
        <f>SUM(J12/A12)</f>
        <v>309861</v>
      </c>
      <c r="L12" s="5"/>
    </row>
    <row r="13" spans="1:20" ht="15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05" t="s">
        <v>74</v>
      </c>
      <c r="I13" s="462" t="s">
        <v>12</v>
      </c>
      <c r="J13" s="545">
        <f>SUM('[1]AGUSTUS 26'!AQ4)</f>
        <v>225429000</v>
      </c>
      <c r="K13" s="504">
        <f>SUM(J13/A13)</f>
        <v>75143</v>
      </c>
      <c r="L13" s="5"/>
    </row>
    <row r="14" spans="1:20" ht="41.25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06" t="s">
        <v>84</v>
      </c>
      <c r="I14" s="531" t="s">
        <v>75</v>
      </c>
      <c r="J14" s="546"/>
      <c r="K14" s="546"/>
      <c r="L14" s="5"/>
    </row>
    <row r="15" spans="1:20" ht="15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05" t="s">
        <v>76</v>
      </c>
      <c r="I15" s="462" t="s">
        <v>11</v>
      </c>
      <c r="J15" s="545">
        <f>SUM('[1]AGUSTUS 26'!AQ5)</f>
        <v>1296000</v>
      </c>
      <c r="K15" s="504">
        <f>SUM(J15/A15)</f>
        <v>432</v>
      </c>
      <c r="L15" s="5"/>
    </row>
    <row r="16" spans="1:20" ht="15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08" t="s">
        <v>77</v>
      </c>
      <c r="I16" s="463" t="s">
        <v>12</v>
      </c>
      <c r="J16" s="545">
        <f>SUM('[1]AGUSTUS 26'!AQ6)</f>
        <v>1694250</v>
      </c>
      <c r="K16" s="504">
        <f>SUM(J16/A16)</f>
        <v>753</v>
      </c>
      <c r="L16" s="5"/>
    </row>
    <row r="17" spans="1:12" ht="15" customHeight="1" x14ac:dyDescent="0.25">
      <c r="A17" s="346"/>
      <c r="B17" s="443"/>
      <c r="C17" s="447"/>
      <c r="D17" s="457"/>
      <c r="E17" s="458"/>
      <c r="F17" s="459"/>
      <c r="G17" s="460"/>
      <c r="H17" s="759" t="s">
        <v>14</v>
      </c>
      <c r="I17" s="760"/>
      <c r="J17" s="547"/>
      <c r="K17" s="509"/>
      <c r="L17" s="5"/>
    </row>
    <row r="18" spans="1:12" ht="15" customHeight="1" x14ac:dyDescent="0.25">
      <c r="A18" s="346"/>
      <c r="B18" s="443"/>
      <c r="C18" s="447"/>
      <c r="D18" s="457"/>
      <c r="E18" s="458"/>
      <c r="F18" s="459"/>
      <c r="G18" s="460"/>
      <c r="H18" s="510" t="s">
        <v>78</v>
      </c>
      <c r="I18" s="464" t="s">
        <v>79</v>
      </c>
      <c r="J18" s="547"/>
      <c r="K18" s="547"/>
      <c r="L18" s="5"/>
    </row>
    <row r="19" spans="1:12" ht="15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12" t="s">
        <v>80</v>
      </c>
      <c r="I19" s="532" t="s">
        <v>56</v>
      </c>
      <c r="J19" s="545">
        <f>SUM('[1]AGUSTUS 26'!AQ7)</f>
        <v>0</v>
      </c>
      <c r="K19" s="504">
        <f>SUM(J19/A19)</f>
        <v>0</v>
      </c>
      <c r="L19" s="5"/>
    </row>
    <row r="20" spans="1:12" ht="15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05" t="s">
        <v>81</v>
      </c>
      <c r="I20" s="533" t="s">
        <v>57</v>
      </c>
      <c r="J20" s="545">
        <f>SUM('[1]AGUSTUS 26'!AQ8)</f>
        <v>0</v>
      </c>
      <c r="K20" s="504">
        <f>SUM(J20/A20)</f>
        <v>0</v>
      </c>
      <c r="L20" s="5"/>
    </row>
    <row r="21" spans="1:12" ht="15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05" t="s">
        <v>82</v>
      </c>
      <c r="I21" s="533" t="s">
        <v>58</v>
      </c>
      <c r="J21" s="545">
        <f>SUM('[1]AGUSTUS 26'!AQ9)</f>
        <v>0</v>
      </c>
      <c r="K21" s="504">
        <f>SUM(J21/A21)</f>
        <v>0</v>
      </c>
      <c r="L21" s="5"/>
    </row>
    <row r="22" spans="1:12" ht="15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05" t="s">
        <v>83</v>
      </c>
      <c r="I22" s="533" t="s">
        <v>59</v>
      </c>
      <c r="J22" s="545">
        <f>SUM('[1]AGUSTUS 26'!AQ10)</f>
        <v>59367500</v>
      </c>
      <c r="K22" s="504">
        <f>SUM(J22/A22)</f>
        <v>23747</v>
      </c>
      <c r="L22" s="5"/>
    </row>
    <row r="23" spans="1:12" ht="15" customHeight="1" x14ac:dyDescent="0.25">
      <c r="A23" s="346"/>
      <c r="B23" s="443"/>
      <c r="C23" s="447"/>
      <c r="D23" s="457"/>
      <c r="E23" s="458"/>
      <c r="F23" s="459"/>
      <c r="G23" s="460"/>
      <c r="H23" s="506" t="s">
        <v>85</v>
      </c>
      <c r="I23" s="465" t="s">
        <v>86</v>
      </c>
      <c r="J23" s="546"/>
      <c r="K23" s="546"/>
      <c r="L23" s="5"/>
    </row>
    <row r="24" spans="1:12" ht="15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05" t="s">
        <v>87</v>
      </c>
      <c r="I24" s="462" t="s">
        <v>88</v>
      </c>
      <c r="J24" s="548">
        <f>SUM('[1]AGUSTUS 26'!$AQ$11+'[1]AGUSTUS 26'!$AQ$12)</f>
        <v>49890000</v>
      </c>
      <c r="K24" s="504">
        <f>SUM(J24/A24)</f>
        <v>8315</v>
      </c>
      <c r="L24" s="5"/>
    </row>
    <row r="25" spans="1:12" ht="15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05" t="s">
        <v>89</v>
      </c>
      <c r="I25" s="462" t="s">
        <v>90</v>
      </c>
      <c r="J25" s="548">
        <f>SUM('[1]AGUSTUS 26'!$AQ$15+'[1]AGUSTUS 26'!$AQ$16)</f>
        <v>379657500</v>
      </c>
      <c r="K25" s="504">
        <f>SUM(J25/A25)</f>
        <v>50621</v>
      </c>
      <c r="L25" s="5"/>
    </row>
    <row r="26" spans="1:12" ht="42" customHeight="1" x14ac:dyDescent="0.25">
      <c r="A26" s="346"/>
      <c r="B26" s="443"/>
      <c r="C26" s="447"/>
      <c r="D26" s="457"/>
      <c r="E26" s="458"/>
      <c r="F26" s="459"/>
      <c r="G26" s="460"/>
      <c r="H26" s="506" t="s">
        <v>92</v>
      </c>
      <c r="I26" s="466" t="s">
        <v>91</v>
      </c>
      <c r="J26" s="546"/>
      <c r="K26" s="546"/>
      <c r="L26" s="5"/>
    </row>
    <row r="27" spans="1:12" ht="15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05" t="s">
        <v>93</v>
      </c>
      <c r="I27" s="462" t="s">
        <v>88</v>
      </c>
      <c r="J27" s="548">
        <f>SUM('[1]AGUSTUS 26'!$AQ$13+'[1]AGUSTUS 26'!$AQ$14)</f>
        <v>1773000</v>
      </c>
      <c r="K27" s="504">
        <f>SUM(J27/A27)</f>
        <v>394</v>
      </c>
      <c r="L27" s="5"/>
    </row>
    <row r="28" spans="1:12" ht="15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05" t="s">
        <v>94</v>
      </c>
      <c r="I28" s="462" t="s">
        <v>90</v>
      </c>
      <c r="J28" s="548">
        <f>SUM('[1]AGUSTUS 26'!$AQ$17+'[1]AGUSTUS 26'!$AQ$18)</f>
        <v>0</v>
      </c>
      <c r="K28" s="504">
        <f>SUM(J28/A28)</f>
        <v>0</v>
      </c>
      <c r="L28" s="5"/>
    </row>
    <row r="29" spans="1:12" ht="15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13" t="s">
        <v>95</v>
      </c>
      <c r="I29" s="461" t="s">
        <v>16</v>
      </c>
      <c r="J29" s="545">
        <f>SUM('[1]AGUSTUS 26'!AQ19)</f>
        <v>0</v>
      </c>
      <c r="K29" s="504">
        <f>SUM(J29/A29)</f>
        <v>0</v>
      </c>
      <c r="L29" s="5"/>
    </row>
    <row r="30" spans="1:12" ht="26.25" customHeight="1" x14ac:dyDescent="0.25">
      <c r="A30" s="331"/>
      <c r="B30" s="442"/>
      <c r="C30" s="397"/>
      <c r="D30" s="457" t="s">
        <v>210</v>
      </c>
      <c r="E30" s="458"/>
      <c r="F30" s="514">
        <v>2</v>
      </c>
      <c r="G30" s="467">
        <v>5</v>
      </c>
      <c r="H30" s="761" t="s">
        <v>212</v>
      </c>
      <c r="I30" s="762"/>
      <c r="J30" s="549">
        <f t="shared" ref="J30:K30" si="2">SUM(J32:J35)</f>
        <v>313245000</v>
      </c>
      <c r="K30" s="524">
        <f t="shared" si="2"/>
        <v>5573</v>
      </c>
      <c r="L30" s="5"/>
    </row>
    <row r="31" spans="1:12" ht="1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53"/>
      <c r="J31" s="550"/>
      <c r="K31" s="515"/>
      <c r="L31" s="5"/>
    </row>
    <row r="32" spans="1:12" ht="1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16" t="s">
        <v>101</v>
      </c>
      <c r="I32" s="534" t="s">
        <v>97</v>
      </c>
      <c r="J32" s="550"/>
      <c r="K32" s="515"/>
      <c r="L32" s="5"/>
    </row>
    <row r="33" spans="1:20" ht="15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17" t="s">
        <v>102</v>
      </c>
      <c r="I33" s="535" t="s">
        <v>98</v>
      </c>
      <c r="J33" s="545">
        <f>SUM('[1]AGUSTUS 26'!AQ20)</f>
        <v>31230000</v>
      </c>
      <c r="K33" s="504">
        <f>SUM(J33/A33)</f>
        <v>3123</v>
      </c>
      <c r="L33" s="5"/>
    </row>
    <row r="34" spans="1:20" ht="15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18" t="s">
        <v>103</v>
      </c>
      <c r="I34" s="536" t="s">
        <v>99</v>
      </c>
      <c r="J34" s="545">
        <f>SUM('[1]AGUSTUS 26'!AQ21)</f>
        <v>33015000</v>
      </c>
      <c r="K34" s="504">
        <f>SUM(J34/A34)</f>
        <v>2201</v>
      </c>
      <c r="L34" s="5"/>
    </row>
    <row r="35" spans="1:20" ht="15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18" t="s">
        <v>104</v>
      </c>
      <c r="I35" s="536" t="s">
        <v>100</v>
      </c>
      <c r="J35" s="545">
        <f>SUM('[1]AGUSTUS 26'!AQ22)</f>
        <v>249000000</v>
      </c>
      <c r="K35" s="504">
        <f>SUM(J35/A35)</f>
        <v>249</v>
      </c>
      <c r="L35" s="5"/>
    </row>
    <row r="36" spans="1:20" ht="1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2"/>
      <c r="J36" s="549">
        <f t="shared" ref="J36:K36" si="3">SUM(J38:J43)</f>
        <v>346701000</v>
      </c>
      <c r="K36" s="524">
        <f t="shared" si="3"/>
        <v>87091</v>
      </c>
      <c r="L36" s="5"/>
    </row>
    <row r="37" spans="1:20" ht="1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53"/>
      <c r="J37" s="550"/>
      <c r="K37" s="515"/>
      <c r="L37" s="5"/>
    </row>
    <row r="38" spans="1:20" ht="15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19" t="s">
        <v>112</v>
      </c>
      <c r="I38" s="470" t="s">
        <v>106</v>
      </c>
      <c r="J38" s="562"/>
      <c r="K38" s="563"/>
      <c r="L38" s="5"/>
    </row>
    <row r="39" spans="1:20" ht="15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18" t="s">
        <v>113</v>
      </c>
      <c r="I39" s="536" t="s">
        <v>107</v>
      </c>
      <c r="J39" s="548">
        <f>SUM('[1]AGUSTUS 26'!AQ23)</f>
        <v>5580000</v>
      </c>
      <c r="K39" s="611">
        <f>SUM(J39/A39)</f>
        <v>372</v>
      </c>
      <c r="L39" s="5"/>
    </row>
    <row r="40" spans="1:20" ht="26.25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18" t="s">
        <v>114</v>
      </c>
      <c r="I40" s="537" t="s">
        <v>108</v>
      </c>
      <c r="J40" s="545">
        <f>SUM('[1]AGUSTUS 26'!AQ24)</f>
        <v>2300000</v>
      </c>
      <c r="K40" s="504">
        <f>SUM(J40/A40)</f>
        <v>184</v>
      </c>
      <c r="L40" s="5"/>
    </row>
    <row r="41" spans="1:20" ht="24.75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18" t="s">
        <v>115</v>
      </c>
      <c r="I41" s="538" t="s">
        <v>109</v>
      </c>
      <c r="J41" s="545">
        <f>SUM('[1]AGUSTUS 26'!AQ25)</f>
        <v>180132000</v>
      </c>
      <c r="K41" s="504">
        <f>SUM(J41/A41)</f>
        <v>30022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18" t="s">
        <v>116</v>
      </c>
      <c r="I42" s="536" t="s">
        <v>110</v>
      </c>
      <c r="J42" s="545">
        <f>SUM('[1]AGUSTUS 26'!AQ26)</f>
        <v>153264000</v>
      </c>
      <c r="K42" s="504">
        <f>SUM(J42/A42)</f>
        <v>51088</v>
      </c>
      <c r="L42" s="5"/>
    </row>
    <row r="43" spans="1:20" ht="15" customHeight="1" x14ac:dyDescent="0.25">
      <c r="A43" s="331">
        <v>1000</v>
      </c>
      <c r="B43" s="442"/>
      <c r="C43" s="397"/>
      <c r="D43" s="457"/>
      <c r="E43" s="458"/>
      <c r="F43" s="461"/>
      <c r="G43" s="472">
        <v>20</v>
      </c>
      <c r="H43" s="520" t="s">
        <v>117</v>
      </c>
      <c r="I43" s="470" t="s">
        <v>111</v>
      </c>
      <c r="J43" s="545">
        <f>SUM('[1]AGUSTUS 26'!AQ27)</f>
        <v>5425000</v>
      </c>
      <c r="K43" s="504">
        <f>SUM(J43/A43)</f>
        <v>5425</v>
      </c>
      <c r="L43" s="5"/>
    </row>
    <row r="44" spans="1:20" ht="15" customHeight="1" x14ac:dyDescent="0.25">
      <c r="A44" s="316"/>
      <c r="B44" s="442"/>
      <c r="C44" s="397"/>
      <c r="D44" s="458" t="s">
        <v>206</v>
      </c>
      <c r="E44" s="605"/>
      <c r="F44" s="527">
        <v>4</v>
      </c>
      <c r="G44" s="467">
        <v>5</v>
      </c>
      <c r="H44" s="754" t="s">
        <v>213</v>
      </c>
      <c r="I44" s="754"/>
      <c r="J44" s="521">
        <f t="shared" ref="J44:K44" si="4">SUM(J46:J66)</f>
        <v>66210000</v>
      </c>
      <c r="K44" s="523">
        <f t="shared" si="4"/>
        <v>10154</v>
      </c>
      <c r="L44" s="5"/>
    </row>
    <row r="45" spans="1:20" ht="1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5"/>
      <c r="J45" s="550"/>
      <c r="K45" s="515"/>
      <c r="L45" s="5"/>
    </row>
    <row r="46" spans="1:20" ht="1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16" t="s">
        <v>129</v>
      </c>
      <c r="I46" s="534" t="s">
        <v>119</v>
      </c>
      <c r="J46" s="550"/>
      <c r="K46" s="515"/>
      <c r="L46" s="5"/>
    </row>
    <row r="47" spans="1:20" ht="1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17" t="s">
        <v>130</v>
      </c>
      <c r="I47" s="539" t="s">
        <v>120</v>
      </c>
      <c r="J47" s="545">
        <f>SUM('[1]AGUSTUS 26'!AQ28)</f>
        <v>1500000</v>
      </c>
      <c r="K47" s="611">
        <f t="shared" ref="K47:K66" si="5">SUM(J47/A47)</f>
        <v>1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18" t="s">
        <v>131</v>
      </c>
      <c r="I48" s="540" t="s">
        <v>121</v>
      </c>
      <c r="J48" s="545">
        <f>SUM('[1]AGUSTUS 26'!AQ29)</f>
        <v>0</v>
      </c>
      <c r="K48" s="611">
        <f t="shared" si="5"/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18" t="s">
        <v>132</v>
      </c>
      <c r="I49" s="540" t="s">
        <v>122</v>
      </c>
      <c r="J49" s="545">
        <f>SUM('[1]AGUSTUS 26'!AQ30)</f>
        <v>0</v>
      </c>
      <c r="K49" s="611">
        <f t="shared" si="5"/>
        <v>0</v>
      </c>
      <c r="L49" s="5"/>
    </row>
    <row r="50" spans="1:13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18" t="s">
        <v>133</v>
      </c>
      <c r="I50" s="540" t="s">
        <v>123</v>
      </c>
      <c r="J50" s="545">
        <f>SUM('[1]AGUSTUS 26'!AQ31)</f>
        <v>0</v>
      </c>
      <c r="K50" s="611">
        <f t="shared" si="5"/>
        <v>0</v>
      </c>
      <c r="L50" s="5"/>
    </row>
    <row r="51" spans="1:13" ht="1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18" t="s">
        <v>134</v>
      </c>
      <c r="I51" s="540" t="s">
        <v>124</v>
      </c>
      <c r="J51" s="545">
        <f>SUM('[1]AGUSTUS 26'!AQ32)</f>
        <v>750000</v>
      </c>
      <c r="K51" s="611">
        <f t="shared" si="5"/>
        <v>1</v>
      </c>
      <c r="L51" s="5"/>
    </row>
    <row r="52" spans="1:13" ht="1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18" t="s">
        <v>135</v>
      </c>
      <c r="I52" s="540" t="s">
        <v>60</v>
      </c>
      <c r="J52" s="545">
        <f>SUM('[1]AGUSTUS 26'!AQ33)</f>
        <v>0</v>
      </c>
      <c r="K52" s="611">
        <f t="shared" si="5"/>
        <v>0</v>
      </c>
      <c r="L52" s="5"/>
    </row>
    <row r="53" spans="1:13" ht="1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18" t="s">
        <v>136</v>
      </c>
      <c r="I53" s="540" t="s">
        <v>125</v>
      </c>
      <c r="J53" s="545">
        <f>SUM('[1]AGUSTUS 26'!AQ34)</f>
        <v>0</v>
      </c>
      <c r="K53" s="611">
        <f t="shared" si="5"/>
        <v>0</v>
      </c>
      <c r="L53" s="5"/>
    </row>
    <row r="54" spans="1:13" ht="1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18" t="s">
        <v>137</v>
      </c>
      <c r="I54" s="540" t="s">
        <v>126</v>
      </c>
      <c r="J54" s="545">
        <f>SUM('[1]AGUSTUS 26'!AQ35)</f>
        <v>17190000</v>
      </c>
      <c r="K54" s="611">
        <f t="shared" si="5"/>
        <v>8595</v>
      </c>
      <c r="L54" s="5"/>
    </row>
    <row r="55" spans="1:13" ht="1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18" t="s">
        <v>138</v>
      </c>
      <c r="I55" s="540" t="s">
        <v>127</v>
      </c>
      <c r="J55" s="545">
        <f>SUM('[1]AGUSTUS 26'!AQ36)</f>
        <v>0</v>
      </c>
      <c r="K55" s="611">
        <f t="shared" si="5"/>
        <v>0</v>
      </c>
      <c r="L55" s="5"/>
    </row>
    <row r="56" spans="1:13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18" t="s">
        <v>139</v>
      </c>
      <c r="I56" s="540" t="s">
        <v>128</v>
      </c>
      <c r="J56" s="545">
        <f>SUM('[1]AGUSTUS 26'!AQ37)</f>
        <v>8500000</v>
      </c>
      <c r="K56" s="611">
        <f t="shared" si="5"/>
        <v>85</v>
      </c>
      <c r="L56" s="5"/>
    </row>
    <row r="57" spans="1:13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18" t="s">
        <v>148</v>
      </c>
      <c r="I57" s="540" t="s">
        <v>158</v>
      </c>
      <c r="J57" s="545">
        <f>SUM('[1]AGUSTUS 26'!AQ38)</f>
        <v>17750000</v>
      </c>
      <c r="K57" s="611">
        <f t="shared" si="5"/>
        <v>71</v>
      </c>
      <c r="L57" s="5"/>
      <c r="M57" s="12"/>
    </row>
    <row r="58" spans="1:13" ht="1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18" t="s">
        <v>149</v>
      </c>
      <c r="I58" s="540" t="s">
        <v>163</v>
      </c>
      <c r="J58" s="545">
        <f>SUM('[1]AGUSTUS 26'!AQ39)</f>
        <v>0</v>
      </c>
      <c r="K58" s="611">
        <f t="shared" si="5"/>
        <v>0</v>
      </c>
      <c r="L58" s="5"/>
      <c r="M58" s="12"/>
    </row>
    <row r="59" spans="1:13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18" t="s">
        <v>150</v>
      </c>
      <c r="I59" s="540" t="s">
        <v>140</v>
      </c>
      <c r="J59" s="545">
        <f>SUM('[1]AGUSTUS 26'!AQ40)</f>
        <v>3750000</v>
      </c>
      <c r="K59" s="611">
        <f t="shared" si="5"/>
        <v>5</v>
      </c>
      <c r="L59" s="5"/>
      <c r="M59" s="12"/>
    </row>
    <row r="60" spans="1:13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18" t="s">
        <v>151</v>
      </c>
      <c r="I60" s="540" t="s">
        <v>141</v>
      </c>
      <c r="J60" s="545">
        <f>SUM('[1]AGUSTUS 26'!AQ41)</f>
        <v>4000000</v>
      </c>
      <c r="K60" s="611">
        <f t="shared" si="5"/>
        <v>4</v>
      </c>
      <c r="L60" s="5"/>
      <c r="M60" s="12"/>
    </row>
    <row r="61" spans="1:13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18" t="s">
        <v>152</v>
      </c>
      <c r="I61" s="540" t="s">
        <v>142</v>
      </c>
      <c r="J61" s="545">
        <f>SUM('[1]AGUSTUS 26'!AQ42)</f>
        <v>1000000</v>
      </c>
      <c r="K61" s="611">
        <f t="shared" si="5"/>
        <v>10</v>
      </c>
      <c r="L61" s="5"/>
      <c r="M61" s="12"/>
    </row>
    <row r="62" spans="1:13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18" t="s">
        <v>153</v>
      </c>
      <c r="I62" s="540" t="s">
        <v>143</v>
      </c>
      <c r="J62" s="545">
        <f>SUM('[1]AGUSTUS 26'!AQ43)</f>
        <v>5130000</v>
      </c>
      <c r="K62" s="611">
        <f t="shared" si="5"/>
        <v>342</v>
      </c>
      <c r="L62" s="5"/>
      <c r="M62" s="12"/>
    </row>
    <row r="63" spans="1:13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18" t="s">
        <v>154</v>
      </c>
      <c r="I63" s="540" t="s">
        <v>144</v>
      </c>
      <c r="J63" s="545">
        <f>SUM('[1]AGUSTUS 26'!AQ44)</f>
        <v>5140000</v>
      </c>
      <c r="K63" s="611">
        <f t="shared" si="5"/>
        <v>1028</v>
      </c>
      <c r="L63" s="5"/>
      <c r="M63" s="12"/>
    </row>
    <row r="64" spans="1:13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18" t="s">
        <v>155</v>
      </c>
      <c r="I64" s="540" t="s">
        <v>145</v>
      </c>
      <c r="J64" s="545">
        <f>SUM('[1]AGUSTUS 26'!AQ45)</f>
        <v>900000</v>
      </c>
      <c r="K64" s="611">
        <f t="shared" si="5"/>
        <v>6</v>
      </c>
      <c r="L64" s="5"/>
      <c r="M64" s="12"/>
    </row>
    <row r="65" spans="1:20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18" t="s">
        <v>156</v>
      </c>
      <c r="I65" s="540" t="s">
        <v>146</v>
      </c>
      <c r="J65" s="545">
        <f>SUM('[1]AGUSTUS 26'!AQ46)</f>
        <v>0</v>
      </c>
      <c r="K65" s="611">
        <f t="shared" si="5"/>
        <v>0</v>
      </c>
      <c r="L65" s="5"/>
      <c r="M65" s="12"/>
    </row>
    <row r="66" spans="1:20" ht="1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13" t="s">
        <v>157</v>
      </c>
      <c r="I66" s="532" t="s">
        <v>147</v>
      </c>
      <c r="J66" s="545">
        <f>SUM('[1]AGUSTUS 26'!AQ47)</f>
        <v>600000</v>
      </c>
      <c r="K66" s="611">
        <f t="shared" si="5"/>
        <v>6</v>
      </c>
      <c r="L66" s="5"/>
      <c r="M66" s="12"/>
    </row>
    <row r="67" spans="1:20" s="4" customFormat="1" ht="1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541"/>
      <c r="J67" s="551">
        <f>SUM('[1]AGUSTUS 26'!$AQ$58)</f>
        <v>0</v>
      </c>
      <c r="K67" s="607"/>
      <c r="L67" s="5"/>
      <c r="O67" s="1"/>
      <c r="P67" s="1"/>
      <c r="Q67" s="1"/>
      <c r="R67" s="1"/>
      <c r="S67" s="1"/>
      <c r="T67" s="1"/>
    </row>
    <row r="68" spans="1:20" s="4" customFormat="1" ht="1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8"/>
      <c r="J68" s="551">
        <f>SUM('[1]AGUSTUS 26'!$AQ$54)</f>
        <v>22779321</v>
      </c>
      <c r="K68" s="607"/>
      <c r="L68" s="5"/>
      <c r="O68" s="1"/>
      <c r="P68" s="1"/>
      <c r="Q68" s="1"/>
      <c r="R68" s="1"/>
      <c r="S68" s="1"/>
      <c r="T68" s="1"/>
    </row>
    <row r="69" spans="1:20" s="4" customFormat="1" ht="1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8"/>
      <c r="J69" s="551">
        <f>SUM('[1]AGUSTUS 26'!$AQ$49+'[1]AGUSTUS 26'!$AQ$50+'[1]AGUSTUS 26'!$AQ$51+'[1]AGUSTUS 26'!$AQ$52+'[1]AGUSTUS 26'!$AQ$53)+'[1]AGUSTUS 26'!$AQ$56</f>
        <v>75817787</v>
      </c>
      <c r="K69" s="607"/>
      <c r="L69" s="5"/>
      <c r="O69" s="1"/>
      <c r="P69" s="1"/>
      <c r="Q69" s="1"/>
      <c r="R69" s="1"/>
      <c r="S69" s="1"/>
      <c r="T69" s="1"/>
    </row>
    <row r="70" spans="1:20" s="4" customFormat="1" ht="15" customHeight="1" x14ac:dyDescent="0.25">
      <c r="A70" s="436"/>
      <c r="B70" s="442"/>
      <c r="C70" s="397"/>
      <c r="D70" s="749" t="s">
        <v>165</v>
      </c>
      <c r="E70" s="750"/>
      <c r="F70" s="750"/>
      <c r="G70" s="750"/>
      <c r="H70" s="750"/>
      <c r="I70" s="751"/>
      <c r="J70" s="522">
        <f t="shared" ref="J70" si="6">J9+J67+J68+J69</f>
        <v>2783304358</v>
      </c>
      <c r="K70" s="522"/>
      <c r="L70" s="5"/>
      <c r="O70" s="1"/>
      <c r="P70" s="1"/>
      <c r="Q70" s="1"/>
      <c r="R70" s="1"/>
      <c r="S70" s="1"/>
      <c r="T70" s="1"/>
    </row>
    <row r="71" spans="1:20" ht="11.25" customHeight="1" x14ac:dyDescent="0.25"/>
    <row r="72" spans="1:20" ht="15" customHeight="1" x14ac:dyDescent="0.25">
      <c r="I72" s="744" t="s">
        <v>250</v>
      </c>
      <c r="J72" s="744"/>
      <c r="K72" s="744"/>
    </row>
    <row r="73" spans="1:20" ht="15" customHeight="1" x14ac:dyDescent="0.25">
      <c r="I73" s="744" t="s">
        <v>234</v>
      </c>
      <c r="J73" s="744"/>
      <c r="K73" s="744"/>
    </row>
    <row r="74" spans="1:20" ht="15" customHeight="1" x14ac:dyDescent="0.25">
      <c r="I74" s="744" t="s">
        <v>195</v>
      </c>
      <c r="J74" s="744"/>
      <c r="K74" s="744"/>
    </row>
    <row r="75" spans="1:20" ht="15" customHeight="1" x14ac:dyDescent="0.25">
      <c r="I75" s="744" t="s">
        <v>194</v>
      </c>
      <c r="J75" s="744"/>
      <c r="K75" s="744"/>
    </row>
    <row r="76" spans="1:20" ht="15" customHeight="1" x14ac:dyDescent="0.25">
      <c r="I76" s="744" t="s">
        <v>193</v>
      </c>
      <c r="J76" s="744"/>
      <c r="K76" s="744"/>
    </row>
    <row r="77" spans="1:20" ht="15" customHeight="1" x14ac:dyDescent="0.25">
      <c r="I77" s="298"/>
      <c r="J77" s="298"/>
      <c r="K77" s="298"/>
    </row>
    <row r="78" spans="1:20" ht="15" customHeight="1" x14ac:dyDescent="0.25">
      <c r="I78" s="298"/>
      <c r="J78" s="298"/>
      <c r="K78" s="298"/>
    </row>
    <row r="79" spans="1:20" ht="15" customHeight="1" x14ac:dyDescent="0.25">
      <c r="I79" s="744" t="s">
        <v>200</v>
      </c>
      <c r="J79" s="744"/>
      <c r="K79" s="744"/>
    </row>
    <row r="80" spans="1:20" ht="15" customHeight="1" x14ac:dyDescent="0.25">
      <c r="I80" s="744" t="s">
        <v>202</v>
      </c>
      <c r="J80" s="744"/>
      <c r="K80" s="744"/>
    </row>
    <row r="81" ht="15.75" customHeight="1" x14ac:dyDescent="0.25"/>
  </sheetData>
  <sheetProtection selectLockedCells="1" selectUnlockedCells="1"/>
  <mergeCells count="30">
    <mergeCell ref="F9:I9"/>
    <mergeCell ref="H10:I10"/>
    <mergeCell ref="H11:I11"/>
    <mergeCell ref="J6:K6"/>
    <mergeCell ref="A6:A7"/>
    <mergeCell ref="D6:D7"/>
    <mergeCell ref="F6:F7"/>
    <mergeCell ref="H6:H7"/>
    <mergeCell ref="I6:I7"/>
    <mergeCell ref="F68:I68"/>
    <mergeCell ref="H17:I17"/>
    <mergeCell ref="H30:I30"/>
    <mergeCell ref="H31:I31"/>
    <mergeCell ref="H36:I36"/>
    <mergeCell ref="I75:K75"/>
    <mergeCell ref="I76:K76"/>
    <mergeCell ref="I79:K79"/>
    <mergeCell ref="I80:K80"/>
    <mergeCell ref="D1:K1"/>
    <mergeCell ref="D2:K2"/>
    <mergeCell ref="D3:K3"/>
    <mergeCell ref="D4:K4"/>
    <mergeCell ref="I72:K72"/>
    <mergeCell ref="F69:I69"/>
    <mergeCell ref="D70:I70"/>
    <mergeCell ref="I73:K73"/>
    <mergeCell ref="I74:K74"/>
    <mergeCell ref="H37:I37"/>
    <mergeCell ref="H44:I44"/>
    <mergeCell ref="H45:I45"/>
  </mergeCells>
  <printOptions horizontalCentered="1"/>
  <pageMargins left="0.23622047244094491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7F07-1AE5-40AC-898F-F324A80C133B}">
  <dimension ref="A1:T81"/>
  <sheetViews>
    <sheetView showOutlineSymbols="0" topLeftCell="B1" zoomScale="110" zoomScaleNormal="110" workbookViewId="0">
      <selection activeCell="J6" sqref="J6:K7"/>
    </sheetView>
  </sheetViews>
  <sheetFormatPr defaultColWidth="8.6640625" defaultRowHeight="15.75" x14ac:dyDescent="0.25"/>
  <cols>
    <col min="1" max="1" width="9" style="4" bestFit="1" customWidth="1"/>
    <col min="2" max="3" width="9" style="4" customWidth="1"/>
    <col min="4" max="4" width="14.5546875" style="4" customWidth="1"/>
    <col min="5" max="6" width="2.6640625" customWidth="1"/>
    <col min="7" max="7" width="0.5546875" hidden="1" customWidth="1"/>
    <col min="8" max="8" width="9.5546875" customWidth="1"/>
    <col min="9" max="9" width="42.88671875" style="18" customWidth="1"/>
    <col min="10" max="10" width="14.21875" style="4" customWidth="1"/>
    <col min="11" max="11" width="8.21875" style="4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ht="14.1" customHeight="1" x14ac:dyDescent="0.25">
      <c r="D1" s="745" t="s">
        <v>215</v>
      </c>
      <c r="E1" s="745"/>
      <c r="F1" s="745"/>
      <c r="G1" s="745"/>
      <c r="H1" s="745"/>
      <c r="I1" s="745"/>
      <c r="J1" s="745"/>
      <c r="K1" s="745"/>
    </row>
    <row r="2" spans="1:20" ht="14.1" customHeight="1" x14ac:dyDescent="0.25">
      <c r="D2" s="745" t="s">
        <v>192</v>
      </c>
      <c r="E2" s="745"/>
      <c r="F2" s="745"/>
      <c r="G2" s="745"/>
      <c r="H2" s="745"/>
      <c r="I2" s="745"/>
      <c r="J2" s="745"/>
      <c r="K2" s="745"/>
    </row>
    <row r="3" spans="1:20" ht="14.1" customHeight="1" x14ac:dyDescent="0.25">
      <c r="D3" s="745" t="s">
        <v>55</v>
      </c>
      <c r="E3" s="745"/>
      <c r="F3" s="745"/>
      <c r="G3" s="745"/>
      <c r="H3" s="745"/>
      <c r="I3" s="745"/>
      <c r="J3" s="745"/>
      <c r="K3" s="745"/>
    </row>
    <row r="4" spans="1:20" ht="14.1" customHeight="1" x14ac:dyDescent="0.25">
      <c r="D4" s="745" t="s">
        <v>244</v>
      </c>
      <c r="E4" s="745"/>
      <c r="F4" s="745"/>
      <c r="G4" s="745"/>
      <c r="H4" s="745"/>
      <c r="I4" s="745"/>
      <c r="J4" s="745"/>
      <c r="K4" s="745"/>
    </row>
    <row r="5" spans="1:20" ht="9" customHeight="1" x14ac:dyDescent="0.25">
      <c r="E5" s="21"/>
      <c r="F5" s="24"/>
      <c r="G5" s="24"/>
      <c r="H5" s="24"/>
      <c r="I5" s="131"/>
    </row>
    <row r="6" spans="1:20" ht="12.75" customHeight="1" x14ac:dyDescent="0.25">
      <c r="A6" s="722" t="s">
        <v>50</v>
      </c>
      <c r="B6" s="444"/>
      <c r="C6" s="445"/>
      <c r="D6" s="772" t="s">
        <v>10</v>
      </c>
      <c r="E6" s="496"/>
      <c r="F6" s="774" t="s">
        <v>159</v>
      </c>
      <c r="G6" s="499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3.5" customHeight="1" x14ac:dyDescent="0.25">
      <c r="A7" s="723"/>
      <c r="B7" s="444"/>
      <c r="C7" s="445"/>
      <c r="D7" s="773"/>
      <c r="E7" s="500"/>
      <c r="F7" s="775"/>
      <c r="G7" s="501"/>
      <c r="H7" s="777"/>
      <c r="I7" s="785"/>
      <c r="J7" s="559" t="s">
        <v>5</v>
      </c>
      <c r="K7" s="493" t="s">
        <v>8</v>
      </c>
      <c r="L7" s="5"/>
    </row>
    <row r="8" spans="1:20" s="17" customFormat="1" ht="14.25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635">
        <v>5</v>
      </c>
      <c r="J8" s="559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5" customHeight="1" x14ac:dyDescent="0.2">
      <c r="A9" s="309"/>
      <c r="B9" s="441"/>
      <c r="C9" s="446"/>
      <c r="D9" s="450" t="s">
        <v>166</v>
      </c>
      <c r="E9" s="495" t="s">
        <v>7</v>
      </c>
      <c r="F9" s="764" t="s">
        <v>67</v>
      </c>
      <c r="G9" s="764"/>
      <c r="H9" s="764"/>
      <c r="I9" s="764"/>
      <c r="J9" s="636">
        <f t="shared" ref="J9:K9" si="0">J10+J30+J36+J44</f>
        <v>3579769250</v>
      </c>
      <c r="K9" s="637">
        <f t="shared" si="0"/>
        <v>793768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83"/>
      <c r="J10" s="623">
        <f t="shared" ref="J10:K10" si="1">SUM(J12:J29)</f>
        <v>2766047750</v>
      </c>
      <c r="K10" s="624">
        <f t="shared" si="1"/>
        <v>678842</v>
      </c>
      <c r="L10" s="5"/>
    </row>
    <row r="11" spans="1:20" ht="15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84"/>
      <c r="J11" s="638"/>
      <c r="K11" s="639"/>
      <c r="L11" s="5"/>
    </row>
    <row r="12" spans="1:20" ht="15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03" t="s">
        <v>73</v>
      </c>
      <c r="I12" s="461" t="s">
        <v>11</v>
      </c>
      <c r="J12" s="545">
        <f>SUM('[1]JULI 26'!AM3)</f>
        <v>1655792000</v>
      </c>
      <c r="K12" s="640">
        <f>SUM(J12/A12)</f>
        <v>413948</v>
      </c>
      <c r="L12" s="5"/>
    </row>
    <row r="13" spans="1:20" ht="15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05" t="s">
        <v>74</v>
      </c>
      <c r="I13" s="462" t="s">
        <v>12</v>
      </c>
      <c r="J13" s="545">
        <f>SUM('[1]JULI 26'!AM4)</f>
        <v>439446000</v>
      </c>
      <c r="K13" s="640">
        <f>SUM(J13/A13)</f>
        <v>146482</v>
      </c>
      <c r="L13" s="5"/>
    </row>
    <row r="14" spans="1:20" ht="24.75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06" t="s">
        <v>84</v>
      </c>
      <c r="I14" s="466" t="s">
        <v>75</v>
      </c>
      <c r="J14" s="641"/>
      <c r="K14" s="642"/>
      <c r="L14" s="5"/>
    </row>
    <row r="15" spans="1:20" ht="15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05" t="s">
        <v>76</v>
      </c>
      <c r="I15" s="462" t="s">
        <v>11</v>
      </c>
      <c r="J15" s="545">
        <f>SUM('[1]JULI 26'!AM5)</f>
        <v>255000</v>
      </c>
      <c r="K15" s="640">
        <f>SUM(J15/A15)</f>
        <v>85</v>
      </c>
      <c r="L15" s="5"/>
    </row>
    <row r="16" spans="1:20" ht="15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08" t="s">
        <v>77</v>
      </c>
      <c r="I16" s="463" t="s">
        <v>12</v>
      </c>
      <c r="J16" s="545">
        <f>SUM('[1]JULI 26'!AM6)</f>
        <v>301500</v>
      </c>
      <c r="K16" s="640">
        <f>SUM(J16/A16)</f>
        <v>134</v>
      </c>
      <c r="L16" s="5"/>
    </row>
    <row r="17" spans="1:12" ht="15" customHeight="1" x14ac:dyDescent="0.25">
      <c r="A17" s="346"/>
      <c r="B17" s="443"/>
      <c r="C17" s="447"/>
      <c r="D17" s="457"/>
      <c r="E17" s="458"/>
      <c r="F17" s="459"/>
      <c r="G17" s="460"/>
      <c r="H17" s="759" t="s">
        <v>14</v>
      </c>
      <c r="I17" s="782"/>
      <c r="J17" s="547"/>
      <c r="K17" s="643"/>
      <c r="L17" s="5"/>
    </row>
    <row r="18" spans="1:12" ht="15" customHeight="1" x14ac:dyDescent="0.25">
      <c r="A18" s="346"/>
      <c r="B18" s="443"/>
      <c r="C18" s="447"/>
      <c r="D18" s="457"/>
      <c r="E18" s="458"/>
      <c r="F18" s="459"/>
      <c r="G18" s="460"/>
      <c r="H18" s="510" t="s">
        <v>78</v>
      </c>
      <c r="I18" s="464" t="s">
        <v>79</v>
      </c>
      <c r="J18" s="509"/>
      <c r="K18" s="643"/>
      <c r="L18" s="5"/>
    </row>
    <row r="19" spans="1:12" ht="15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12" t="s">
        <v>80</v>
      </c>
      <c r="I19" s="625" t="s">
        <v>56</v>
      </c>
      <c r="J19" s="545">
        <f>SUM('[1]JULI 26'!AM7)</f>
        <v>0</v>
      </c>
      <c r="K19" s="640">
        <f>SUM(J19/A19)</f>
        <v>0</v>
      </c>
      <c r="L19" s="5"/>
    </row>
    <row r="20" spans="1:12" ht="15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05" t="s">
        <v>81</v>
      </c>
      <c r="I20" s="462" t="s">
        <v>57</v>
      </c>
      <c r="J20" s="545">
        <f>SUM('[1]JULI 26'!AM8)</f>
        <v>0</v>
      </c>
      <c r="K20" s="640">
        <f>SUM(J20/A20)</f>
        <v>0</v>
      </c>
      <c r="L20" s="5"/>
    </row>
    <row r="21" spans="1:12" ht="15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05" t="s">
        <v>82</v>
      </c>
      <c r="I21" s="462" t="s">
        <v>58</v>
      </c>
      <c r="J21" s="545">
        <f>SUM('[1]JULI 26'!AM9)</f>
        <v>0</v>
      </c>
      <c r="K21" s="640">
        <f>SUM(J21/A21)</f>
        <v>0</v>
      </c>
      <c r="L21" s="5"/>
    </row>
    <row r="22" spans="1:12" ht="15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05" t="s">
        <v>83</v>
      </c>
      <c r="I22" s="462" t="s">
        <v>59</v>
      </c>
      <c r="J22" s="545">
        <f>SUM('[1]JULI 26'!AM10)</f>
        <v>80670000</v>
      </c>
      <c r="K22" s="640">
        <f>SUM(J22/A22)</f>
        <v>32268</v>
      </c>
      <c r="L22" s="5"/>
    </row>
    <row r="23" spans="1:12" ht="15" customHeight="1" x14ac:dyDescent="0.25">
      <c r="A23" s="346"/>
      <c r="B23" s="443"/>
      <c r="C23" s="447"/>
      <c r="D23" s="457"/>
      <c r="E23" s="458"/>
      <c r="F23" s="459"/>
      <c r="G23" s="460"/>
      <c r="H23" s="506" t="s">
        <v>85</v>
      </c>
      <c r="I23" s="465" t="s">
        <v>86</v>
      </c>
      <c r="J23" s="641"/>
      <c r="K23" s="642"/>
      <c r="L23" s="5"/>
    </row>
    <row r="24" spans="1:12" ht="15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05" t="s">
        <v>87</v>
      </c>
      <c r="I24" s="462" t="s">
        <v>88</v>
      </c>
      <c r="J24" s="548">
        <f>SUM('[1]JULI 26'!$AM$11+'[1]JULI 26'!$AM$12)</f>
        <v>218952000</v>
      </c>
      <c r="K24" s="640">
        <f>SUM(J24/A24)</f>
        <v>36492</v>
      </c>
      <c r="L24" s="5"/>
    </row>
    <row r="25" spans="1:12" ht="15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05" t="s">
        <v>89</v>
      </c>
      <c r="I25" s="462" t="s">
        <v>90</v>
      </c>
      <c r="J25" s="548">
        <f>SUM('[1]JULI 26'!$AM$15+'[1]JULI 26'!$AM$16)</f>
        <v>370282500</v>
      </c>
      <c r="K25" s="640">
        <f>SUM(J25/A25)</f>
        <v>49371</v>
      </c>
      <c r="L25" s="5"/>
    </row>
    <row r="26" spans="1:12" ht="25.5" customHeight="1" x14ac:dyDescent="0.25">
      <c r="A26" s="346"/>
      <c r="B26" s="443"/>
      <c r="C26" s="447"/>
      <c r="D26" s="457"/>
      <c r="E26" s="458"/>
      <c r="F26" s="459"/>
      <c r="G26" s="460"/>
      <c r="H26" s="506" t="s">
        <v>92</v>
      </c>
      <c r="I26" s="466" t="s">
        <v>91</v>
      </c>
      <c r="J26" s="641"/>
      <c r="K26" s="642"/>
      <c r="L26" s="5"/>
    </row>
    <row r="27" spans="1:12" ht="15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05" t="s">
        <v>93</v>
      </c>
      <c r="I27" s="462" t="s">
        <v>88</v>
      </c>
      <c r="J27" s="548">
        <f>SUM('[1]JULI 26'!$AM$13+'[1]JULI 26'!$AM$14)</f>
        <v>0</v>
      </c>
      <c r="K27" s="640">
        <f>SUM(J27/A27)</f>
        <v>0</v>
      </c>
      <c r="L27" s="5"/>
    </row>
    <row r="28" spans="1:12" ht="15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05" t="s">
        <v>94</v>
      </c>
      <c r="I28" s="462" t="s">
        <v>90</v>
      </c>
      <c r="J28" s="548">
        <f>SUM('[1]JULI 26'!$AM$17+'[1]JULI 26'!$AM$18)</f>
        <v>348750</v>
      </c>
      <c r="K28" s="640">
        <f>SUM(J28/A28)</f>
        <v>62</v>
      </c>
      <c r="L28" s="5"/>
    </row>
    <row r="29" spans="1:12" ht="15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13" t="s">
        <v>95</v>
      </c>
      <c r="I29" s="461" t="s">
        <v>16</v>
      </c>
      <c r="J29" s="545">
        <f>SUM('[1]JULI 26'!AM19)</f>
        <v>0</v>
      </c>
      <c r="K29" s="640">
        <f>SUM(J29/A29)</f>
        <v>0</v>
      </c>
      <c r="L29" s="5"/>
    </row>
    <row r="30" spans="1:12" ht="27" customHeight="1" x14ac:dyDescent="0.25">
      <c r="A30" s="331"/>
      <c r="B30" s="442"/>
      <c r="C30" s="397"/>
      <c r="D30" s="457" t="s">
        <v>210</v>
      </c>
      <c r="E30" s="458"/>
      <c r="F30" s="514">
        <v>2</v>
      </c>
      <c r="G30" s="467">
        <v>5</v>
      </c>
      <c r="H30" s="761" t="s">
        <v>212</v>
      </c>
      <c r="I30" s="761"/>
      <c r="J30" s="644">
        <f t="shared" ref="J30:K30" si="2">SUM(J32:J35)</f>
        <v>358305000</v>
      </c>
      <c r="K30" s="645">
        <f t="shared" si="2"/>
        <v>8610</v>
      </c>
      <c r="L30" s="5"/>
    </row>
    <row r="31" spans="1:12" ht="1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63"/>
      <c r="J31" s="646"/>
      <c r="K31" s="647"/>
      <c r="L31" s="5"/>
    </row>
    <row r="32" spans="1:12" ht="1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16" t="s">
        <v>101</v>
      </c>
      <c r="I32" s="626" t="s">
        <v>97</v>
      </c>
      <c r="J32" s="646"/>
      <c r="K32" s="647"/>
      <c r="L32" s="5"/>
    </row>
    <row r="33" spans="1:20" ht="15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17" t="s">
        <v>102</v>
      </c>
      <c r="I33" s="627" t="s">
        <v>98</v>
      </c>
      <c r="J33" s="545">
        <f>SUM('[1]JULI 26'!AM20)</f>
        <v>65710000</v>
      </c>
      <c r="K33" s="640">
        <f>SUM(J33/A33)</f>
        <v>6571</v>
      </c>
      <c r="L33" s="5"/>
    </row>
    <row r="34" spans="1:20" ht="15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18" t="s">
        <v>103</v>
      </c>
      <c r="I34" s="628" t="s">
        <v>99</v>
      </c>
      <c r="J34" s="545">
        <f>SUM('[1]JULI 26'!AM21)</f>
        <v>26595000</v>
      </c>
      <c r="K34" s="640">
        <f>SUM(J34/A34)</f>
        <v>1773</v>
      </c>
      <c r="L34" s="5"/>
    </row>
    <row r="35" spans="1:20" ht="15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18" t="s">
        <v>104</v>
      </c>
      <c r="I35" s="628" t="s">
        <v>100</v>
      </c>
      <c r="J35" s="545">
        <f>SUM('[1]JULI 26'!AM22)</f>
        <v>266000000</v>
      </c>
      <c r="K35" s="640">
        <f>SUM(J35/A35)</f>
        <v>266</v>
      </c>
      <c r="L35" s="5"/>
    </row>
    <row r="36" spans="1:20" ht="1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1"/>
      <c r="J36" s="644">
        <f t="shared" ref="J36:K36" si="3">SUM(J38:J43)</f>
        <v>408161500</v>
      </c>
      <c r="K36" s="645">
        <f t="shared" si="3"/>
        <v>99763</v>
      </c>
      <c r="L36" s="5"/>
    </row>
    <row r="37" spans="1:20" ht="1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63"/>
      <c r="J37" s="646"/>
      <c r="K37" s="647"/>
      <c r="L37" s="5"/>
    </row>
    <row r="38" spans="1:20" ht="15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19" t="s">
        <v>112</v>
      </c>
      <c r="I38" s="461" t="s">
        <v>106</v>
      </c>
      <c r="J38" s="648"/>
      <c r="K38" s="649"/>
      <c r="L38" s="5"/>
    </row>
    <row r="39" spans="1:20" ht="15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18" t="s">
        <v>113</v>
      </c>
      <c r="I39" s="628" t="s">
        <v>107</v>
      </c>
      <c r="J39" s="548">
        <f>SUM('[1]JULI 26'!AM23)</f>
        <v>7500000</v>
      </c>
      <c r="K39" s="650">
        <f>SUM(J39/A39)</f>
        <v>500</v>
      </c>
      <c r="L39" s="5"/>
    </row>
    <row r="40" spans="1:20" ht="24.75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18" t="s">
        <v>114</v>
      </c>
      <c r="I40" s="629" t="s">
        <v>108</v>
      </c>
      <c r="J40" s="548">
        <f>SUM('[1]JULI 26'!AM24)</f>
        <v>3237500</v>
      </c>
      <c r="K40" s="640">
        <f>SUM(J40/A40)</f>
        <v>259</v>
      </c>
      <c r="L40" s="5"/>
    </row>
    <row r="41" spans="1:20" ht="25.5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18" t="s">
        <v>115</v>
      </c>
      <c r="I41" s="630" t="s">
        <v>109</v>
      </c>
      <c r="J41" s="548">
        <f>SUM('[1]JULI 26'!AM25)</f>
        <v>218508000</v>
      </c>
      <c r="K41" s="640">
        <f>SUM(J41/A41)</f>
        <v>36418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18" t="s">
        <v>116</v>
      </c>
      <c r="I42" s="628" t="s">
        <v>110</v>
      </c>
      <c r="J42" s="548">
        <f>SUM('[1]JULI 26'!AM26)</f>
        <v>174495000</v>
      </c>
      <c r="K42" s="640">
        <f>SUM(J42/A42)</f>
        <v>58165</v>
      </c>
      <c r="L42" s="5"/>
    </row>
    <row r="43" spans="1:20" ht="15" customHeight="1" x14ac:dyDescent="0.25">
      <c r="A43" s="331">
        <v>1000</v>
      </c>
      <c r="B43" s="442"/>
      <c r="C43" s="397"/>
      <c r="D43" s="457"/>
      <c r="E43" s="458"/>
      <c r="F43" s="461"/>
      <c r="G43" s="472">
        <v>20</v>
      </c>
      <c r="H43" s="520" t="s">
        <v>117</v>
      </c>
      <c r="I43" s="461" t="s">
        <v>111</v>
      </c>
      <c r="J43" s="548">
        <f>SUM('[1]JULI 26'!AM27)</f>
        <v>4421000</v>
      </c>
      <c r="K43" s="640">
        <f>SUM(J43/A43)</f>
        <v>4421</v>
      </c>
      <c r="L43" s="5"/>
    </row>
    <row r="44" spans="1:20" ht="15" customHeight="1" x14ac:dyDescent="0.25">
      <c r="A44" s="316"/>
      <c r="B44" s="442"/>
      <c r="C44" s="397"/>
      <c r="D44" s="458" t="s">
        <v>206</v>
      </c>
      <c r="E44" s="605"/>
      <c r="F44" s="527">
        <v>4</v>
      </c>
      <c r="G44" s="467">
        <v>5</v>
      </c>
      <c r="H44" s="754" t="s">
        <v>213</v>
      </c>
      <c r="I44" s="781"/>
      <c r="J44" s="633">
        <f t="shared" ref="J44:K44" si="4">SUM(J46:J66)</f>
        <v>47255000</v>
      </c>
      <c r="K44" s="634">
        <f t="shared" si="4"/>
        <v>6553</v>
      </c>
      <c r="L44" s="5"/>
    </row>
    <row r="45" spans="1:20" ht="1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2"/>
      <c r="J45" s="646"/>
      <c r="K45" s="647"/>
      <c r="L45" s="5"/>
    </row>
    <row r="46" spans="1:20" ht="1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16" t="s">
        <v>129</v>
      </c>
      <c r="I46" s="626" t="s">
        <v>119</v>
      </c>
      <c r="J46" s="646"/>
      <c r="K46" s="647"/>
      <c r="L46" s="5"/>
    </row>
    <row r="47" spans="1:20" ht="1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17" t="s">
        <v>130</v>
      </c>
      <c r="I47" s="631" t="s">
        <v>120</v>
      </c>
      <c r="J47" s="548">
        <f>SUM('[1]JULI 26'!AM28)</f>
        <v>0</v>
      </c>
      <c r="K47" s="640">
        <f t="shared" ref="K47:K66" si="5">SUM(J47/A47)</f>
        <v>0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18" t="s">
        <v>131</v>
      </c>
      <c r="I48" s="632" t="s">
        <v>121</v>
      </c>
      <c r="J48" s="548">
        <f>SUM('[1]JULI 26'!AM29)</f>
        <v>2500000</v>
      </c>
      <c r="K48" s="640">
        <f t="shared" si="5"/>
        <v>1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18" t="s">
        <v>132</v>
      </c>
      <c r="I49" s="632" t="s">
        <v>122</v>
      </c>
      <c r="J49" s="548">
        <f>SUM('[1]JULI 26'!AM30)</f>
        <v>0</v>
      </c>
      <c r="K49" s="640">
        <f t="shared" si="5"/>
        <v>0</v>
      </c>
      <c r="L49" s="5"/>
    </row>
    <row r="50" spans="1:13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18" t="s">
        <v>133</v>
      </c>
      <c r="I50" s="632" t="s">
        <v>123</v>
      </c>
      <c r="J50" s="548">
        <f>SUM('[1]JULI 26'!AM31)</f>
        <v>0</v>
      </c>
      <c r="K50" s="640">
        <f t="shared" si="5"/>
        <v>0</v>
      </c>
      <c r="L50" s="5"/>
    </row>
    <row r="51" spans="1:13" ht="1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18" t="s">
        <v>134</v>
      </c>
      <c r="I51" s="632" t="s">
        <v>124</v>
      </c>
      <c r="J51" s="548">
        <f>SUM('[1]JULI 26'!AM32)</f>
        <v>750000</v>
      </c>
      <c r="K51" s="640">
        <f t="shared" si="5"/>
        <v>1</v>
      </c>
      <c r="L51" s="5"/>
    </row>
    <row r="52" spans="1:13" ht="1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18" t="s">
        <v>135</v>
      </c>
      <c r="I52" s="632" t="s">
        <v>60</v>
      </c>
      <c r="J52" s="548">
        <f>SUM('[1]JULI 26'!AM33)</f>
        <v>0</v>
      </c>
      <c r="K52" s="640">
        <f t="shared" si="5"/>
        <v>0</v>
      </c>
      <c r="L52" s="5"/>
    </row>
    <row r="53" spans="1:13" ht="1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18" t="s">
        <v>136</v>
      </c>
      <c r="I53" s="632" t="s">
        <v>125</v>
      </c>
      <c r="J53" s="548">
        <f>SUM('[1]JULI 26'!AM34)</f>
        <v>250000</v>
      </c>
      <c r="K53" s="640">
        <f t="shared" si="5"/>
        <v>1</v>
      </c>
      <c r="L53" s="5"/>
    </row>
    <row r="54" spans="1:13" ht="1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18" t="s">
        <v>137</v>
      </c>
      <c r="I54" s="632" t="s">
        <v>126</v>
      </c>
      <c r="J54" s="548">
        <f>SUM('[1]JULI 26'!AM35)</f>
        <v>10490000</v>
      </c>
      <c r="K54" s="640">
        <f t="shared" si="5"/>
        <v>5245</v>
      </c>
      <c r="L54" s="5"/>
    </row>
    <row r="55" spans="1:13" ht="1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18" t="s">
        <v>138</v>
      </c>
      <c r="I55" s="632" t="s">
        <v>127</v>
      </c>
      <c r="J55" s="548">
        <f>SUM('[1]JULI 26'!AM36)</f>
        <v>0</v>
      </c>
      <c r="K55" s="640">
        <f t="shared" si="5"/>
        <v>0</v>
      </c>
      <c r="L55" s="5"/>
    </row>
    <row r="56" spans="1:13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18" t="s">
        <v>139</v>
      </c>
      <c r="I56" s="632" t="s">
        <v>128</v>
      </c>
      <c r="J56" s="548">
        <f>SUM('[1]JULI 26'!AM37)</f>
        <v>5200000</v>
      </c>
      <c r="K56" s="640">
        <f t="shared" si="5"/>
        <v>52</v>
      </c>
      <c r="L56" s="5"/>
    </row>
    <row r="57" spans="1:13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18" t="s">
        <v>148</v>
      </c>
      <c r="I57" s="632" t="s">
        <v>158</v>
      </c>
      <c r="J57" s="548">
        <f>SUM('[1]JULI 26'!AM38)</f>
        <v>16250000</v>
      </c>
      <c r="K57" s="640">
        <f t="shared" si="5"/>
        <v>65</v>
      </c>
      <c r="L57" s="5"/>
      <c r="M57" s="12"/>
    </row>
    <row r="58" spans="1:13" ht="1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18" t="s">
        <v>149</v>
      </c>
      <c r="I58" s="632" t="s">
        <v>163</v>
      </c>
      <c r="J58" s="548">
        <f>SUM('[1]JULI 26'!AM39)</f>
        <v>0</v>
      </c>
      <c r="K58" s="640">
        <f t="shared" si="5"/>
        <v>0</v>
      </c>
      <c r="L58" s="5"/>
      <c r="M58" s="12"/>
    </row>
    <row r="59" spans="1:13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18" t="s">
        <v>150</v>
      </c>
      <c r="I59" s="632" t="s">
        <v>140</v>
      </c>
      <c r="J59" s="548">
        <f>SUM('[1]JULI 26'!AM40)</f>
        <v>0</v>
      </c>
      <c r="K59" s="640">
        <f t="shared" si="5"/>
        <v>0</v>
      </c>
      <c r="L59" s="5"/>
      <c r="M59" s="12"/>
    </row>
    <row r="60" spans="1:13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18" t="s">
        <v>151</v>
      </c>
      <c r="I60" s="632" t="s">
        <v>141</v>
      </c>
      <c r="J60" s="548">
        <f>SUM('[1]JULI 26'!AM41)</f>
        <v>0</v>
      </c>
      <c r="K60" s="640">
        <f t="shared" si="5"/>
        <v>0</v>
      </c>
      <c r="L60" s="5"/>
      <c r="M60" s="12"/>
    </row>
    <row r="61" spans="1:13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18" t="s">
        <v>152</v>
      </c>
      <c r="I61" s="632" t="s">
        <v>142</v>
      </c>
      <c r="J61" s="548">
        <f>SUM('[1]JULI 26'!AM42)</f>
        <v>1100000</v>
      </c>
      <c r="K61" s="640">
        <f t="shared" si="5"/>
        <v>11</v>
      </c>
      <c r="L61" s="5"/>
      <c r="M61" s="12"/>
    </row>
    <row r="62" spans="1:13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18" t="s">
        <v>153</v>
      </c>
      <c r="I62" s="632" t="s">
        <v>143</v>
      </c>
      <c r="J62" s="548">
        <f>SUM('[1]JULI 26'!AM43)</f>
        <v>6930000</v>
      </c>
      <c r="K62" s="640">
        <f t="shared" si="5"/>
        <v>462</v>
      </c>
      <c r="L62" s="5"/>
      <c r="M62" s="12"/>
    </row>
    <row r="63" spans="1:13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18" t="s">
        <v>154</v>
      </c>
      <c r="I63" s="632" t="s">
        <v>144</v>
      </c>
      <c r="J63" s="548">
        <f>SUM('[1]JULI 26'!AM44)</f>
        <v>3560000</v>
      </c>
      <c r="K63" s="640">
        <f t="shared" si="5"/>
        <v>712</v>
      </c>
      <c r="L63" s="5"/>
      <c r="M63" s="12"/>
    </row>
    <row r="64" spans="1:13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18" t="s">
        <v>155</v>
      </c>
      <c r="I64" s="632" t="s">
        <v>145</v>
      </c>
      <c r="J64" s="548">
        <f>SUM('[1]JULI 26'!AM45)</f>
        <v>0</v>
      </c>
      <c r="K64" s="640">
        <f t="shared" si="5"/>
        <v>0</v>
      </c>
      <c r="L64" s="5"/>
      <c r="M64" s="12"/>
    </row>
    <row r="65" spans="1:20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18" t="s">
        <v>156</v>
      </c>
      <c r="I65" s="632" t="s">
        <v>146</v>
      </c>
      <c r="J65" s="548">
        <f>SUM('[1]JULI 26'!AM46)</f>
        <v>225000</v>
      </c>
      <c r="K65" s="640">
        <f t="shared" si="5"/>
        <v>3</v>
      </c>
      <c r="L65" s="5"/>
      <c r="M65" s="12"/>
    </row>
    <row r="66" spans="1:20" ht="1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13" t="s">
        <v>157</v>
      </c>
      <c r="I66" s="625" t="s">
        <v>147</v>
      </c>
      <c r="J66" s="548">
        <f>SUM('[1]JULI 26'!AM47)</f>
        <v>0</v>
      </c>
      <c r="K66" s="640">
        <f t="shared" si="5"/>
        <v>0</v>
      </c>
      <c r="L66" s="5"/>
      <c r="M66" s="12"/>
    </row>
    <row r="67" spans="1:20" s="4" customFormat="1" ht="1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485"/>
      <c r="J67" s="651">
        <f>SUM('[1]JULI 26'!$AM$56)</f>
        <v>242000000</v>
      </c>
      <c r="K67" s="652"/>
      <c r="L67" s="5"/>
      <c r="O67" s="1"/>
      <c r="P67" s="1"/>
      <c r="Q67" s="1"/>
      <c r="R67" s="1"/>
      <c r="S67" s="1"/>
      <c r="T67" s="1"/>
    </row>
    <row r="68" spans="1:20" s="4" customFormat="1" ht="1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7"/>
      <c r="J68" s="653">
        <f>SUM('[1]JULI 26'!$AM$54)</f>
        <v>21314767</v>
      </c>
      <c r="K68" s="652"/>
      <c r="L68" s="5"/>
      <c r="O68" s="1"/>
      <c r="P68" s="1"/>
      <c r="Q68" s="1"/>
      <c r="R68" s="1"/>
      <c r="S68" s="1"/>
      <c r="T68" s="1"/>
    </row>
    <row r="69" spans="1:20" s="4" customFormat="1" ht="15" customHeight="1" x14ac:dyDescent="0.25">
      <c r="A69" s="316"/>
      <c r="B69" s="442"/>
      <c r="C69" s="397"/>
      <c r="D69" s="674" t="s">
        <v>209</v>
      </c>
      <c r="E69" s="486" t="s">
        <v>18</v>
      </c>
      <c r="F69" s="746" t="s">
        <v>64</v>
      </c>
      <c r="G69" s="747"/>
      <c r="H69" s="747"/>
      <c r="I69" s="747"/>
      <c r="J69" s="653">
        <f>SUM('[1]JULI 26'!$AM$49+'[1]JULI 26'!$AM$50+'[1]JULI 26'!$AM$51+'[1]JULI 26'!$AM$52+'[1]JULI 26'!$AM$53)</f>
        <v>73209725</v>
      </c>
      <c r="K69" s="652"/>
      <c r="L69" s="5"/>
      <c r="O69" s="1"/>
      <c r="P69" s="1"/>
      <c r="Q69" s="1"/>
      <c r="R69" s="1"/>
      <c r="S69" s="1"/>
      <c r="T69" s="1"/>
    </row>
    <row r="70" spans="1:20" s="4" customFormat="1" ht="15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50"/>
      <c r="J70" s="522">
        <f t="shared" ref="J70" si="6">J9+J67+J68+J69</f>
        <v>3916293742</v>
      </c>
      <c r="K70" s="654"/>
      <c r="L70" s="5"/>
      <c r="O70" s="1"/>
      <c r="P70" s="1"/>
      <c r="Q70" s="1"/>
      <c r="R70" s="1"/>
      <c r="S70" s="1"/>
      <c r="T70" s="1"/>
    </row>
    <row r="71" spans="1:20" ht="12" customHeight="1" x14ac:dyDescent="0.25"/>
    <row r="72" spans="1:20" ht="14.1" customHeight="1" x14ac:dyDescent="0.25">
      <c r="I72" s="744" t="s">
        <v>245</v>
      </c>
      <c r="J72" s="744"/>
      <c r="K72" s="744"/>
    </row>
    <row r="73" spans="1:20" ht="14.1" customHeight="1" x14ac:dyDescent="0.25">
      <c r="I73" s="744" t="s">
        <v>234</v>
      </c>
      <c r="J73" s="744"/>
      <c r="K73" s="744"/>
    </row>
    <row r="74" spans="1:20" ht="14.1" customHeight="1" x14ac:dyDescent="0.25">
      <c r="I74" s="744" t="s">
        <v>195</v>
      </c>
      <c r="J74" s="744"/>
      <c r="K74" s="744"/>
    </row>
    <row r="75" spans="1:20" ht="14.1" customHeight="1" x14ac:dyDescent="0.25">
      <c r="I75" s="744" t="s">
        <v>194</v>
      </c>
      <c r="J75" s="744"/>
      <c r="K75" s="744"/>
    </row>
    <row r="76" spans="1:20" ht="14.1" customHeight="1" x14ac:dyDescent="0.25">
      <c r="I76" s="744" t="s">
        <v>193</v>
      </c>
      <c r="J76" s="744"/>
      <c r="K76" s="744"/>
    </row>
    <row r="77" spans="1:20" ht="14.1" customHeight="1" x14ac:dyDescent="0.25">
      <c r="I77" s="298"/>
      <c r="J77" s="298"/>
      <c r="K77" s="298"/>
    </row>
    <row r="78" spans="1:20" ht="14.1" customHeight="1" x14ac:dyDescent="0.25">
      <c r="I78" s="298"/>
      <c r="J78" s="298"/>
      <c r="K78" s="298"/>
    </row>
    <row r="79" spans="1:20" ht="14.1" customHeight="1" x14ac:dyDescent="0.25">
      <c r="I79" s="744" t="s">
        <v>200</v>
      </c>
      <c r="J79" s="744"/>
      <c r="K79" s="744"/>
    </row>
    <row r="80" spans="1:20" ht="14.1" customHeight="1" x14ac:dyDescent="0.25">
      <c r="I80" s="744" t="s">
        <v>202</v>
      </c>
      <c r="J80" s="744"/>
      <c r="K80" s="744"/>
    </row>
    <row r="81" ht="15.75" customHeight="1" x14ac:dyDescent="0.25"/>
  </sheetData>
  <sheetProtection selectLockedCells="1" selectUnlockedCells="1"/>
  <mergeCells count="30">
    <mergeCell ref="F9:I9"/>
    <mergeCell ref="H10:I10"/>
    <mergeCell ref="H11:I11"/>
    <mergeCell ref="J6:K6"/>
    <mergeCell ref="A6:A7"/>
    <mergeCell ref="D6:D7"/>
    <mergeCell ref="F6:F7"/>
    <mergeCell ref="H6:H7"/>
    <mergeCell ref="I6:I7"/>
    <mergeCell ref="F68:I68"/>
    <mergeCell ref="H17:I17"/>
    <mergeCell ref="H30:I30"/>
    <mergeCell ref="H31:I31"/>
    <mergeCell ref="H36:I36"/>
    <mergeCell ref="I75:K75"/>
    <mergeCell ref="I76:K76"/>
    <mergeCell ref="I79:K79"/>
    <mergeCell ref="I80:K80"/>
    <mergeCell ref="D1:K1"/>
    <mergeCell ref="D2:K2"/>
    <mergeCell ref="D3:K3"/>
    <mergeCell ref="D4:K4"/>
    <mergeCell ref="I72:K72"/>
    <mergeCell ref="F69:I69"/>
    <mergeCell ref="D70:I70"/>
    <mergeCell ref="I73:K73"/>
    <mergeCell ref="I74:K74"/>
    <mergeCell ref="H37:I37"/>
    <mergeCell ref="H44:I44"/>
    <mergeCell ref="H45:I45"/>
  </mergeCells>
  <printOptions horizontalCentered="1"/>
  <pageMargins left="0.43307086614173229" right="0.31496062992125984" top="0.55118110236220474" bottom="0.6692913385826772" header="0.31496062992125984" footer="0.31496062992125984"/>
  <pageSetup paperSize="122" scale="70" fitToWidth="2" fitToHeight="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183B-BC42-4AB9-855D-CADBB6D14B89}">
  <dimension ref="A1:T81"/>
  <sheetViews>
    <sheetView showOutlineSymbols="0" topLeftCell="B15" zoomScale="110" zoomScaleNormal="110" workbookViewId="0">
      <selection activeCell="J6" sqref="J6:K8"/>
    </sheetView>
  </sheetViews>
  <sheetFormatPr defaultColWidth="8.6640625" defaultRowHeight="15.75" x14ac:dyDescent="0.25"/>
  <cols>
    <col min="1" max="1" width="9" style="4" bestFit="1" customWidth="1"/>
    <col min="2" max="2" width="11.21875" style="4" customWidth="1"/>
    <col min="3" max="3" width="9" style="4" customWidth="1"/>
    <col min="4" max="4" width="14.33203125" style="4" customWidth="1"/>
    <col min="5" max="5" width="2.21875" customWidth="1"/>
    <col min="6" max="6" width="2.6640625" customWidth="1"/>
    <col min="7" max="7" width="0.5546875" hidden="1" customWidth="1"/>
    <col min="8" max="8" width="9.5546875" customWidth="1"/>
    <col min="9" max="9" width="42.88671875" style="18" customWidth="1"/>
    <col min="10" max="10" width="15.44140625" style="4" customWidth="1"/>
    <col min="11" max="11" width="9.77734375" style="4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x14ac:dyDescent="0.25">
      <c r="D1" s="745" t="s">
        <v>215</v>
      </c>
      <c r="E1" s="745"/>
      <c r="F1" s="745"/>
      <c r="G1" s="745"/>
      <c r="H1" s="745"/>
      <c r="I1" s="745"/>
      <c r="J1" s="745"/>
      <c r="K1" s="745"/>
    </row>
    <row r="2" spans="1:20" ht="15" customHeight="1" x14ac:dyDescent="0.25">
      <c r="D2" s="745" t="s">
        <v>192</v>
      </c>
      <c r="E2" s="745"/>
      <c r="F2" s="745"/>
      <c r="G2" s="745"/>
      <c r="H2" s="745"/>
      <c r="I2" s="745"/>
      <c r="J2" s="745"/>
      <c r="K2" s="745"/>
    </row>
    <row r="3" spans="1:20" ht="14.25" customHeight="1" x14ac:dyDescent="0.25">
      <c r="D3" s="745" t="s">
        <v>55</v>
      </c>
      <c r="E3" s="745"/>
      <c r="F3" s="745"/>
      <c r="G3" s="745"/>
      <c r="H3" s="745"/>
      <c r="I3" s="745"/>
      <c r="J3" s="745"/>
      <c r="K3" s="745"/>
    </row>
    <row r="4" spans="1:20" ht="13.5" customHeight="1" x14ac:dyDescent="0.25">
      <c r="D4" s="745" t="s">
        <v>239</v>
      </c>
      <c r="E4" s="745"/>
      <c r="F4" s="745"/>
      <c r="G4" s="745"/>
      <c r="H4" s="745"/>
      <c r="I4" s="745"/>
      <c r="J4" s="745"/>
      <c r="K4" s="745"/>
    </row>
    <row r="5" spans="1:20" ht="9" customHeight="1" x14ac:dyDescent="0.25">
      <c r="E5" s="21"/>
      <c r="F5" s="24"/>
      <c r="G5" s="24"/>
      <c r="H5" s="24"/>
      <c r="I5" s="131"/>
    </row>
    <row r="6" spans="1:20" ht="15.75" customHeight="1" x14ac:dyDescent="0.25">
      <c r="A6" s="722" t="s">
        <v>50</v>
      </c>
      <c r="B6" s="444"/>
      <c r="C6" s="445"/>
      <c r="D6" s="772" t="s">
        <v>10</v>
      </c>
      <c r="E6" s="553"/>
      <c r="F6" s="774" t="s">
        <v>159</v>
      </c>
      <c r="G6" s="554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5" customHeight="1" x14ac:dyDescent="0.25">
      <c r="A7" s="723"/>
      <c r="B7" s="444"/>
      <c r="C7" s="445"/>
      <c r="D7" s="773"/>
      <c r="E7" s="555"/>
      <c r="F7" s="775"/>
      <c r="G7" s="556"/>
      <c r="H7" s="777"/>
      <c r="I7" s="779"/>
      <c r="J7" s="559" t="s">
        <v>5</v>
      </c>
      <c r="K7" s="493" t="s">
        <v>8</v>
      </c>
      <c r="L7" s="5"/>
    </row>
    <row r="8" spans="1:20" s="17" customFormat="1" ht="14.25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559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6.899999999999999" customHeight="1" x14ac:dyDescent="0.2">
      <c r="A9" s="309"/>
      <c r="B9" s="441"/>
      <c r="C9" s="446"/>
      <c r="D9" s="450" t="s">
        <v>166</v>
      </c>
      <c r="E9" s="617" t="s">
        <v>7</v>
      </c>
      <c r="F9" s="764" t="s">
        <v>67</v>
      </c>
      <c r="G9" s="764"/>
      <c r="H9" s="764"/>
      <c r="I9" s="765"/>
      <c r="J9" s="560">
        <f>J10+J30+J36+J44</f>
        <v>2932849625</v>
      </c>
      <c r="K9" s="566">
        <f t="shared" ref="K9" si="0">K10+K30+K36+K44</f>
        <v>629101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67"/>
      <c r="J10" s="529">
        <f>SUM(J12:J29)</f>
        <v>2130154625</v>
      </c>
      <c r="K10" s="454">
        <f t="shared" ref="K10" si="1">SUM(K12:K29)</f>
        <v>510005</v>
      </c>
      <c r="L10" s="5"/>
    </row>
    <row r="11" spans="1:20" ht="16.899999999999999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69"/>
      <c r="J11" s="530"/>
      <c r="K11" s="568"/>
      <c r="L11" s="5"/>
    </row>
    <row r="12" spans="1:20" ht="14.25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69" t="s">
        <v>73</v>
      </c>
      <c r="I12" s="461" t="s">
        <v>11</v>
      </c>
      <c r="J12" s="570">
        <f>SUM('[1]JUNI 26'!AJ3)</f>
        <v>1166488000</v>
      </c>
      <c r="K12" s="571">
        <f>SUM(J12/A12)</f>
        <v>291622</v>
      </c>
      <c r="L12" s="5"/>
    </row>
    <row r="13" spans="1:20" ht="15.75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72" t="s">
        <v>74</v>
      </c>
      <c r="I13" s="462" t="s">
        <v>12</v>
      </c>
      <c r="J13" s="570">
        <f>SUM('[1]JUNI 26'!AJ4)</f>
        <v>294618000</v>
      </c>
      <c r="K13" s="571">
        <f>SUM(J13/A13)</f>
        <v>98206</v>
      </c>
      <c r="L13" s="5"/>
    </row>
    <row r="14" spans="1:20" ht="39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73" t="s">
        <v>84</v>
      </c>
      <c r="I14" s="531" t="s">
        <v>75</v>
      </c>
      <c r="J14" s="574"/>
      <c r="K14" s="575"/>
      <c r="L14" s="5"/>
    </row>
    <row r="15" spans="1:20" ht="16.899999999999999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72" t="s">
        <v>76</v>
      </c>
      <c r="I15" s="462" t="s">
        <v>11</v>
      </c>
      <c r="J15" s="570">
        <f>SUM('[1]JUNI 26'!AJ5)</f>
        <v>2439000</v>
      </c>
      <c r="K15" s="571">
        <f>SUM(J15/A15)</f>
        <v>813</v>
      </c>
      <c r="L15" s="5"/>
    </row>
    <row r="16" spans="1:20" ht="16.899999999999999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76" t="s">
        <v>77</v>
      </c>
      <c r="I16" s="463" t="s">
        <v>12</v>
      </c>
      <c r="J16" s="570">
        <f>SUM('[1]JUNI 26'!AJ6)</f>
        <v>4036500</v>
      </c>
      <c r="K16" s="571">
        <f>SUM(J16/A16)</f>
        <v>1794</v>
      </c>
      <c r="L16" s="5"/>
    </row>
    <row r="17" spans="1:12" ht="14.25" customHeight="1" x14ac:dyDescent="0.25">
      <c r="A17" s="346"/>
      <c r="B17" s="443"/>
      <c r="C17" s="447"/>
      <c r="D17" s="457"/>
      <c r="E17" s="458"/>
      <c r="F17" s="459"/>
      <c r="G17" s="460"/>
      <c r="H17" s="787" t="s">
        <v>14</v>
      </c>
      <c r="I17" s="788"/>
      <c r="J17" s="577"/>
      <c r="K17" s="578"/>
      <c r="L17" s="5"/>
    </row>
    <row r="18" spans="1:12" ht="13.5" customHeight="1" x14ac:dyDescent="0.25">
      <c r="A18" s="346"/>
      <c r="B18" s="443"/>
      <c r="C18" s="447"/>
      <c r="D18" s="457"/>
      <c r="E18" s="458"/>
      <c r="F18" s="459"/>
      <c r="G18" s="460"/>
      <c r="H18" s="579" t="s">
        <v>78</v>
      </c>
      <c r="I18" s="464" t="s">
        <v>79</v>
      </c>
      <c r="J18" s="577"/>
      <c r="K18" s="580"/>
      <c r="L18" s="5"/>
    </row>
    <row r="19" spans="1:12" ht="16.899999999999999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81" t="s">
        <v>80</v>
      </c>
      <c r="I19" s="532" t="s">
        <v>56</v>
      </c>
      <c r="J19" s="570">
        <f>SUM('[1]JUNI 26'!AJ7)</f>
        <v>0</v>
      </c>
      <c r="K19" s="571">
        <f>SUM(J19/A19)</f>
        <v>0</v>
      </c>
      <c r="L19" s="5"/>
    </row>
    <row r="20" spans="1:12" ht="16.899999999999999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72" t="s">
        <v>81</v>
      </c>
      <c r="I20" s="533" t="s">
        <v>57</v>
      </c>
      <c r="J20" s="570">
        <f>SUM('[1]JUNI 26'!AJ8)</f>
        <v>0</v>
      </c>
      <c r="K20" s="571">
        <f>SUM(J20/A20)</f>
        <v>0</v>
      </c>
      <c r="L20" s="5"/>
    </row>
    <row r="21" spans="1:12" ht="16.899999999999999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72" t="s">
        <v>82</v>
      </c>
      <c r="I21" s="533" t="s">
        <v>58</v>
      </c>
      <c r="J21" s="570">
        <f>SUM('[1]JUNI 26'!AJ9)</f>
        <v>0</v>
      </c>
      <c r="K21" s="571">
        <f>SUM(J21/A21)</f>
        <v>0</v>
      </c>
      <c r="L21" s="5"/>
    </row>
    <row r="22" spans="1:12" ht="16.899999999999999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72" t="s">
        <v>83</v>
      </c>
      <c r="I22" s="533" t="s">
        <v>59</v>
      </c>
      <c r="J22" s="570">
        <f>SUM('[1]JUNI 26'!AJ10)</f>
        <v>88975000</v>
      </c>
      <c r="K22" s="571">
        <f>SUM(J22/A22)</f>
        <v>35590</v>
      </c>
      <c r="L22" s="5"/>
    </row>
    <row r="23" spans="1:12" ht="16.899999999999999" customHeight="1" x14ac:dyDescent="0.25">
      <c r="A23" s="346"/>
      <c r="B23" s="443"/>
      <c r="C23" s="447"/>
      <c r="D23" s="457"/>
      <c r="E23" s="458"/>
      <c r="F23" s="459"/>
      <c r="G23" s="460"/>
      <c r="H23" s="573" t="s">
        <v>85</v>
      </c>
      <c r="I23" s="465" t="s">
        <v>86</v>
      </c>
      <c r="J23" s="574"/>
      <c r="K23" s="575"/>
      <c r="L23" s="5"/>
    </row>
    <row r="24" spans="1:12" ht="16.899999999999999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72" t="s">
        <v>87</v>
      </c>
      <c r="I24" s="462" t="s">
        <v>88</v>
      </c>
      <c r="J24" s="582">
        <f>SUM('[1]JUNI 26'!$AJ$11+'[1]JUNI 26'!$AJ$12)</f>
        <v>157500000</v>
      </c>
      <c r="K24" s="571">
        <f>SUM(J24/A24)</f>
        <v>26250</v>
      </c>
      <c r="L24" s="5"/>
    </row>
    <row r="25" spans="1:12" ht="16.899999999999999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72" t="s">
        <v>89</v>
      </c>
      <c r="I25" s="462" t="s">
        <v>90</v>
      </c>
      <c r="J25" s="582">
        <f>SUM('[1]JUNI 26'!$AJ$15+'[1]JUNI 26'!$AJ$16)</f>
        <v>412582500</v>
      </c>
      <c r="K25" s="571">
        <f>SUM(J25/A25)</f>
        <v>55011</v>
      </c>
      <c r="L25" s="5"/>
    </row>
    <row r="26" spans="1:12" ht="40.5" customHeight="1" x14ac:dyDescent="0.25">
      <c r="A26" s="346"/>
      <c r="B26" s="443"/>
      <c r="C26" s="447"/>
      <c r="D26" s="457"/>
      <c r="E26" s="458"/>
      <c r="F26" s="459"/>
      <c r="G26" s="460"/>
      <c r="H26" s="573" t="s">
        <v>92</v>
      </c>
      <c r="I26" s="466" t="s">
        <v>91</v>
      </c>
      <c r="J26" s="574"/>
      <c r="K26" s="575"/>
      <c r="L26" s="5"/>
    </row>
    <row r="27" spans="1:12" ht="16.899999999999999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72" t="s">
        <v>93</v>
      </c>
      <c r="I27" s="462" t="s">
        <v>88</v>
      </c>
      <c r="J27" s="582">
        <f>SUM('[1]JUNI 26'!$AJ$13+'[1]JUNI 26'!$AJ$14)</f>
        <v>2115000</v>
      </c>
      <c r="K27" s="571">
        <f>SUM(J27/A27)</f>
        <v>470</v>
      </c>
      <c r="L27" s="5"/>
    </row>
    <row r="28" spans="1:12" ht="16.899999999999999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72" t="s">
        <v>94</v>
      </c>
      <c r="I28" s="462" t="s">
        <v>90</v>
      </c>
      <c r="J28" s="582">
        <f>SUM('[1]JUNI 26'!$AJ$17+'[1]JUNI 26'!$AJ$18)</f>
        <v>1400625</v>
      </c>
      <c r="K28" s="571">
        <f>SUM(J28/A28)</f>
        <v>249</v>
      </c>
      <c r="L28" s="5"/>
    </row>
    <row r="29" spans="1:12" ht="16.899999999999999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83" t="s">
        <v>95</v>
      </c>
      <c r="I29" s="461" t="s">
        <v>16</v>
      </c>
      <c r="J29" s="570">
        <f>SUM('[1]JUNI 26'!AJ19)</f>
        <v>0</v>
      </c>
      <c r="K29" s="571">
        <f>SUM(J29/A29)</f>
        <v>0</v>
      </c>
      <c r="L29" s="5"/>
    </row>
    <row r="30" spans="1:12" ht="26.25" customHeight="1" x14ac:dyDescent="0.25">
      <c r="A30" s="331"/>
      <c r="B30" s="442"/>
      <c r="C30" s="397"/>
      <c r="D30" s="457" t="s">
        <v>210</v>
      </c>
      <c r="E30" s="458"/>
      <c r="F30" s="584">
        <v>2</v>
      </c>
      <c r="G30" s="467">
        <v>5</v>
      </c>
      <c r="H30" s="761" t="s">
        <v>212</v>
      </c>
      <c r="I30" s="762"/>
      <c r="J30" s="585">
        <f>SUM(J32:J35)</f>
        <v>307315000</v>
      </c>
      <c r="K30" s="608">
        <f t="shared" ref="K30" si="2">SUM(K32:K35)</f>
        <v>6078</v>
      </c>
      <c r="L30" s="5"/>
    </row>
    <row r="31" spans="1:12" ht="1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53"/>
      <c r="J31" s="586"/>
      <c r="K31" s="587"/>
      <c r="L31" s="5"/>
    </row>
    <row r="32" spans="1:12" ht="12.7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88" t="s">
        <v>101</v>
      </c>
      <c r="I32" s="534" t="s">
        <v>97</v>
      </c>
      <c r="J32" s="589"/>
      <c r="K32" s="587"/>
      <c r="L32" s="5"/>
    </row>
    <row r="33" spans="1:20" ht="16.899999999999999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90" t="s">
        <v>102</v>
      </c>
      <c r="I33" s="535" t="s">
        <v>98</v>
      </c>
      <c r="J33" s="570">
        <f>SUM('[1]JUNI 26'!AJ20)</f>
        <v>32630000</v>
      </c>
      <c r="K33" s="571">
        <f>SUM(J33/A33)</f>
        <v>3263</v>
      </c>
      <c r="L33" s="5"/>
    </row>
    <row r="34" spans="1:20" ht="16.899999999999999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91" t="s">
        <v>103</v>
      </c>
      <c r="I34" s="536" t="s">
        <v>99</v>
      </c>
      <c r="J34" s="570">
        <f>SUM('[1]JUNI 26'!AJ21)</f>
        <v>38685000</v>
      </c>
      <c r="K34" s="571">
        <f>SUM(J34/A34)</f>
        <v>2579</v>
      </c>
      <c r="L34" s="5"/>
    </row>
    <row r="35" spans="1:20" ht="16.899999999999999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91" t="s">
        <v>104</v>
      </c>
      <c r="I35" s="536" t="s">
        <v>100</v>
      </c>
      <c r="J35" s="570">
        <f>SUM('[1]JUNI 26'!AJ22)</f>
        <v>236000000</v>
      </c>
      <c r="K35" s="571">
        <f>SUM(J35/A35)</f>
        <v>236</v>
      </c>
      <c r="L35" s="5"/>
    </row>
    <row r="36" spans="1:20" ht="15.7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2"/>
      <c r="J36" s="585">
        <f>SUM(J38:J43)</f>
        <v>411980000</v>
      </c>
      <c r="K36" s="608">
        <f t="shared" ref="K36" si="3">SUM(K38:K43)</f>
        <v>100894</v>
      </c>
      <c r="L36" s="5"/>
    </row>
    <row r="37" spans="1:20" ht="14.2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53"/>
      <c r="J37" s="586"/>
      <c r="K37" s="587"/>
      <c r="L37" s="5"/>
    </row>
    <row r="38" spans="1:20" ht="16.899999999999999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92" t="s">
        <v>112</v>
      </c>
      <c r="I38" s="470" t="s">
        <v>106</v>
      </c>
      <c r="J38" s="593"/>
      <c r="K38" s="594"/>
      <c r="L38" s="5"/>
    </row>
    <row r="39" spans="1:20" ht="16.899999999999999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91" t="s">
        <v>113</v>
      </c>
      <c r="I39" s="536" t="s">
        <v>107</v>
      </c>
      <c r="J39" s="620">
        <f>SUM('[1]JUNI 26'!AJ23)</f>
        <v>13875000</v>
      </c>
      <c r="K39" s="595">
        <f>SUM(J39/A39)</f>
        <v>925</v>
      </c>
      <c r="L39" s="5"/>
    </row>
    <row r="40" spans="1:20" ht="27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91" t="s">
        <v>114</v>
      </c>
      <c r="I40" s="537" t="s">
        <v>108</v>
      </c>
      <c r="J40" s="570">
        <f>SUM('[1]JUNI 26'!AJ24)</f>
        <v>3425000</v>
      </c>
      <c r="K40" s="571">
        <f>SUM(J40/A40)</f>
        <v>274</v>
      </c>
      <c r="L40" s="5"/>
    </row>
    <row r="41" spans="1:20" ht="27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91" t="s">
        <v>115</v>
      </c>
      <c r="I41" s="538" t="s">
        <v>109</v>
      </c>
      <c r="J41" s="570">
        <f>SUM('[1]JUNI 26'!AJ25)</f>
        <v>206886000</v>
      </c>
      <c r="K41" s="571">
        <f>SUM(J41/A41)</f>
        <v>34481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91" t="s">
        <v>116</v>
      </c>
      <c r="I42" s="536" t="s">
        <v>110</v>
      </c>
      <c r="J42" s="570">
        <f>SUM('[1]JUNI 26'!AJ26)</f>
        <v>183870000</v>
      </c>
      <c r="K42" s="571">
        <f>SUM(J42/A42)</f>
        <v>61290</v>
      </c>
      <c r="L42" s="5"/>
    </row>
    <row r="43" spans="1:20" ht="16.899999999999999" customHeight="1" x14ac:dyDescent="0.25">
      <c r="A43" s="331">
        <v>1000</v>
      </c>
      <c r="B43" s="442"/>
      <c r="C43" s="397"/>
      <c r="D43" s="457"/>
      <c r="E43" s="476"/>
      <c r="F43" s="461"/>
      <c r="G43" s="472">
        <v>20</v>
      </c>
      <c r="H43" s="596" t="s">
        <v>117</v>
      </c>
      <c r="I43" s="470" t="s">
        <v>111</v>
      </c>
      <c r="J43" s="570">
        <f>SUM('[1]JUNI 26'!AJ27)</f>
        <v>3924000</v>
      </c>
      <c r="K43" s="571">
        <f>SUM(J43/A43)</f>
        <v>3924</v>
      </c>
      <c r="L43" s="5"/>
    </row>
    <row r="44" spans="1:20" ht="17.25" customHeight="1" x14ac:dyDescent="0.25">
      <c r="A44" s="316"/>
      <c r="B44" s="442"/>
      <c r="C44" s="397"/>
      <c r="D44" s="458" t="s">
        <v>206</v>
      </c>
      <c r="E44" s="461"/>
      <c r="F44" s="598">
        <v>4</v>
      </c>
      <c r="G44" s="467">
        <v>5</v>
      </c>
      <c r="H44" s="754" t="s">
        <v>213</v>
      </c>
      <c r="I44" s="754"/>
      <c r="J44" s="599">
        <f>SUM(J46:J66)</f>
        <v>83400000</v>
      </c>
      <c r="K44" s="609">
        <f t="shared" ref="K44" si="4">SUM(K46:K66)</f>
        <v>12124</v>
      </c>
      <c r="L44" s="5"/>
    </row>
    <row r="45" spans="1:20" ht="14.2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5"/>
      <c r="J45" s="586"/>
      <c r="K45" s="587"/>
      <c r="L45" s="5"/>
    </row>
    <row r="46" spans="1:20" ht="11.2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88" t="s">
        <v>129</v>
      </c>
      <c r="I46" s="534" t="s">
        <v>119</v>
      </c>
      <c r="J46" s="586"/>
      <c r="K46" s="587"/>
      <c r="L46" s="5"/>
    </row>
    <row r="47" spans="1:20" ht="1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90" t="s">
        <v>130</v>
      </c>
      <c r="I47" s="539" t="s">
        <v>120</v>
      </c>
      <c r="J47" s="570">
        <f>SUM('[1]JUNI 26'!AJ28)</f>
        <v>0</v>
      </c>
      <c r="K47" s="571">
        <f t="shared" ref="K47:K66" si="5">SUM(J47/A47)</f>
        <v>0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91" t="s">
        <v>131</v>
      </c>
      <c r="I48" s="540" t="s">
        <v>121</v>
      </c>
      <c r="J48" s="570">
        <f>SUM('[1]JUNI 26'!AJ29)</f>
        <v>0</v>
      </c>
      <c r="K48" s="571">
        <f t="shared" si="5"/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91" t="s">
        <v>132</v>
      </c>
      <c r="I49" s="540" t="s">
        <v>122</v>
      </c>
      <c r="J49" s="570">
        <f>SUM('[1]JUNI 26'!AJ30)</f>
        <v>0</v>
      </c>
      <c r="K49" s="571">
        <f t="shared" si="5"/>
        <v>0</v>
      </c>
      <c r="L49" s="5"/>
    </row>
    <row r="50" spans="1:13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91" t="s">
        <v>133</v>
      </c>
      <c r="I50" s="540" t="s">
        <v>123</v>
      </c>
      <c r="J50" s="570">
        <f>SUM('[1]JUNI 26'!AJ31)</f>
        <v>0</v>
      </c>
      <c r="K50" s="571">
        <f t="shared" si="5"/>
        <v>0</v>
      </c>
      <c r="L50" s="5"/>
    </row>
    <row r="51" spans="1:13" ht="1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91" t="s">
        <v>134</v>
      </c>
      <c r="I51" s="540" t="s">
        <v>124</v>
      </c>
      <c r="J51" s="570">
        <f>SUM('[1]JUNI 26'!AJ32)</f>
        <v>1500000</v>
      </c>
      <c r="K51" s="571">
        <f t="shared" si="5"/>
        <v>2</v>
      </c>
      <c r="L51" s="5"/>
    </row>
    <row r="52" spans="1:13" ht="13.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91" t="s">
        <v>135</v>
      </c>
      <c r="I52" s="540" t="s">
        <v>60</v>
      </c>
      <c r="J52" s="570">
        <f>SUM('[1]JUNI 26'!AJ33)</f>
        <v>0</v>
      </c>
      <c r="K52" s="571">
        <f t="shared" si="5"/>
        <v>0</v>
      </c>
      <c r="L52" s="5"/>
    </row>
    <row r="53" spans="1:13" ht="1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91" t="s">
        <v>136</v>
      </c>
      <c r="I53" s="540" t="s">
        <v>125</v>
      </c>
      <c r="J53" s="570">
        <f>SUM('[1]JUNI 26'!AJ34)</f>
        <v>0</v>
      </c>
      <c r="K53" s="571">
        <f t="shared" si="5"/>
        <v>0</v>
      </c>
      <c r="L53" s="5"/>
    </row>
    <row r="54" spans="1:13" ht="13.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91" t="s">
        <v>137</v>
      </c>
      <c r="I54" s="540" t="s">
        <v>126</v>
      </c>
      <c r="J54" s="570">
        <f>SUM('[1]JUNI 26'!AJ35)</f>
        <v>19460000</v>
      </c>
      <c r="K54" s="571">
        <f t="shared" si="5"/>
        <v>9730</v>
      </c>
      <c r="L54" s="5"/>
    </row>
    <row r="55" spans="1:13" ht="1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91" t="s">
        <v>138</v>
      </c>
      <c r="I55" s="540" t="s">
        <v>127</v>
      </c>
      <c r="J55" s="570">
        <f>SUM('[1]JUNI 26'!AJ36)</f>
        <v>2700000</v>
      </c>
      <c r="K55" s="571">
        <f t="shared" si="5"/>
        <v>27</v>
      </c>
      <c r="L55" s="5"/>
    </row>
    <row r="56" spans="1:13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91" t="s">
        <v>139</v>
      </c>
      <c r="I56" s="540" t="s">
        <v>128</v>
      </c>
      <c r="J56" s="570">
        <f>SUM('[1]JUNI 26'!AJ37)</f>
        <v>3400000</v>
      </c>
      <c r="K56" s="571">
        <f t="shared" si="5"/>
        <v>34</v>
      </c>
      <c r="L56" s="5"/>
    </row>
    <row r="57" spans="1:13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91" t="s">
        <v>148</v>
      </c>
      <c r="I57" s="540" t="s">
        <v>158</v>
      </c>
      <c r="J57" s="570">
        <f>SUM('[1]JUNI 26'!AJ38)</f>
        <v>24250000</v>
      </c>
      <c r="K57" s="571">
        <f t="shared" si="5"/>
        <v>97</v>
      </c>
      <c r="L57" s="5"/>
      <c r="M57" s="12"/>
    </row>
    <row r="58" spans="1:13" ht="1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91" t="s">
        <v>149</v>
      </c>
      <c r="I58" s="540" t="s">
        <v>163</v>
      </c>
      <c r="J58" s="570">
        <f>SUM('[1]JUNI 26'!AJ39)</f>
        <v>0</v>
      </c>
      <c r="K58" s="571">
        <f t="shared" si="5"/>
        <v>0</v>
      </c>
      <c r="L58" s="5"/>
      <c r="M58" s="12"/>
    </row>
    <row r="59" spans="1:13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91" t="s">
        <v>150</v>
      </c>
      <c r="I59" s="540" t="s">
        <v>140</v>
      </c>
      <c r="J59" s="570">
        <f>SUM('[1]JUNI 26'!AJ40)</f>
        <v>4500000</v>
      </c>
      <c r="K59" s="571">
        <f t="shared" si="5"/>
        <v>6</v>
      </c>
      <c r="L59" s="5"/>
      <c r="M59" s="12"/>
    </row>
    <row r="60" spans="1:13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91" t="s">
        <v>151</v>
      </c>
      <c r="I60" s="540" t="s">
        <v>141</v>
      </c>
      <c r="J60" s="570">
        <f>SUM('[1]JUNI 26'!AJ41)</f>
        <v>6000000</v>
      </c>
      <c r="K60" s="571">
        <f t="shared" si="5"/>
        <v>6</v>
      </c>
      <c r="L60" s="5"/>
      <c r="M60" s="12"/>
    </row>
    <row r="61" spans="1:13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91" t="s">
        <v>152</v>
      </c>
      <c r="I61" s="540" t="s">
        <v>142</v>
      </c>
      <c r="J61" s="570">
        <f>SUM('[1]JUNI 26'!AJ42)</f>
        <v>1400000</v>
      </c>
      <c r="K61" s="571">
        <f t="shared" si="5"/>
        <v>14</v>
      </c>
      <c r="L61" s="5"/>
      <c r="M61" s="12"/>
    </row>
    <row r="62" spans="1:13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91" t="s">
        <v>153</v>
      </c>
      <c r="I62" s="540" t="s">
        <v>143</v>
      </c>
      <c r="J62" s="570">
        <f>SUM('[1]JUNI 26'!AJ43)</f>
        <v>13095000</v>
      </c>
      <c r="K62" s="571">
        <f t="shared" si="5"/>
        <v>873</v>
      </c>
      <c r="L62" s="5"/>
      <c r="M62" s="12"/>
    </row>
    <row r="63" spans="1:13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91" t="s">
        <v>154</v>
      </c>
      <c r="I63" s="540" t="s">
        <v>144</v>
      </c>
      <c r="J63" s="570">
        <f>SUM('[1]JUNI 26'!AJ44)</f>
        <v>6645000</v>
      </c>
      <c r="K63" s="571">
        <f t="shared" si="5"/>
        <v>1329</v>
      </c>
      <c r="L63" s="5"/>
      <c r="M63" s="12"/>
    </row>
    <row r="64" spans="1:13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91" t="s">
        <v>155</v>
      </c>
      <c r="I64" s="540" t="s">
        <v>145</v>
      </c>
      <c r="J64" s="570">
        <f>SUM('[1]JUNI 26'!AJ45)</f>
        <v>0</v>
      </c>
      <c r="K64" s="571">
        <f t="shared" si="5"/>
        <v>0</v>
      </c>
      <c r="L64" s="5"/>
      <c r="M64" s="12"/>
    </row>
    <row r="65" spans="1:20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91" t="s">
        <v>156</v>
      </c>
      <c r="I65" s="540" t="s">
        <v>146</v>
      </c>
      <c r="J65" s="570">
        <f>SUM('[1]JUNI 26'!AJ46)</f>
        <v>450000</v>
      </c>
      <c r="K65" s="571">
        <f t="shared" si="5"/>
        <v>6</v>
      </c>
      <c r="L65" s="5"/>
      <c r="M65" s="12"/>
    </row>
    <row r="66" spans="1:20" ht="12.7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83" t="s">
        <v>157</v>
      </c>
      <c r="I66" s="532" t="s">
        <v>147</v>
      </c>
      <c r="J66" s="570">
        <f>SUM('[1]JUNI 26'!AJ47)</f>
        <v>0</v>
      </c>
      <c r="K66" s="571">
        <f t="shared" si="5"/>
        <v>0</v>
      </c>
      <c r="L66" s="5"/>
      <c r="M66" s="12"/>
    </row>
    <row r="67" spans="1:20" s="4" customFormat="1" ht="1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541"/>
      <c r="J67" s="602">
        <f>SUM('[1]JUNI 26'!$AJ$56)</f>
        <v>1244500000</v>
      </c>
      <c r="K67" s="603"/>
      <c r="L67" s="5"/>
      <c r="O67" s="1"/>
      <c r="P67" s="1"/>
      <c r="Q67" s="1"/>
      <c r="R67" s="1"/>
      <c r="S67" s="1"/>
      <c r="T67" s="1"/>
    </row>
    <row r="68" spans="1:20" s="4" customFormat="1" ht="13.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8"/>
      <c r="J68" s="602">
        <f>SUM('[1]JUNI 26'!$AJ$54)</f>
        <v>19313094</v>
      </c>
      <c r="K68" s="603"/>
      <c r="L68" s="5"/>
      <c r="O68" s="1"/>
      <c r="P68" s="1"/>
      <c r="Q68" s="1"/>
      <c r="R68" s="1"/>
      <c r="S68" s="1"/>
      <c r="T68" s="1"/>
    </row>
    <row r="69" spans="1:20" s="4" customFormat="1" ht="14.2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8"/>
      <c r="J69" s="602">
        <f>SUM('[1]JUNI 26'!$AJ$49+'[1]JUNI 26'!$AJ$50+'[1]JUNI 26'!$AJ$51+'[1]JUNI 26'!$AJ$52+'[1]JUNI 26'!$AJ$53)</f>
        <v>71026350</v>
      </c>
      <c r="K69" s="603"/>
      <c r="L69" s="5"/>
      <c r="O69" s="1"/>
      <c r="P69" s="1"/>
      <c r="Q69" s="1"/>
      <c r="R69" s="1"/>
      <c r="S69" s="1"/>
      <c r="T69" s="1"/>
    </row>
    <row r="70" spans="1:20" s="4" customFormat="1" ht="14.25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86"/>
      <c r="J70" s="604">
        <f>J9+J67+J68+J69</f>
        <v>4267689069</v>
      </c>
      <c r="K70" s="604"/>
      <c r="L70" s="5"/>
      <c r="O70" s="1"/>
      <c r="P70" s="1"/>
      <c r="Q70" s="1"/>
      <c r="R70" s="1"/>
      <c r="S70" s="1"/>
      <c r="T70" s="1"/>
    </row>
    <row r="71" spans="1:20" ht="12.75" customHeight="1" x14ac:dyDescent="0.25"/>
    <row r="72" spans="1:20" ht="14.1" customHeight="1" x14ac:dyDescent="0.25">
      <c r="I72" s="744" t="s">
        <v>240</v>
      </c>
      <c r="J72" s="744"/>
      <c r="K72" s="744"/>
    </row>
    <row r="73" spans="1:20" ht="14.1" customHeight="1" x14ac:dyDescent="0.25">
      <c r="I73" s="744" t="s">
        <v>234</v>
      </c>
      <c r="J73" s="744"/>
      <c r="K73" s="744"/>
    </row>
    <row r="74" spans="1:20" ht="14.1" customHeight="1" x14ac:dyDescent="0.25">
      <c r="I74" s="744" t="s">
        <v>195</v>
      </c>
      <c r="J74" s="744"/>
      <c r="K74" s="744"/>
    </row>
    <row r="75" spans="1:20" ht="14.1" customHeight="1" x14ac:dyDescent="0.25">
      <c r="I75" s="744" t="s">
        <v>194</v>
      </c>
      <c r="J75" s="744"/>
      <c r="K75" s="744"/>
    </row>
    <row r="76" spans="1:20" ht="14.1" customHeight="1" x14ac:dyDescent="0.25">
      <c r="I76" s="744" t="s">
        <v>193</v>
      </c>
      <c r="J76" s="744"/>
      <c r="K76" s="744"/>
    </row>
    <row r="77" spans="1:20" ht="14.1" customHeight="1" x14ac:dyDescent="0.25">
      <c r="I77" s="298"/>
      <c r="J77" s="298"/>
      <c r="K77" s="298"/>
    </row>
    <row r="78" spans="1:20" ht="14.1" customHeight="1" x14ac:dyDescent="0.25">
      <c r="I78" s="298"/>
      <c r="J78" s="298"/>
      <c r="K78" s="298"/>
    </row>
    <row r="79" spans="1:20" ht="14.1" customHeight="1" x14ac:dyDescent="0.25">
      <c r="I79" s="744" t="s">
        <v>200</v>
      </c>
      <c r="J79" s="744"/>
      <c r="K79" s="744"/>
    </row>
    <row r="80" spans="1:20" ht="14.1" customHeight="1" x14ac:dyDescent="0.25">
      <c r="I80" s="744" t="s">
        <v>202</v>
      </c>
      <c r="J80" s="744"/>
      <c r="K80" s="744"/>
    </row>
    <row r="81" ht="15.75" customHeight="1" x14ac:dyDescent="0.25"/>
  </sheetData>
  <sheetProtection selectLockedCells="1" selectUnlockedCells="1"/>
  <mergeCells count="30">
    <mergeCell ref="F9:I9"/>
    <mergeCell ref="H10:I10"/>
    <mergeCell ref="H11:I11"/>
    <mergeCell ref="J6:K6"/>
    <mergeCell ref="A6:A7"/>
    <mergeCell ref="D6:D7"/>
    <mergeCell ref="F6:F7"/>
    <mergeCell ref="H6:H7"/>
    <mergeCell ref="I6:I7"/>
    <mergeCell ref="F68:I68"/>
    <mergeCell ref="H17:I17"/>
    <mergeCell ref="H30:I30"/>
    <mergeCell ref="H31:I31"/>
    <mergeCell ref="H36:I36"/>
    <mergeCell ref="I75:K75"/>
    <mergeCell ref="I76:K76"/>
    <mergeCell ref="I79:K79"/>
    <mergeCell ref="I80:K80"/>
    <mergeCell ref="D1:K1"/>
    <mergeCell ref="D2:K2"/>
    <mergeCell ref="D3:K3"/>
    <mergeCell ref="D4:K4"/>
    <mergeCell ref="I72:K72"/>
    <mergeCell ref="F69:I69"/>
    <mergeCell ref="D70:I70"/>
    <mergeCell ref="I73:K73"/>
    <mergeCell ref="I74:K74"/>
    <mergeCell ref="H37:I37"/>
    <mergeCell ref="H44:I44"/>
    <mergeCell ref="H45:I45"/>
  </mergeCells>
  <printOptions horizontalCentered="1"/>
  <pageMargins left="0.43307086614173229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DE3A-FCAF-4A51-AA3B-66D010AE8514}">
  <dimension ref="A1:T81"/>
  <sheetViews>
    <sheetView showOutlineSymbols="0" topLeftCell="C61" zoomScale="110" zoomScaleNormal="110" workbookViewId="0">
      <selection activeCell="I72" sqref="I72:K80"/>
    </sheetView>
  </sheetViews>
  <sheetFormatPr defaultColWidth="8.6640625" defaultRowHeight="15.75" x14ac:dyDescent="0.25"/>
  <cols>
    <col min="1" max="1" width="9" style="4" bestFit="1" customWidth="1"/>
    <col min="2" max="2" width="10.88671875" style="4" customWidth="1"/>
    <col min="3" max="3" width="9" style="4" customWidth="1"/>
    <col min="4" max="4" width="14.21875" style="4" customWidth="1"/>
    <col min="5" max="5" width="2.5546875" customWidth="1"/>
    <col min="6" max="6" width="2.6640625" customWidth="1"/>
    <col min="7" max="7" width="0.5546875" hidden="1" customWidth="1"/>
    <col min="8" max="8" width="9.5546875" customWidth="1"/>
    <col min="9" max="9" width="42.88671875" style="18" customWidth="1"/>
    <col min="10" max="10" width="15.6640625" style="18" customWidth="1"/>
    <col min="11" max="11" width="9.77734375" style="18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ht="15" customHeight="1" x14ac:dyDescent="0.25">
      <c r="D1" s="745" t="s">
        <v>215</v>
      </c>
      <c r="E1" s="745"/>
      <c r="F1" s="745"/>
      <c r="G1" s="745"/>
      <c r="H1" s="745"/>
      <c r="I1" s="745"/>
      <c r="J1" s="745"/>
      <c r="K1" s="745"/>
    </row>
    <row r="2" spans="1:20" ht="15" customHeight="1" x14ac:dyDescent="0.25">
      <c r="D2" s="745" t="s">
        <v>192</v>
      </c>
      <c r="E2" s="745"/>
      <c r="F2" s="745"/>
      <c r="G2" s="745"/>
      <c r="H2" s="745"/>
      <c r="I2" s="745"/>
      <c r="J2" s="745"/>
      <c r="K2" s="745"/>
    </row>
    <row r="3" spans="1:20" ht="15" customHeight="1" x14ac:dyDescent="0.25">
      <c r="D3" s="745" t="s">
        <v>55</v>
      </c>
      <c r="E3" s="745"/>
      <c r="F3" s="745"/>
      <c r="G3" s="745"/>
      <c r="H3" s="745"/>
      <c r="I3" s="745"/>
      <c r="J3" s="745"/>
      <c r="K3" s="745"/>
    </row>
    <row r="4" spans="1:20" ht="15" customHeight="1" x14ac:dyDescent="0.25">
      <c r="D4" s="745" t="s">
        <v>236</v>
      </c>
      <c r="E4" s="745"/>
      <c r="F4" s="745"/>
      <c r="G4" s="745"/>
      <c r="H4" s="745"/>
      <c r="I4" s="745"/>
      <c r="J4" s="745"/>
      <c r="K4" s="745"/>
    </row>
    <row r="5" spans="1:20" ht="9" customHeight="1" x14ac:dyDescent="0.25">
      <c r="E5" s="21"/>
      <c r="F5" s="24"/>
      <c r="G5" s="24"/>
      <c r="H5" s="24"/>
      <c r="I5" s="131"/>
      <c r="J5" s="131"/>
      <c r="K5" s="131"/>
    </row>
    <row r="6" spans="1:20" ht="15" customHeight="1" x14ac:dyDescent="0.25">
      <c r="A6" s="722" t="s">
        <v>50</v>
      </c>
      <c r="B6" s="444"/>
      <c r="C6" s="445"/>
      <c r="D6" s="772" t="s">
        <v>10</v>
      </c>
      <c r="E6" s="553"/>
      <c r="F6" s="774" t="s">
        <v>159</v>
      </c>
      <c r="G6" s="554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2.75" customHeight="1" x14ac:dyDescent="0.25">
      <c r="A7" s="723"/>
      <c r="B7" s="444"/>
      <c r="C7" s="445"/>
      <c r="D7" s="773"/>
      <c r="E7" s="555"/>
      <c r="F7" s="775"/>
      <c r="G7" s="556"/>
      <c r="H7" s="777"/>
      <c r="I7" s="779"/>
      <c r="J7" s="559" t="s">
        <v>5</v>
      </c>
      <c r="K7" s="493" t="s">
        <v>8</v>
      </c>
      <c r="L7" s="5"/>
    </row>
    <row r="8" spans="1:20" s="17" customFormat="1" ht="13.5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559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6.899999999999999" customHeight="1" x14ac:dyDescent="0.2">
      <c r="A9" s="309"/>
      <c r="B9" s="441"/>
      <c r="C9" s="446"/>
      <c r="D9" s="450" t="s">
        <v>166</v>
      </c>
      <c r="E9" s="617" t="s">
        <v>7</v>
      </c>
      <c r="F9" s="789" t="s">
        <v>67</v>
      </c>
      <c r="G9" s="789"/>
      <c r="H9" s="789"/>
      <c r="I9" s="790"/>
      <c r="J9" s="567">
        <f>J10+J30+J36+J44</f>
        <v>3411025250</v>
      </c>
      <c r="K9" s="619">
        <f t="shared" ref="K9" si="0">K10+K30+K36+K44</f>
        <v>710617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4.2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67"/>
      <c r="J10" s="529">
        <f>SUM(J12:J29)</f>
        <v>2443191750</v>
      </c>
      <c r="K10" s="618">
        <f t="shared" ref="K10" si="1">SUM(K12:K29)</f>
        <v>592423</v>
      </c>
      <c r="L10" s="5"/>
    </row>
    <row r="11" spans="1:20" ht="14.25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69"/>
      <c r="J11" s="530"/>
      <c r="K11" s="568"/>
      <c r="L11" s="5"/>
    </row>
    <row r="12" spans="1:20" ht="16.899999999999999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69" t="s">
        <v>73</v>
      </c>
      <c r="I12" s="461" t="s">
        <v>11</v>
      </c>
      <c r="J12" s="570">
        <f>SUM('[1]MEI 26'!AP3)</f>
        <v>1489940000</v>
      </c>
      <c r="K12" s="571">
        <f>SUM(J12/A12)</f>
        <v>372485</v>
      </c>
      <c r="L12" s="5"/>
    </row>
    <row r="13" spans="1:20" ht="16.899999999999999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72" t="s">
        <v>74</v>
      </c>
      <c r="I13" s="462" t="s">
        <v>12</v>
      </c>
      <c r="J13" s="570">
        <f>SUM('[1]MEI 26'!AP4)</f>
        <v>343857000</v>
      </c>
      <c r="K13" s="571">
        <f>SUM(J13/A13)</f>
        <v>114619</v>
      </c>
      <c r="L13" s="5"/>
    </row>
    <row r="14" spans="1:20" ht="39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73" t="s">
        <v>84</v>
      </c>
      <c r="I14" s="531" t="s">
        <v>75</v>
      </c>
      <c r="J14" s="574"/>
      <c r="K14" s="575"/>
      <c r="L14" s="5"/>
    </row>
    <row r="15" spans="1:20" ht="16.899999999999999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72" t="s">
        <v>76</v>
      </c>
      <c r="I15" s="462" t="s">
        <v>11</v>
      </c>
      <c r="J15" s="570">
        <f>SUM('[1]MEI 26'!AP5)</f>
        <v>1230000</v>
      </c>
      <c r="K15" s="571">
        <f>SUM(J15/A15)</f>
        <v>410</v>
      </c>
      <c r="L15" s="5"/>
    </row>
    <row r="16" spans="1:20" ht="16.899999999999999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76" t="s">
        <v>77</v>
      </c>
      <c r="I16" s="463" t="s">
        <v>12</v>
      </c>
      <c r="J16" s="570">
        <f>SUM('[1]MEI 26'!AP6)</f>
        <v>4979250</v>
      </c>
      <c r="K16" s="571">
        <f>SUM(J16/A16)</f>
        <v>2213</v>
      </c>
      <c r="L16" s="5"/>
    </row>
    <row r="17" spans="1:12" ht="14.25" customHeight="1" x14ac:dyDescent="0.25">
      <c r="A17" s="346"/>
      <c r="B17" s="443"/>
      <c r="C17" s="447"/>
      <c r="D17" s="457"/>
      <c r="E17" s="458"/>
      <c r="F17" s="459"/>
      <c r="G17" s="460"/>
      <c r="H17" s="787" t="s">
        <v>14</v>
      </c>
      <c r="I17" s="788"/>
      <c r="J17" s="577"/>
      <c r="K17" s="578"/>
      <c r="L17" s="5"/>
    </row>
    <row r="18" spans="1:12" ht="12.75" customHeight="1" x14ac:dyDescent="0.25">
      <c r="A18" s="346"/>
      <c r="B18" s="443"/>
      <c r="C18" s="447"/>
      <c r="D18" s="457"/>
      <c r="E18" s="458"/>
      <c r="F18" s="459"/>
      <c r="G18" s="460"/>
      <c r="H18" s="579" t="s">
        <v>78</v>
      </c>
      <c r="I18" s="464" t="s">
        <v>79</v>
      </c>
      <c r="J18" s="577"/>
      <c r="K18" s="580"/>
      <c r="L18" s="5"/>
    </row>
    <row r="19" spans="1:12" ht="16.899999999999999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81" t="s">
        <v>80</v>
      </c>
      <c r="I19" s="532" t="s">
        <v>56</v>
      </c>
      <c r="J19" s="570">
        <f>SUM('[1]MEI 26'!AP7)</f>
        <v>0</v>
      </c>
      <c r="K19" s="571">
        <f>SUM(J19/A19)</f>
        <v>0</v>
      </c>
      <c r="L19" s="5"/>
    </row>
    <row r="20" spans="1:12" ht="16.899999999999999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72" t="s">
        <v>81</v>
      </c>
      <c r="I20" s="533" t="s">
        <v>57</v>
      </c>
      <c r="J20" s="570">
        <f>SUM('[1]MEI 26'!AP8)</f>
        <v>0</v>
      </c>
      <c r="K20" s="571">
        <f>SUM(J20/A20)</f>
        <v>0</v>
      </c>
      <c r="L20" s="5"/>
    </row>
    <row r="21" spans="1:12" ht="16.899999999999999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72" t="s">
        <v>82</v>
      </c>
      <c r="I21" s="533" t="s">
        <v>58</v>
      </c>
      <c r="J21" s="570">
        <f>SUM('[1]MEI 26'!AP9)</f>
        <v>0</v>
      </c>
      <c r="K21" s="571">
        <f>SUM(J21/A21)</f>
        <v>0</v>
      </c>
      <c r="L21" s="5"/>
    </row>
    <row r="22" spans="1:12" ht="16.899999999999999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72" t="s">
        <v>83</v>
      </c>
      <c r="I22" s="533" t="s">
        <v>59</v>
      </c>
      <c r="J22" s="570">
        <f>SUM('[1]MEI 26'!AP10)</f>
        <v>77042500</v>
      </c>
      <c r="K22" s="571">
        <f>SUM(J22/A22)</f>
        <v>30817</v>
      </c>
      <c r="L22" s="5"/>
    </row>
    <row r="23" spans="1:12" ht="15" customHeight="1" x14ac:dyDescent="0.25">
      <c r="A23" s="346"/>
      <c r="B23" s="443"/>
      <c r="C23" s="447"/>
      <c r="D23" s="457"/>
      <c r="E23" s="458"/>
      <c r="F23" s="459"/>
      <c r="G23" s="460"/>
      <c r="H23" s="573" t="s">
        <v>85</v>
      </c>
      <c r="I23" s="465" t="s">
        <v>86</v>
      </c>
      <c r="J23" s="574"/>
      <c r="K23" s="575"/>
      <c r="L23" s="5"/>
    </row>
    <row r="24" spans="1:12" ht="16.899999999999999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72" t="s">
        <v>87</v>
      </c>
      <c r="I24" s="462" t="s">
        <v>88</v>
      </c>
      <c r="J24" s="582">
        <f>SUM('[1]MEI 26'!$AP$11+'[1]MEI 26'!$AP$12)</f>
        <v>44862000</v>
      </c>
      <c r="K24" s="571">
        <f>SUM(J24/A24)</f>
        <v>7477</v>
      </c>
      <c r="L24" s="5"/>
    </row>
    <row r="25" spans="1:12" ht="16.899999999999999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72" t="s">
        <v>89</v>
      </c>
      <c r="I25" s="462" t="s">
        <v>90</v>
      </c>
      <c r="J25" s="582">
        <f>SUM('[1]MEI 26'!$AP$15+'[1]MEI 26'!$AP$16)</f>
        <v>477870000</v>
      </c>
      <c r="K25" s="571">
        <f>SUM(J25/A25)</f>
        <v>63716</v>
      </c>
      <c r="L25" s="5"/>
    </row>
    <row r="26" spans="1:12" ht="39.75" customHeight="1" x14ac:dyDescent="0.25">
      <c r="A26" s="346"/>
      <c r="B26" s="443"/>
      <c r="C26" s="447"/>
      <c r="D26" s="457"/>
      <c r="E26" s="458"/>
      <c r="F26" s="459"/>
      <c r="G26" s="460"/>
      <c r="H26" s="573" t="s">
        <v>92</v>
      </c>
      <c r="I26" s="466" t="s">
        <v>91</v>
      </c>
      <c r="J26" s="574"/>
      <c r="K26" s="575"/>
      <c r="L26" s="5"/>
    </row>
    <row r="27" spans="1:12" ht="16.899999999999999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72" t="s">
        <v>93</v>
      </c>
      <c r="I27" s="462" t="s">
        <v>88</v>
      </c>
      <c r="J27" s="582">
        <f>SUM('[1]MEI 26'!$AP$13+'[1]MEI 26'!$AP$14)</f>
        <v>1791000</v>
      </c>
      <c r="K27" s="571">
        <f>SUM(J27/A27)</f>
        <v>398</v>
      </c>
      <c r="L27" s="5"/>
    </row>
    <row r="28" spans="1:12" ht="16.899999999999999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72" t="s">
        <v>94</v>
      </c>
      <c r="I28" s="462" t="s">
        <v>90</v>
      </c>
      <c r="J28" s="582">
        <f>SUM('[1]MEI 26'!$AP$17+'[1]MEI 26'!$AP$18)</f>
        <v>1620000</v>
      </c>
      <c r="K28" s="571">
        <f>SUM(J28/A28)</f>
        <v>288</v>
      </c>
      <c r="L28" s="5"/>
    </row>
    <row r="29" spans="1:12" ht="16.899999999999999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83" t="s">
        <v>95</v>
      </c>
      <c r="I29" s="461" t="s">
        <v>16</v>
      </c>
      <c r="J29" s="570">
        <f>SUM('[1]MEI 26'!AP19)</f>
        <v>0</v>
      </c>
      <c r="K29" s="571">
        <f>SUM(J29/A29)</f>
        <v>0</v>
      </c>
      <c r="L29" s="5"/>
    </row>
    <row r="30" spans="1:12" ht="27" customHeight="1" x14ac:dyDescent="0.25">
      <c r="A30" s="331"/>
      <c r="B30" s="442"/>
      <c r="C30" s="397"/>
      <c r="D30" s="457" t="s">
        <v>210</v>
      </c>
      <c r="E30" s="458"/>
      <c r="F30" s="584">
        <v>2</v>
      </c>
      <c r="G30" s="467">
        <v>5</v>
      </c>
      <c r="H30" s="761" t="s">
        <v>212</v>
      </c>
      <c r="I30" s="762"/>
      <c r="J30" s="585">
        <f>SUM(J32:J35)</f>
        <v>439495000</v>
      </c>
      <c r="K30" s="608">
        <f t="shared" ref="K30" si="2">SUM(K32:K35)</f>
        <v>6680</v>
      </c>
      <c r="L30" s="5"/>
    </row>
    <row r="31" spans="1:12" ht="16.899999999999999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53"/>
      <c r="J31" s="586"/>
      <c r="K31" s="587"/>
      <c r="L31" s="5"/>
    </row>
    <row r="32" spans="1:12" ht="16.899999999999999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88" t="s">
        <v>101</v>
      </c>
      <c r="I32" s="534" t="s">
        <v>97</v>
      </c>
      <c r="J32" s="589"/>
      <c r="K32" s="587"/>
      <c r="L32" s="5"/>
    </row>
    <row r="33" spans="1:20" ht="16.899999999999999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90" t="s">
        <v>102</v>
      </c>
      <c r="I33" s="535" t="s">
        <v>98</v>
      </c>
      <c r="J33" s="570">
        <f>SUM('[1]MEI 26'!AP20)</f>
        <v>30610000</v>
      </c>
      <c r="K33" s="571">
        <f>SUM(J33/A33)</f>
        <v>3061</v>
      </c>
      <c r="L33" s="5"/>
    </row>
    <row r="34" spans="1:20" ht="16.899999999999999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91" t="s">
        <v>103</v>
      </c>
      <c r="I34" s="536" t="s">
        <v>99</v>
      </c>
      <c r="J34" s="570">
        <f>SUM('[1]MEI 26'!AP21)</f>
        <v>48885000</v>
      </c>
      <c r="K34" s="571">
        <f>SUM(J34/A34)</f>
        <v>3259</v>
      </c>
      <c r="L34" s="5"/>
    </row>
    <row r="35" spans="1:20" ht="16.899999999999999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91" t="s">
        <v>104</v>
      </c>
      <c r="I35" s="536" t="s">
        <v>100</v>
      </c>
      <c r="J35" s="570">
        <f>SUM('[1]MEI 26'!AP22)</f>
        <v>360000000</v>
      </c>
      <c r="K35" s="571">
        <f>SUM(J35/A35)</f>
        <v>360</v>
      </c>
      <c r="L35" s="5"/>
    </row>
    <row r="36" spans="1:20" ht="14.2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2"/>
      <c r="J36" s="585">
        <f>SUM(J38:J43)</f>
        <v>425913500</v>
      </c>
      <c r="K36" s="608">
        <f t="shared" ref="K36" si="3">SUM(K38:K43)</f>
        <v>104115</v>
      </c>
      <c r="L36" s="5"/>
    </row>
    <row r="37" spans="1:20" ht="14.2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53"/>
      <c r="J37" s="586"/>
      <c r="K37" s="587"/>
      <c r="L37" s="5"/>
    </row>
    <row r="38" spans="1:20" ht="16.899999999999999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92" t="s">
        <v>112</v>
      </c>
      <c r="I38" s="470" t="s">
        <v>106</v>
      </c>
      <c r="J38" s="593"/>
      <c r="K38" s="594"/>
      <c r="L38" s="5"/>
    </row>
    <row r="39" spans="1:20" ht="16.899999999999999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91" t="s">
        <v>113</v>
      </c>
      <c r="I39" s="536" t="s">
        <v>107</v>
      </c>
      <c r="J39" s="582">
        <f>SUM('[1]MEI 26'!AP23)</f>
        <v>8445000</v>
      </c>
      <c r="K39" s="595">
        <f>SUM(J39/A39)</f>
        <v>563</v>
      </c>
      <c r="L39" s="5"/>
    </row>
    <row r="40" spans="1:20" ht="27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91" t="s">
        <v>114</v>
      </c>
      <c r="I40" s="537" t="s">
        <v>108</v>
      </c>
      <c r="J40" s="570">
        <f>SUM('[1]MEI 26'!AP24)</f>
        <v>3137500</v>
      </c>
      <c r="K40" s="571">
        <f>SUM(J40/A40)</f>
        <v>251</v>
      </c>
      <c r="L40" s="5"/>
    </row>
    <row r="41" spans="1:20" ht="26.25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91" t="s">
        <v>115</v>
      </c>
      <c r="I41" s="538" t="s">
        <v>109</v>
      </c>
      <c r="J41" s="570">
        <f>SUM('[1]MEI 26'!AP25)</f>
        <v>226320000</v>
      </c>
      <c r="K41" s="571">
        <f>SUM(J41/A41)</f>
        <v>37720</v>
      </c>
      <c r="L41" s="5"/>
    </row>
    <row r="42" spans="1:20" ht="16.899999999999999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91" t="s">
        <v>116</v>
      </c>
      <c r="I42" s="536" t="s">
        <v>110</v>
      </c>
      <c r="J42" s="570">
        <f>SUM('[1]MEI 26'!AP26)</f>
        <v>183645000</v>
      </c>
      <c r="K42" s="571">
        <f>SUM(J42/A42)</f>
        <v>61215</v>
      </c>
      <c r="L42" s="5"/>
    </row>
    <row r="43" spans="1:20" ht="16.899999999999999" customHeight="1" x14ac:dyDescent="0.25">
      <c r="A43" s="331">
        <v>1000</v>
      </c>
      <c r="B43" s="442"/>
      <c r="C43" s="397"/>
      <c r="D43" s="457"/>
      <c r="E43" s="476"/>
      <c r="F43" s="461"/>
      <c r="G43" s="472">
        <v>20</v>
      </c>
      <c r="H43" s="596" t="s">
        <v>117</v>
      </c>
      <c r="I43" s="470" t="s">
        <v>111</v>
      </c>
      <c r="J43" s="570">
        <f>SUM('[1]MEI 26'!AP27)</f>
        <v>4366000</v>
      </c>
      <c r="K43" s="571">
        <f>SUM(J43/A43)</f>
        <v>4366</v>
      </c>
      <c r="L43" s="5"/>
    </row>
    <row r="44" spans="1:20" ht="15.75" customHeight="1" x14ac:dyDescent="0.25">
      <c r="A44" s="316"/>
      <c r="B44" s="442"/>
      <c r="C44" s="397"/>
      <c r="D44" s="458" t="s">
        <v>206</v>
      </c>
      <c r="E44" s="461"/>
      <c r="F44" s="598">
        <v>4</v>
      </c>
      <c r="G44" s="467">
        <v>5</v>
      </c>
      <c r="H44" s="754" t="s">
        <v>213</v>
      </c>
      <c r="I44" s="754"/>
      <c r="J44" s="599">
        <f>SUM(J46:J66)</f>
        <v>102425000</v>
      </c>
      <c r="K44" s="609">
        <f t="shared" ref="K44" si="4">SUM(K46:K66)</f>
        <v>7399</v>
      </c>
      <c r="L44" s="5"/>
    </row>
    <row r="45" spans="1:20" ht="13.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5"/>
      <c r="J45" s="586"/>
      <c r="K45" s="587"/>
      <c r="L45" s="5"/>
    </row>
    <row r="46" spans="1:20" ht="12.7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88" t="s">
        <v>129</v>
      </c>
      <c r="I46" s="534" t="s">
        <v>119</v>
      </c>
      <c r="J46" s="586"/>
      <c r="K46" s="587"/>
      <c r="L46" s="5"/>
    </row>
    <row r="47" spans="1:20" ht="14.1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90" t="s">
        <v>130</v>
      </c>
      <c r="I47" s="539" t="s">
        <v>120</v>
      </c>
      <c r="J47" s="582">
        <f>SUM('[1]MEI 26'!AP28)</f>
        <v>0</v>
      </c>
      <c r="K47" s="571">
        <f t="shared" ref="K47:K66" si="5">SUM(J47/A47)</f>
        <v>0</v>
      </c>
      <c r="L47" s="5"/>
    </row>
    <row r="48" spans="1:20" s="2" customFormat="1" ht="14.1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91" t="s">
        <v>131</v>
      </c>
      <c r="I48" s="540" t="s">
        <v>121</v>
      </c>
      <c r="J48" s="582">
        <f>SUM('[1]MEI 26'!AP29)</f>
        <v>0</v>
      </c>
      <c r="K48" s="571">
        <f t="shared" si="5"/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4.1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91" t="s">
        <v>132</v>
      </c>
      <c r="I49" s="540" t="s">
        <v>122</v>
      </c>
      <c r="J49" s="582">
        <f>SUM('[1]MEI 26'!AP30)</f>
        <v>0</v>
      </c>
      <c r="K49" s="571">
        <f t="shared" si="5"/>
        <v>0</v>
      </c>
      <c r="L49" s="5"/>
    </row>
    <row r="50" spans="1:13" ht="14.1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91" t="s">
        <v>133</v>
      </c>
      <c r="I50" s="540" t="s">
        <v>123</v>
      </c>
      <c r="J50" s="582">
        <f>SUM('[1]MEI 26'!AP31)</f>
        <v>0</v>
      </c>
      <c r="K50" s="571">
        <f t="shared" si="5"/>
        <v>0</v>
      </c>
      <c r="L50" s="5"/>
    </row>
    <row r="51" spans="1:13" ht="14.1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91" t="s">
        <v>134</v>
      </c>
      <c r="I51" s="540" t="s">
        <v>124</v>
      </c>
      <c r="J51" s="582">
        <f>SUM('[1]MEI 26'!AP32)</f>
        <v>0</v>
      </c>
      <c r="K51" s="571">
        <f t="shared" si="5"/>
        <v>0</v>
      </c>
      <c r="L51" s="5"/>
    </row>
    <row r="52" spans="1:13" ht="14.1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91" t="s">
        <v>135</v>
      </c>
      <c r="I52" s="540" t="s">
        <v>60</v>
      </c>
      <c r="J52" s="582">
        <f>SUM('[1]MEI 26'!AP33)</f>
        <v>0</v>
      </c>
      <c r="K52" s="571">
        <f t="shared" si="5"/>
        <v>0</v>
      </c>
      <c r="L52" s="5"/>
    </row>
    <row r="53" spans="1:13" ht="14.1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91" t="s">
        <v>136</v>
      </c>
      <c r="I53" s="540" t="s">
        <v>125</v>
      </c>
      <c r="J53" s="582">
        <f>SUM('[1]MEI 26'!AP34)</f>
        <v>0</v>
      </c>
      <c r="K53" s="571">
        <f t="shared" si="5"/>
        <v>0</v>
      </c>
      <c r="L53" s="5"/>
    </row>
    <row r="54" spans="1:13" ht="14.1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91" t="s">
        <v>137</v>
      </c>
      <c r="I54" s="540" t="s">
        <v>126</v>
      </c>
      <c r="J54" s="582">
        <f>SUM('[1]MEI 26'!AP35)</f>
        <v>9090000</v>
      </c>
      <c r="K54" s="571">
        <f t="shared" si="5"/>
        <v>4545</v>
      </c>
      <c r="L54" s="5"/>
    </row>
    <row r="55" spans="1:13" ht="14.1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91" t="s">
        <v>138</v>
      </c>
      <c r="I55" s="540" t="s">
        <v>127</v>
      </c>
      <c r="J55" s="582">
        <f>SUM('[1]MEI 26'!AP36)</f>
        <v>15500000</v>
      </c>
      <c r="K55" s="571">
        <f t="shared" si="5"/>
        <v>155</v>
      </c>
      <c r="L55" s="5"/>
    </row>
    <row r="56" spans="1:13" ht="14.1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91" t="s">
        <v>139</v>
      </c>
      <c r="I56" s="540" t="s">
        <v>128</v>
      </c>
      <c r="J56" s="582">
        <f>SUM('[1]MEI 26'!AP37)</f>
        <v>20800000</v>
      </c>
      <c r="K56" s="571">
        <f t="shared" si="5"/>
        <v>208</v>
      </c>
      <c r="L56" s="5"/>
    </row>
    <row r="57" spans="1:13" ht="14.1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91" t="s">
        <v>148</v>
      </c>
      <c r="I57" s="540" t="s">
        <v>158</v>
      </c>
      <c r="J57" s="582">
        <f>SUM('[1]MEI 26'!AP38)</f>
        <v>27250000</v>
      </c>
      <c r="K57" s="571">
        <f t="shared" si="5"/>
        <v>109</v>
      </c>
      <c r="L57" s="5"/>
      <c r="M57" s="12"/>
    </row>
    <row r="58" spans="1:13" ht="14.1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91" t="s">
        <v>149</v>
      </c>
      <c r="I58" s="540" t="s">
        <v>163</v>
      </c>
      <c r="J58" s="582">
        <f>SUM('[1]MEI 26'!AP39)</f>
        <v>0</v>
      </c>
      <c r="K58" s="571">
        <f t="shared" si="5"/>
        <v>0</v>
      </c>
      <c r="L58" s="5"/>
      <c r="M58" s="12"/>
    </row>
    <row r="59" spans="1:13" ht="14.1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91" t="s">
        <v>150</v>
      </c>
      <c r="I59" s="540" t="s">
        <v>140</v>
      </c>
      <c r="J59" s="582">
        <f>SUM('[1]MEI 26'!AP40)</f>
        <v>3000000</v>
      </c>
      <c r="K59" s="571">
        <f t="shared" si="5"/>
        <v>4</v>
      </c>
      <c r="L59" s="5"/>
      <c r="M59" s="12"/>
    </row>
    <row r="60" spans="1:13" ht="14.1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91" t="s">
        <v>151</v>
      </c>
      <c r="I60" s="540" t="s">
        <v>141</v>
      </c>
      <c r="J60" s="582">
        <f>SUM('[1]MEI 26'!AP41)</f>
        <v>4000000</v>
      </c>
      <c r="K60" s="571">
        <f t="shared" si="5"/>
        <v>4</v>
      </c>
      <c r="L60" s="5"/>
      <c r="M60" s="12"/>
    </row>
    <row r="61" spans="1:13" ht="14.1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91" t="s">
        <v>152</v>
      </c>
      <c r="I61" s="540" t="s">
        <v>142</v>
      </c>
      <c r="J61" s="582">
        <f>SUM('[1]MEI 26'!AP42)</f>
        <v>1300000</v>
      </c>
      <c r="K61" s="571">
        <f t="shared" si="5"/>
        <v>13</v>
      </c>
      <c r="L61" s="5"/>
      <c r="M61" s="12"/>
    </row>
    <row r="62" spans="1:13" ht="14.1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91" t="s">
        <v>153</v>
      </c>
      <c r="I62" s="540" t="s">
        <v>143</v>
      </c>
      <c r="J62" s="582">
        <f>SUM('[1]MEI 26'!AP43)</f>
        <v>14205000</v>
      </c>
      <c r="K62" s="571">
        <f t="shared" si="5"/>
        <v>947</v>
      </c>
      <c r="L62" s="5"/>
      <c r="M62" s="12"/>
    </row>
    <row r="63" spans="1:13" ht="14.1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91" t="s">
        <v>154</v>
      </c>
      <c r="I63" s="540" t="s">
        <v>144</v>
      </c>
      <c r="J63" s="582">
        <f>SUM('[1]MEI 26'!AP44)</f>
        <v>7055000</v>
      </c>
      <c r="K63" s="571">
        <f t="shared" si="5"/>
        <v>1411</v>
      </c>
      <c r="L63" s="5"/>
      <c r="M63" s="12"/>
    </row>
    <row r="64" spans="1:13" ht="14.1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91" t="s">
        <v>155</v>
      </c>
      <c r="I64" s="540" t="s">
        <v>145</v>
      </c>
      <c r="J64" s="582">
        <f>SUM('[1]MEI 26'!AP45)</f>
        <v>0</v>
      </c>
      <c r="K64" s="571">
        <f t="shared" si="5"/>
        <v>0</v>
      </c>
      <c r="L64" s="5"/>
      <c r="M64" s="12"/>
    </row>
    <row r="65" spans="1:20" ht="14.1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91" t="s">
        <v>156</v>
      </c>
      <c r="I65" s="540" t="s">
        <v>146</v>
      </c>
      <c r="J65" s="582">
        <f>SUM('[1]MEI 26'!AP46)</f>
        <v>225000</v>
      </c>
      <c r="K65" s="571">
        <f t="shared" si="5"/>
        <v>3</v>
      </c>
      <c r="L65" s="5"/>
      <c r="M65" s="12"/>
    </row>
    <row r="66" spans="1:20" ht="14.1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83" t="s">
        <v>157</v>
      </c>
      <c r="I66" s="532" t="s">
        <v>147</v>
      </c>
      <c r="J66" s="582">
        <f>SUM('[1]MEI 26'!AP47)</f>
        <v>0</v>
      </c>
      <c r="K66" s="571">
        <f t="shared" si="5"/>
        <v>0</v>
      </c>
      <c r="L66" s="5"/>
      <c r="M66" s="12"/>
    </row>
    <row r="67" spans="1:20" s="4" customFormat="1" ht="13.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541"/>
      <c r="J67" s="602"/>
      <c r="K67" s="603"/>
      <c r="L67" s="5"/>
      <c r="O67" s="1"/>
      <c r="P67" s="1"/>
      <c r="Q67" s="1"/>
      <c r="R67" s="1"/>
      <c r="S67" s="1"/>
      <c r="T67" s="1"/>
    </row>
    <row r="68" spans="1:20" s="4" customFormat="1" ht="17.2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8"/>
      <c r="J68" s="602">
        <f>SUM('[1]MEI 26'!$AP$54+'[1]MEI 26'!$AP$55)</f>
        <v>16157772</v>
      </c>
      <c r="K68" s="603"/>
      <c r="L68" s="5"/>
      <c r="O68" s="1"/>
      <c r="P68" s="1"/>
      <c r="Q68" s="1"/>
      <c r="R68" s="1"/>
      <c r="S68" s="1"/>
      <c r="T68" s="1"/>
    </row>
    <row r="69" spans="1:20" s="4" customFormat="1" ht="16.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8"/>
      <c r="J69" s="602">
        <f>SUM('[1]MEI 26'!$AP$49+'[1]MEI 26'!$AP$50+'[1]MEI 26'!$AP$51+'[1]MEI 26'!$AP$52+'[1]MEI 26'!$AP$53)</f>
        <v>84747275</v>
      </c>
      <c r="K69" s="603"/>
      <c r="L69" s="5"/>
      <c r="O69" s="1"/>
      <c r="P69" s="1"/>
      <c r="Q69" s="1"/>
      <c r="R69" s="1"/>
      <c r="S69" s="1"/>
      <c r="T69" s="1"/>
    </row>
    <row r="70" spans="1:20" s="4" customFormat="1" ht="16.5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86"/>
      <c r="J70" s="604">
        <f>J9+J67+J68+J69</f>
        <v>3511930297</v>
      </c>
      <c r="K70" s="604"/>
      <c r="L70" s="5"/>
      <c r="O70" s="1"/>
      <c r="P70" s="1"/>
      <c r="Q70" s="1"/>
      <c r="R70" s="1"/>
      <c r="S70" s="1"/>
      <c r="T70" s="1"/>
    </row>
    <row r="72" spans="1:20" ht="14.1" customHeight="1" x14ac:dyDescent="0.25">
      <c r="I72" s="744" t="s">
        <v>235</v>
      </c>
      <c r="J72" s="744"/>
      <c r="K72" s="744"/>
    </row>
    <row r="73" spans="1:20" ht="14.1" customHeight="1" x14ac:dyDescent="0.25">
      <c r="I73" s="744" t="s">
        <v>234</v>
      </c>
      <c r="J73" s="744"/>
      <c r="K73" s="744"/>
    </row>
    <row r="74" spans="1:20" ht="14.1" customHeight="1" x14ac:dyDescent="0.25">
      <c r="I74" s="744" t="s">
        <v>195</v>
      </c>
      <c r="J74" s="744"/>
      <c r="K74" s="744"/>
    </row>
    <row r="75" spans="1:20" ht="14.1" customHeight="1" x14ac:dyDescent="0.25">
      <c r="I75" s="744" t="s">
        <v>194</v>
      </c>
      <c r="J75" s="744"/>
      <c r="K75" s="744"/>
    </row>
    <row r="76" spans="1:20" ht="14.1" customHeight="1" x14ac:dyDescent="0.25">
      <c r="I76" s="744" t="s">
        <v>193</v>
      </c>
      <c r="J76" s="744"/>
      <c r="K76" s="744"/>
    </row>
    <row r="77" spans="1:20" ht="14.1" customHeight="1" x14ac:dyDescent="0.25">
      <c r="I77" s="298"/>
      <c r="J77" s="298"/>
      <c r="K77" s="298"/>
    </row>
    <row r="78" spans="1:20" ht="14.1" customHeight="1" x14ac:dyDescent="0.25">
      <c r="I78" s="298"/>
      <c r="J78" s="298"/>
      <c r="K78" s="298"/>
    </row>
    <row r="79" spans="1:20" ht="14.1" customHeight="1" x14ac:dyDescent="0.25">
      <c r="I79" s="744" t="s">
        <v>200</v>
      </c>
      <c r="J79" s="744"/>
      <c r="K79" s="744"/>
    </row>
    <row r="80" spans="1:20" ht="14.1" customHeight="1" x14ac:dyDescent="0.25">
      <c r="I80" s="744" t="s">
        <v>202</v>
      </c>
      <c r="J80" s="744"/>
      <c r="K80" s="744"/>
    </row>
    <row r="81" ht="15.75" customHeight="1" x14ac:dyDescent="0.25"/>
  </sheetData>
  <sheetProtection selectLockedCells="1" selectUnlockedCells="1"/>
  <mergeCells count="30">
    <mergeCell ref="F9:I9"/>
    <mergeCell ref="H10:I10"/>
    <mergeCell ref="H11:I11"/>
    <mergeCell ref="J6:K6"/>
    <mergeCell ref="A6:A7"/>
    <mergeCell ref="D6:D7"/>
    <mergeCell ref="F6:F7"/>
    <mergeCell ref="H6:H7"/>
    <mergeCell ref="I6:I7"/>
    <mergeCell ref="F68:I68"/>
    <mergeCell ref="H17:I17"/>
    <mergeCell ref="H30:I30"/>
    <mergeCell ref="H31:I31"/>
    <mergeCell ref="H36:I36"/>
    <mergeCell ref="I79:K79"/>
    <mergeCell ref="I80:K80"/>
    <mergeCell ref="D1:K1"/>
    <mergeCell ref="D2:K2"/>
    <mergeCell ref="D3:K3"/>
    <mergeCell ref="D4:K4"/>
    <mergeCell ref="I72:K72"/>
    <mergeCell ref="I73:K73"/>
    <mergeCell ref="I74:K74"/>
    <mergeCell ref="I75:K75"/>
    <mergeCell ref="I76:K76"/>
    <mergeCell ref="F69:I69"/>
    <mergeCell ref="D70:I70"/>
    <mergeCell ref="H37:I37"/>
    <mergeCell ref="H44:I44"/>
    <mergeCell ref="H45:I45"/>
  </mergeCells>
  <printOptions horizontalCentered="1"/>
  <pageMargins left="0.43307086614173229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03FB-BE38-479A-AA7E-EF4AA76BA9E9}">
  <dimension ref="A1:T80"/>
  <sheetViews>
    <sheetView showOutlineSymbols="0" zoomScale="110" zoomScaleNormal="110" workbookViewId="0">
      <selection activeCell="D1" sqref="D1:K4"/>
    </sheetView>
  </sheetViews>
  <sheetFormatPr defaultColWidth="8.6640625" defaultRowHeight="15.75" x14ac:dyDescent="0.25"/>
  <cols>
    <col min="1" max="1" width="9" style="4" bestFit="1" customWidth="1"/>
    <col min="2" max="2" width="9" style="4" customWidth="1"/>
    <col min="3" max="3" width="5.109375" style="4" customWidth="1"/>
    <col min="4" max="4" width="14.21875" style="4" customWidth="1"/>
    <col min="5" max="5" width="2.77734375" customWidth="1"/>
    <col min="6" max="6" width="2.6640625" customWidth="1"/>
    <col min="7" max="7" width="0.5546875" hidden="1" customWidth="1"/>
    <col min="8" max="8" width="9.5546875" customWidth="1"/>
    <col min="9" max="9" width="42.6640625" style="18" customWidth="1"/>
    <col min="10" max="10" width="15.21875" style="18" customWidth="1"/>
    <col min="11" max="11" width="9.44140625" style="18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ht="14.1" customHeight="1" x14ac:dyDescent="0.25">
      <c r="D1" s="791" t="s">
        <v>215</v>
      </c>
      <c r="E1" s="791"/>
      <c r="F1" s="791"/>
      <c r="G1" s="791"/>
      <c r="H1" s="791"/>
      <c r="I1" s="791"/>
      <c r="J1" s="791"/>
      <c r="K1" s="791"/>
    </row>
    <row r="2" spans="1:20" ht="14.1" customHeight="1" x14ac:dyDescent="0.25">
      <c r="D2" s="791" t="s">
        <v>192</v>
      </c>
      <c r="E2" s="791"/>
      <c r="F2" s="791"/>
      <c r="G2" s="791"/>
      <c r="H2" s="791"/>
      <c r="I2" s="791"/>
      <c r="J2" s="791"/>
      <c r="K2" s="791"/>
    </row>
    <row r="3" spans="1:20" ht="14.1" customHeight="1" x14ac:dyDescent="0.25">
      <c r="D3" s="791" t="s">
        <v>55</v>
      </c>
      <c r="E3" s="791"/>
      <c r="F3" s="791"/>
      <c r="G3" s="791"/>
      <c r="H3" s="791"/>
      <c r="I3" s="791"/>
      <c r="J3" s="791"/>
      <c r="K3" s="791"/>
    </row>
    <row r="4" spans="1:20" ht="14.1" customHeight="1" x14ac:dyDescent="0.25">
      <c r="D4" s="791" t="s">
        <v>229</v>
      </c>
      <c r="E4" s="791"/>
      <c r="F4" s="791"/>
      <c r="G4" s="791"/>
      <c r="H4" s="791"/>
      <c r="I4" s="791"/>
      <c r="J4" s="791"/>
      <c r="K4" s="791"/>
    </row>
    <row r="5" spans="1:20" ht="9" customHeight="1" x14ac:dyDescent="0.25">
      <c r="E5" s="21"/>
      <c r="F5" s="24"/>
      <c r="G5" s="24"/>
      <c r="H5" s="24"/>
      <c r="I5" s="131"/>
      <c r="J5" s="131"/>
      <c r="K5" s="131"/>
    </row>
    <row r="6" spans="1:20" ht="12.75" customHeight="1" x14ac:dyDescent="0.25">
      <c r="A6" s="722" t="s">
        <v>50</v>
      </c>
      <c r="B6" s="444"/>
      <c r="C6" s="445"/>
      <c r="D6" s="772" t="s">
        <v>10</v>
      </c>
      <c r="E6" s="496"/>
      <c r="F6" s="774" t="s">
        <v>159</v>
      </c>
      <c r="G6" s="499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4.25" customHeight="1" x14ac:dyDescent="0.25">
      <c r="A7" s="723"/>
      <c r="B7" s="444"/>
      <c r="C7" s="445"/>
      <c r="D7" s="773"/>
      <c r="E7" s="500"/>
      <c r="F7" s="775"/>
      <c r="G7" s="501"/>
      <c r="H7" s="777"/>
      <c r="I7" s="779"/>
      <c r="J7" s="559" t="s">
        <v>5</v>
      </c>
      <c r="K7" s="493" t="s">
        <v>8</v>
      </c>
      <c r="L7" s="5"/>
    </row>
    <row r="8" spans="1:20" s="17" customFormat="1" ht="12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559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3.5" customHeight="1" x14ac:dyDescent="0.2">
      <c r="A9" s="309"/>
      <c r="B9" s="441"/>
      <c r="C9" s="446"/>
      <c r="D9" s="450" t="s">
        <v>166</v>
      </c>
      <c r="E9" s="495" t="s">
        <v>7</v>
      </c>
      <c r="F9" s="764" t="s">
        <v>67</v>
      </c>
      <c r="G9" s="764"/>
      <c r="H9" s="764"/>
      <c r="I9" s="765"/>
      <c r="J9" s="560">
        <f>J10+J30+J36+J44</f>
        <v>2620576750</v>
      </c>
      <c r="K9" s="566">
        <f t="shared" ref="K9" si="0">K10+K30+K36+K44</f>
        <v>578849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4.2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67"/>
      <c r="J10" s="612">
        <f>SUM(J12:J29)</f>
        <v>1970889250</v>
      </c>
      <c r="K10" s="613">
        <f t="shared" ref="K10" si="1">SUM(K12:K29)</f>
        <v>481277</v>
      </c>
      <c r="L10" s="5"/>
    </row>
    <row r="11" spans="1:20" ht="16.899999999999999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69"/>
      <c r="J11" s="530"/>
      <c r="K11" s="544"/>
      <c r="L11" s="5"/>
    </row>
    <row r="12" spans="1:20" ht="16.899999999999999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03" t="s">
        <v>73</v>
      </c>
      <c r="I12" s="461" t="s">
        <v>11</v>
      </c>
      <c r="J12" s="545">
        <f>SUM('[1]APRIL 26'!AL3)</f>
        <v>1203808000</v>
      </c>
      <c r="K12" s="504">
        <f>SUM(J12/A12)</f>
        <v>300952</v>
      </c>
      <c r="L12" s="5"/>
    </row>
    <row r="13" spans="1:20" ht="16.899999999999999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05" t="s">
        <v>74</v>
      </c>
      <c r="I13" s="462" t="s">
        <v>12</v>
      </c>
      <c r="J13" s="545">
        <f>SUM('[1]APRIL 26'!AL4)</f>
        <v>285477000</v>
      </c>
      <c r="K13" s="504">
        <f>SUM(J13/A13)</f>
        <v>95159</v>
      </c>
      <c r="L13" s="5"/>
    </row>
    <row r="14" spans="1:20" ht="40.5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06" t="s">
        <v>84</v>
      </c>
      <c r="I14" s="531" t="s">
        <v>75</v>
      </c>
      <c r="J14" s="546"/>
      <c r="K14" s="507"/>
      <c r="L14" s="5"/>
    </row>
    <row r="15" spans="1:20" ht="16.899999999999999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05" t="s">
        <v>76</v>
      </c>
      <c r="I15" s="462" t="s">
        <v>11</v>
      </c>
      <c r="J15" s="545">
        <f>SUM('[1]APRIL 26'!AL5)</f>
        <v>1083000</v>
      </c>
      <c r="K15" s="504">
        <f>SUM(J15/A15)</f>
        <v>361</v>
      </c>
      <c r="L15" s="5"/>
    </row>
    <row r="16" spans="1:20" ht="16.899999999999999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08" t="s">
        <v>77</v>
      </c>
      <c r="I16" s="463" t="s">
        <v>12</v>
      </c>
      <c r="J16" s="545">
        <f>SUM('[1]APRIL 26'!AL6)</f>
        <v>6923250</v>
      </c>
      <c r="K16" s="504">
        <f>SUM(J16/A16)</f>
        <v>3077</v>
      </c>
      <c r="L16" s="5"/>
    </row>
    <row r="17" spans="1:12" ht="16.899999999999999" customHeight="1" x14ac:dyDescent="0.25">
      <c r="A17" s="346"/>
      <c r="B17" s="443"/>
      <c r="C17" s="447"/>
      <c r="D17" s="457"/>
      <c r="E17" s="458"/>
      <c r="F17" s="459"/>
      <c r="G17" s="460"/>
      <c r="H17" s="759" t="s">
        <v>14</v>
      </c>
      <c r="I17" s="760"/>
      <c r="J17" s="547"/>
      <c r="K17" s="509"/>
      <c r="L17" s="5"/>
    </row>
    <row r="18" spans="1:12" ht="13.5" customHeight="1" x14ac:dyDescent="0.25">
      <c r="A18" s="346"/>
      <c r="B18" s="443"/>
      <c r="C18" s="447"/>
      <c r="D18" s="457"/>
      <c r="E18" s="458"/>
      <c r="F18" s="459"/>
      <c r="G18" s="460"/>
      <c r="H18" s="510" t="s">
        <v>78</v>
      </c>
      <c r="I18" s="464" t="s">
        <v>79</v>
      </c>
      <c r="J18" s="547"/>
      <c r="K18" s="511"/>
      <c r="L18" s="5"/>
    </row>
    <row r="19" spans="1:12" ht="16.899999999999999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12" t="s">
        <v>80</v>
      </c>
      <c r="I19" s="532" t="s">
        <v>56</v>
      </c>
      <c r="J19" s="545">
        <f>SUM('[1]APRIL 26'!AL7)</f>
        <v>0</v>
      </c>
      <c r="K19" s="504">
        <f>SUM(J19/A19)</f>
        <v>0</v>
      </c>
      <c r="L19" s="5"/>
    </row>
    <row r="20" spans="1:12" ht="16.899999999999999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05" t="s">
        <v>81</v>
      </c>
      <c r="I20" s="533" t="s">
        <v>57</v>
      </c>
      <c r="J20" s="545">
        <f>SUM('[1]APRIL 26'!AL8)</f>
        <v>0</v>
      </c>
      <c r="K20" s="504">
        <f>SUM(J20/A20)</f>
        <v>0</v>
      </c>
      <c r="L20" s="5"/>
    </row>
    <row r="21" spans="1:12" ht="16.899999999999999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05" t="s">
        <v>82</v>
      </c>
      <c r="I21" s="533" t="s">
        <v>58</v>
      </c>
      <c r="J21" s="545">
        <f>SUM('[1]APRIL 26'!AL9)</f>
        <v>0</v>
      </c>
      <c r="K21" s="504">
        <f>SUM(J21/A21)</f>
        <v>0</v>
      </c>
      <c r="L21" s="5"/>
    </row>
    <row r="22" spans="1:12" ht="16.899999999999999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05" t="s">
        <v>83</v>
      </c>
      <c r="I22" s="533" t="s">
        <v>59</v>
      </c>
      <c r="J22" s="545">
        <f>SUM('[1]APRIL 26'!AL10)</f>
        <v>59640000</v>
      </c>
      <c r="K22" s="504">
        <f>SUM(J22/A22)</f>
        <v>23856</v>
      </c>
      <c r="L22" s="5"/>
    </row>
    <row r="23" spans="1:12" ht="15.75" customHeight="1" x14ac:dyDescent="0.25">
      <c r="A23" s="346"/>
      <c r="B23" s="443"/>
      <c r="C23" s="447"/>
      <c r="D23" s="457"/>
      <c r="E23" s="458"/>
      <c r="F23" s="459"/>
      <c r="G23" s="460"/>
      <c r="H23" s="506" t="s">
        <v>85</v>
      </c>
      <c r="I23" s="465" t="s">
        <v>86</v>
      </c>
      <c r="J23" s="546"/>
      <c r="K23" s="507"/>
      <c r="L23" s="5"/>
    </row>
    <row r="24" spans="1:12" ht="16.899999999999999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05" t="s">
        <v>87</v>
      </c>
      <c r="I24" s="462" t="s">
        <v>88</v>
      </c>
      <c r="J24" s="548">
        <f>SUM('[1]APRIL 26'!$AL$11+'[1]APRIL 26'!$AL$12)</f>
        <v>71448000</v>
      </c>
      <c r="K24" s="504">
        <f>SUM(J24/A24)</f>
        <v>11908</v>
      </c>
      <c r="L24" s="5"/>
    </row>
    <row r="25" spans="1:12" ht="16.899999999999999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05" t="s">
        <v>89</v>
      </c>
      <c r="I25" s="462" t="s">
        <v>90</v>
      </c>
      <c r="J25" s="548">
        <f>SUM('[1]APRIL 26'!$AL$15+'[1]APRIL 26'!$AL$16)</f>
        <v>339180000</v>
      </c>
      <c r="K25" s="504">
        <f>SUM(J25/A25)</f>
        <v>45224</v>
      </c>
      <c r="L25" s="5"/>
    </row>
    <row r="26" spans="1:12" ht="39" customHeight="1" x14ac:dyDescent="0.25">
      <c r="A26" s="346"/>
      <c r="B26" s="443"/>
      <c r="C26" s="447"/>
      <c r="D26" s="457"/>
      <c r="E26" s="458"/>
      <c r="F26" s="459"/>
      <c r="G26" s="460"/>
      <c r="H26" s="506" t="s">
        <v>92</v>
      </c>
      <c r="I26" s="466" t="s">
        <v>91</v>
      </c>
      <c r="J26" s="546"/>
      <c r="K26" s="507"/>
      <c r="L26" s="5"/>
    </row>
    <row r="27" spans="1:12" ht="16.899999999999999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05" t="s">
        <v>93</v>
      </c>
      <c r="I27" s="462" t="s">
        <v>88</v>
      </c>
      <c r="J27" s="548">
        <f>SUM('[1]APRIL 26'!$AL$13+'[1]APRIL 26'!$AL$14)</f>
        <v>3330000</v>
      </c>
      <c r="K27" s="504">
        <f>SUM(J27/A27)</f>
        <v>740</v>
      </c>
      <c r="L27" s="5"/>
    </row>
    <row r="28" spans="1:12" ht="16.899999999999999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05" t="s">
        <v>94</v>
      </c>
      <c r="I28" s="462" t="s">
        <v>90</v>
      </c>
      <c r="J28" s="548">
        <f>SUM('[1]APRIL 26'!$AL$17+'[1]APRIL 26'!$AL$18)</f>
        <v>0</v>
      </c>
      <c r="K28" s="504">
        <f>SUM(J28/A28)</f>
        <v>0</v>
      </c>
      <c r="L28" s="5"/>
    </row>
    <row r="29" spans="1:12" ht="15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13" t="s">
        <v>95</v>
      </c>
      <c r="I29" s="461" t="s">
        <v>16</v>
      </c>
      <c r="J29" s="545">
        <f>SUM('[1]APRIL 26'!AL19)</f>
        <v>0</v>
      </c>
      <c r="K29" s="504">
        <f>SUM(J29/A29)</f>
        <v>0</v>
      </c>
      <c r="L29" s="5"/>
    </row>
    <row r="30" spans="1:12" ht="26.25" customHeight="1" x14ac:dyDescent="0.25">
      <c r="A30" s="331"/>
      <c r="B30" s="442"/>
      <c r="C30" s="397"/>
      <c r="D30" s="457" t="s">
        <v>210</v>
      </c>
      <c r="E30" s="458"/>
      <c r="F30" s="514">
        <v>2</v>
      </c>
      <c r="G30" s="467">
        <v>5</v>
      </c>
      <c r="H30" s="761" t="s">
        <v>212</v>
      </c>
      <c r="I30" s="762"/>
      <c r="J30" s="549">
        <f>SUM(J32:J35)</f>
        <v>242875000</v>
      </c>
      <c r="K30" s="524">
        <f t="shared" ref="K30" si="2">SUM(K32:K35)</f>
        <v>6081</v>
      </c>
      <c r="L30" s="5"/>
    </row>
    <row r="31" spans="1:12" ht="15.7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53"/>
      <c r="J31" s="550"/>
      <c r="K31" s="515"/>
      <c r="L31" s="5"/>
    </row>
    <row r="32" spans="1:12" ht="13.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16" t="s">
        <v>101</v>
      </c>
      <c r="I32" s="534" t="s">
        <v>97</v>
      </c>
      <c r="J32" s="526"/>
      <c r="K32" s="515"/>
      <c r="L32" s="5"/>
    </row>
    <row r="33" spans="1:20" ht="16.899999999999999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17" t="s">
        <v>102</v>
      </c>
      <c r="I33" s="535" t="s">
        <v>98</v>
      </c>
      <c r="J33" s="545">
        <f>SUM('[1]APRIL 26'!AL20)</f>
        <v>35520000</v>
      </c>
      <c r="K33" s="504">
        <f>SUM(J33/A33)</f>
        <v>3552</v>
      </c>
      <c r="L33" s="5"/>
    </row>
    <row r="34" spans="1:20" ht="16.899999999999999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18" t="s">
        <v>103</v>
      </c>
      <c r="I34" s="536" t="s">
        <v>99</v>
      </c>
      <c r="J34" s="545">
        <f>SUM('[1]APRIL 26'!AL21)</f>
        <v>35355000</v>
      </c>
      <c r="K34" s="504">
        <f>SUM(J34/A34)</f>
        <v>2357</v>
      </c>
      <c r="L34" s="5"/>
    </row>
    <row r="35" spans="1:20" ht="16.899999999999999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18" t="s">
        <v>104</v>
      </c>
      <c r="I35" s="536" t="s">
        <v>100</v>
      </c>
      <c r="J35" s="545">
        <f>SUM('[1]APRIL 26'!AL22)</f>
        <v>172000000</v>
      </c>
      <c r="K35" s="504">
        <f>SUM(J35/A35)</f>
        <v>172</v>
      </c>
      <c r="L35" s="5"/>
    </row>
    <row r="36" spans="1:20" ht="13.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2"/>
      <c r="J36" s="549">
        <f>SUM(J38:J43)</f>
        <v>332497500</v>
      </c>
      <c r="K36" s="524">
        <f t="shared" ref="K36" si="3">SUM(K38:K43)</f>
        <v>82187</v>
      </c>
      <c r="L36" s="5"/>
    </row>
    <row r="37" spans="1:20" ht="14.2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53"/>
      <c r="J37" s="550"/>
      <c r="K37" s="515"/>
      <c r="L37" s="5"/>
    </row>
    <row r="38" spans="1:20" ht="14.25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19" t="s">
        <v>112</v>
      </c>
      <c r="I38" s="470" t="s">
        <v>106</v>
      </c>
      <c r="J38" s="562"/>
      <c r="K38" s="563"/>
      <c r="L38" s="5"/>
    </row>
    <row r="39" spans="1:20" ht="16.899999999999999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18" t="s">
        <v>113</v>
      </c>
      <c r="I39" s="536" t="s">
        <v>107</v>
      </c>
      <c r="J39" s="548">
        <f>SUM('[1]APRIL 26'!AL23)</f>
        <v>7605000</v>
      </c>
      <c r="K39" s="611">
        <f>SUM(J39/A39)</f>
        <v>507</v>
      </c>
      <c r="L39" s="5"/>
    </row>
    <row r="40" spans="1:20" ht="24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18" t="s">
        <v>114</v>
      </c>
      <c r="I40" s="537" t="s">
        <v>108</v>
      </c>
      <c r="J40" s="548">
        <f>SUM('[1]APRIL 26'!AL24)</f>
        <v>2387500</v>
      </c>
      <c r="K40" s="504">
        <f>SUM(J40/A40)</f>
        <v>191</v>
      </c>
      <c r="L40" s="5"/>
    </row>
    <row r="41" spans="1:20" ht="27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18" t="s">
        <v>115</v>
      </c>
      <c r="I41" s="538" t="s">
        <v>109</v>
      </c>
      <c r="J41" s="548">
        <f>SUM('[1]APRIL 26'!AL25)</f>
        <v>165996000</v>
      </c>
      <c r="K41" s="504">
        <f>SUM(J41/A41)</f>
        <v>27666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18" t="s">
        <v>116</v>
      </c>
      <c r="I42" s="536" t="s">
        <v>110</v>
      </c>
      <c r="J42" s="548">
        <f>SUM('[1]APRIL 26'!AL26)</f>
        <v>154029000</v>
      </c>
      <c r="K42" s="504">
        <f>SUM(J42/A42)</f>
        <v>51343</v>
      </c>
      <c r="L42" s="5"/>
    </row>
    <row r="43" spans="1:20" ht="15.75" customHeight="1" x14ac:dyDescent="0.25">
      <c r="A43" s="331">
        <v>1000</v>
      </c>
      <c r="B43" s="442"/>
      <c r="C43" s="397"/>
      <c r="D43" s="457"/>
      <c r="E43" s="476"/>
      <c r="F43" s="461"/>
      <c r="G43" s="472">
        <v>20</v>
      </c>
      <c r="H43" s="520" t="s">
        <v>117</v>
      </c>
      <c r="I43" s="470" t="s">
        <v>111</v>
      </c>
      <c r="J43" s="548">
        <f>SUM('[1]APRIL 26'!AL27)</f>
        <v>2480000</v>
      </c>
      <c r="K43" s="504">
        <f>SUM(J43/A43)</f>
        <v>2480</v>
      </c>
      <c r="L43" s="5"/>
    </row>
    <row r="44" spans="1:20" ht="15.75" customHeight="1" x14ac:dyDescent="0.25">
      <c r="A44" s="316"/>
      <c r="B44" s="442"/>
      <c r="C44" s="397"/>
      <c r="D44" s="458" t="s">
        <v>206</v>
      </c>
      <c r="E44" s="461"/>
      <c r="F44" s="527">
        <v>4</v>
      </c>
      <c r="G44" s="467">
        <v>5</v>
      </c>
      <c r="H44" s="754" t="s">
        <v>213</v>
      </c>
      <c r="I44" s="754"/>
      <c r="J44" s="521">
        <f>SUM(J46:J66)</f>
        <v>74315000</v>
      </c>
      <c r="K44" s="523">
        <f t="shared" ref="K44" si="4">SUM(K46:K66)</f>
        <v>9304</v>
      </c>
      <c r="L44" s="5"/>
    </row>
    <row r="45" spans="1:20" ht="13.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5"/>
      <c r="J45" s="550"/>
      <c r="K45" s="515"/>
      <c r="L45" s="5"/>
    </row>
    <row r="46" spans="1:20" ht="14.25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16" t="s">
        <v>129</v>
      </c>
      <c r="I46" s="534" t="s">
        <v>119</v>
      </c>
      <c r="J46" s="550"/>
      <c r="K46" s="515"/>
      <c r="L46" s="5"/>
    </row>
    <row r="47" spans="1:20" ht="1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17" t="s">
        <v>130</v>
      </c>
      <c r="I47" s="539" t="s">
        <v>120</v>
      </c>
      <c r="J47" s="548">
        <f>SUM('[1]APRIL 26'!AL28)</f>
        <v>0</v>
      </c>
      <c r="K47" s="504">
        <f t="shared" ref="K47:K66" si="5">SUM(J47/A47)</f>
        <v>0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18" t="s">
        <v>131</v>
      </c>
      <c r="I48" s="540" t="s">
        <v>121</v>
      </c>
      <c r="J48" s="548">
        <f>SUM('[1]APRIL 26'!AL29)</f>
        <v>0</v>
      </c>
      <c r="K48" s="504">
        <f t="shared" si="5"/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13" ht="1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18" t="s">
        <v>132</v>
      </c>
      <c r="I49" s="540" t="s">
        <v>122</v>
      </c>
      <c r="J49" s="548">
        <f>SUM('[1]APRIL 26'!AL30)</f>
        <v>0</v>
      </c>
      <c r="K49" s="504">
        <f t="shared" si="5"/>
        <v>0</v>
      </c>
      <c r="L49" s="5"/>
    </row>
    <row r="50" spans="1:13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18" t="s">
        <v>133</v>
      </c>
      <c r="I50" s="540" t="s">
        <v>123</v>
      </c>
      <c r="J50" s="548">
        <f>SUM('[1]APRIL 26'!AL31)</f>
        <v>0</v>
      </c>
      <c r="K50" s="504">
        <f t="shared" si="5"/>
        <v>0</v>
      </c>
      <c r="L50" s="5"/>
    </row>
    <row r="51" spans="1:13" ht="1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18" t="s">
        <v>134</v>
      </c>
      <c r="I51" s="540" t="s">
        <v>124</v>
      </c>
      <c r="J51" s="548">
        <f>SUM('[1]APRIL 26'!AL32)</f>
        <v>0</v>
      </c>
      <c r="K51" s="504">
        <f t="shared" si="5"/>
        <v>0</v>
      </c>
      <c r="L51" s="5"/>
    </row>
    <row r="52" spans="1:13" ht="1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18" t="s">
        <v>135</v>
      </c>
      <c r="I52" s="540" t="s">
        <v>60</v>
      </c>
      <c r="J52" s="548">
        <f>SUM('[1]APRIL 26'!AL33)</f>
        <v>0</v>
      </c>
      <c r="K52" s="504">
        <f t="shared" si="5"/>
        <v>0</v>
      </c>
      <c r="L52" s="5"/>
    </row>
    <row r="53" spans="1:13" ht="12.7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18" t="s">
        <v>136</v>
      </c>
      <c r="I53" s="540" t="s">
        <v>125</v>
      </c>
      <c r="J53" s="548">
        <f>SUM('[1]APRIL 26'!AL34)</f>
        <v>250000</v>
      </c>
      <c r="K53" s="504">
        <f t="shared" si="5"/>
        <v>1</v>
      </c>
      <c r="L53" s="5"/>
    </row>
    <row r="54" spans="1:13" ht="1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18" t="s">
        <v>137</v>
      </c>
      <c r="I54" s="540" t="s">
        <v>126</v>
      </c>
      <c r="J54" s="548">
        <f>SUM('[1]APRIL 26'!AL35)</f>
        <v>13850000</v>
      </c>
      <c r="K54" s="504">
        <f t="shared" si="5"/>
        <v>6925</v>
      </c>
      <c r="L54" s="5"/>
    </row>
    <row r="55" spans="1:13" ht="13.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18" t="s">
        <v>138</v>
      </c>
      <c r="I55" s="540" t="s">
        <v>127</v>
      </c>
      <c r="J55" s="548">
        <f>SUM('[1]APRIL 26'!AL36)</f>
        <v>0</v>
      </c>
      <c r="K55" s="504">
        <f t="shared" si="5"/>
        <v>0</v>
      </c>
      <c r="L55" s="5"/>
    </row>
    <row r="56" spans="1:13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18" t="s">
        <v>139</v>
      </c>
      <c r="I56" s="540" t="s">
        <v>128</v>
      </c>
      <c r="J56" s="548">
        <f>SUM('[1]APRIL 26'!AL37)</f>
        <v>2100000</v>
      </c>
      <c r="K56" s="504">
        <f t="shared" si="5"/>
        <v>21</v>
      </c>
      <c r="L56" s="5"/>
    </row>
    <row r="57" spans="1:13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18" t="s">
        <v>148</v>
      </c>
      <c r="I57" s="540" t="s">
        <v>158</v>
      </c>
      <c r="J57" s="548">
        <f>SUM('[1]APRIL 26'!AL38)</f>
        <v>26750000</v>
      </c>
      <c r="K57" s="504">
        <f t="shared" si="5"/>
        <v>107</v>
      </c>
      <c r="L57" s="5"/>
      <c r="M57" s="12"/>
    </row>
    <row r="58" spans="1:13" ht="12.7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18" t="s">
        <v>149</v>
      </c>
      <c r="I58" s="540" t="s">
        <v>163</v>
      </c>
      <c r="J58" s="548">
        <f>SUM('[1]APRIL 26'!AL39)</f>
        <v>0</v>
      </c>
      <c r="K58" s="504">
        <f t="shared" si="5"/>
        <v>0</v>
      </c>
      <c r="L58" s="5"/>
      <c r="M58" s="12"/>
    </row>
    <row r="59" spans="1:13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18" t="s">
        <v>150</v>
      </c>
      <c r="I59" s="540" t="s">
        <v>140</v>
      </c>
      <c r="J59" s="548">
        <f>SUM('[1]APRIL 26'!AL40)</f>
        <v>6000000</v>
      </c>
      <c r="K59" s="504">
        <f t="shared" si="5"/>
        <v>8</v>
      </c>
      <c r="L59" s="5"/>
      <c r="M59" s="12"/>
    </row>
    <row r="60" spans="1:13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18" t="s">
        <v>151</v>
      </c>
      <c r="I60" s="540" t="s">
        <v>141</v>
      </c>
      <c r="J60" s="548">
        <f>SUM('[1]APRIL 26'!AL41)</f>
        <v>6000000</v>
      </c>
      <c r="K60" s="504">
        <f t="shared" si="5"/>
        <v>6</v>
      </c>
      <c r="L60" s="5"/>
      <c r="M60" s="12"/>
    </row>
    <row r="61" spans="1:13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18" t="s">
        <v>152</v>
      </c>
      <c r="I61" s="540" t="s">
        <v>142</v>
      </c>
      <c r="J61" s="548">
        <f>SUM('[1]APRIL 26'!AL42)</f>
        <v>900000</v>
      </c>
      <c r="K61" s="504">
        <f t="shared" si="5"/>
        <v>9</v>
      </c>
      <c r="L61" s="5"/>
      <c r="M61" s="12"/>
    </row>
    <row r="62" spans="1:13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18" t="s">
        <v>153</v>
      </c>
      <c r="I62" s="540" t="s">
        <v>143</v>
      </c>
      <c r="J62" s="548">
        <f>SUM('[1]APRIL 26'!AL43)</f>
        <v>9840000</v>
      </c>
      <c r="K62" s="504">
        <f t="shared" si="5"/>
        <v>656</v>
      </c>
      <c r="L62" s="5"/>
      <c r="M62" s="12"/>
    </row>
    <row r="63" spans="1:13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18" t="s">
        <v>154</v>
      </c>
      <c r="I63" s="540" t="s">
        <v>144</v>
      </c>
      <c r="J63" s="548">
        <f>SUM('[1]APRIL 26'!AL44)</f>
        <v>7800000</v>
      </c>
      <c r="K63" s="504">
        <f t="shared" si="5"/>
        <v>1560</v>
      </c>
      <c r="L63" s="5"/>
      <c r="M63" s="12"/>
    </row>
    <row r="64" spans="1:13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18" t="s">
        <v>155</v>
      </c>
      <c r="I64" s="540" t="s">
        <v>145</v>
      </c>
      <c r="J64" s="548">
        <f>SUM('[1]APRIL 26'!AL45)</f>
        <v>0</v>
      </c>
      <c r="K64" s="504">
        <f t="shared" si="5"/>
        <v>0</v>
      </c>
      <c r="L64" s="5"/>
      <c r="M64" s="12"/>
    </row>
    <row r="65" spans="1:20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18" t="s">
        <v>156</v>
      </c>
      <c r="I65" s="540" t="s">
        <v>146</v>
      </c>
      <c r="J65" s="548">
        <f>SUM('[1]APRIL 26'!AL46)</f>
        <v>825000</v>
      </c>
      <c r="K65" s="504">
        <f t="shared" si="5"/>
        <v>11</v>
      </c>
      <c r="L65" s="5"/>
      <c r="M65" s="12"/>
    </row>
    <row r="66" spans="1:20" ht="1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13" t="s">
        <v>157</v>
      </c>
      <c r="I66" s="532" t="s">
        <v>147</v>
      </c>
      <c r="J66" s="548">
        <f>SUM('[1]APRIL 26'!AL47)</f>
        <v>0</v>
      </c>
      <c r="K66" s="504">
        <f t="shared" si="5"/>
        <v>0</v>
      </c>
      <c r="L66" s="5"/>
      <c r="M66" s="12"/>
    </row>
    <row r="67" spans="1:20" s="4" customFormat="1" ht="15.7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541"/>
      <c r="J67" s="551">
        <f>SUM('[1]APRIL 26'!$AL$56)</f>
        <v>4363900000</v>
      </c>
      <c r="K67" s="552"/>
      <c r="L67" s="5"/>
      <c r="O67" s="1"/>
      <c r="P67" s="1"/>
      <c r="Q67" s="1"/>
      <c r="R67" s="1"/>
      <c r="S67" s="1"/>
      <c r="T67" s="1"/>
    </row>
    <row r="68" spans="1:20" s="4" customFormat="1" ht="15.7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8"/>
      <c r="J68" s="551">
        <f>SUM('[1]APRIL 26'!$AL$54)</f>
        <v>8786013</v>
      </c>
      <c r="K68" s="552"/>
      <c r="L68" s="5"/>
      <c r="O68" s="1"/>
      <c r="P68" s="1"/>
      <c r="Q68" s="1"/>
      <c r="R68" s="1"/>
      <c r="S68" s="1"/>
      <c r="T68" s="1"/>
    </row>
    <row r="69" spans="1:20" s="4" customFormat="1" ht="14.2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8"/>
      <c r="J69" s="551">
        <f>SUM('[1]APRIL 26'!$AL$49+'[1]APRIL 26'!$AL$50+'[1]APRIL 26'!$AL$51+'[1]APRIL 26'!$AL$52+'[1]APRIL 26'!$AL$53+'[1]APRIL 26'!$AL$57)</f>
        <v>71081435</v>
      </c>
      <c r="K69" s="552"/>
      <c r="L69" s="5"/>
      <c r="O69" s="1"/>
      <c r="P69" s="1"/>
      <c r="Q69" s="1"/>
      <c r="R69" s="1"/>
      <c r="S69" s="1"/>
      <c r="T69" s="1"/>
    </row>
    <row r="70" spans="1:20" s="4" customFormat="1" ht="17.25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86"/>
      <c r="J70" s="614">
        <f>J9+J67+J68+J69</f>
        <v>7064344198</v>
      </c>
      <c r="K70" s="615"/>
      <c r="L70" s="5"/>
      <c r="O70" s="1"/>
      <c r="P70" s="1"/>
      <c r="Q70" s="1"/>
      <c r="R70" s="1"/>
      <c r="S70" s="1"/>
      <c r="T70" s="1"/>
    </row>
    <row r="71" spans="1:20" s="4" customFormat="1" x14ac:dyDescent="0.25">
      <c r="E71" s="19"/>
      <c r="F71" s="19"/>
      <c r="G71" s="19"/>
      <c r="H71" s="19"/>
      <c r="I71" s="19"/>
      <c r="J71" s="19"/>
      <c r="K71" s="19"/>
      <c r="O71" s="1"/>
      <c r="P71" s="1"/>
      <c r="Q71" s="1"/>
      <c r="R71" s="1"/>
      <c r="S71" s="1"/>
      <c r="T71" s="1"/>
    </row>
    <row r="72" spans="1:20" s="4" customFormat="1" ht="14.1" customHeight="1" x14ac:dyDescent="0.25">
      <c r="E72" s="21"/>
      <c r="F72" s="22"/>
      <c r="G72" s="22"/>
      <c r="H72" s="22"/>
      <c r="I72" s="744" t="s">
        <v>228</v>
      </c>
      <c r="J72" s="744"/>
      <c r="K72" s="744"/>
      <c r="O72" s="1"/>
      <c r="P72" s="1"/>
      <c r="Q72" s="1"/>
      <c r="R72" s="1"/>
      <c r="S72" s="1"/>
      <c r="T72" s="1"/>
    </row>
    <row r="73" spans="1:20" s="4" customFormat="1" ht="14.1" customHeight="1" x14ac:dyDescent="0.25">
      <c r="E73" s="21"/>
      <c r="F73" s="22"/>
      <c r="G73" s="22"/>
      <c r="H73" s="22"/>
      <c r="I73" s="744" t="s">
        <v>216</v>
      </c>
      <c r="J73" s="744"/>
      <c r="K73" s="744"/>
      <c r="O73" s="1"/>
      <c r="P73" s="1"/>
      <c r="Q73" s="1"/>
      <c r="R73" s="1"/>
      <c r="S73" s="1"/>
      <c r="T73" s="1"/>
    </row>
    <row r="74" spans="1:20" s="4" customFormat="1" ht="14.1" customHeight="1" x14ac:dyDescent="0.25">
      <c r="E74" s="21"/>
      <c r="F74" s="23"/>
      <c r="G74" s="23"/>
      <c r="H74" s="23"/>
      <c r="I74" s="744" t="s">
        <v>195</v>
      </c>
      <c r="J74" s="744"/>
      <c r="K74" s="744"/>
      <c r="O74" s="1"/>
      <c r="P74" s="1"/>
      <c r="Q74" s="1"/>
      <c r="R74" s="1"/>
      <c r="S74" s="1"/>
      <c r="T74" s="1"/>
    </row>
    <row r="75" spans="1:20" s="4" customFormat="1" ht="14.1" customHeight="1" x14ac:dyDescent="0.25">
      <c r="E75" s="21"/>
      <c r="F75" s="23"/>
      <c r="G75" s="23"/>
      <c r="H75" s="23"/>
      <c r="I75" s="744" t="s">
        <v>194</v>
      </c>
      <c r="J75" s="744"/>
      <c r="K75" s="744"/>
      <c r="O75" s="1"/>
      <c r="P75" s="1"/>
      <c r="Q75" s="1"/>
      <c r="R75" s="1"/>
      <c r="S75" s="1"/>
      <c r="T75" s="1"/>
    </row>
    <row r="76" spans="1:20" s="4" customFormat="1" ht="14.1" customHeight="1" x14ac:dyDescent="0.25">
      <c r="E76" s="21"/>
      <c r="F76" s="23"/>
      <c r="G76" s="23"/>
      <c r="H76" s="23"/>
      <c r="I76" s="744" t="s">
        <v>193</v>
      </c>
      <c r="J76" s="744"/>
      <c r="K76" s="744"/>
      <c r="O76" s="1"/>
      <c r="P76" s="1"/>
      <c r="Q76" s="1"/>
      <c r="R76" s="1"/>
      <c r="S76" s="1"/>
      <c r="T76" s="1"/>
    </row>
    <row r="77" spans="1:20" s="4" customFormat="1" ht="14.1" customHeight="1" x14ac:dyDescent="0.25">
      <c r="E77" s="21"/>
      <c r="F77" s="23"/>
      <c r="G77" s="23"/>
      <c r="H77" s="23"/>
      <c r="I77" s="298"/>
      <c r="J77" s="298"/>
      <c r="K77" s="298"/>
      <c r="O77" s="1"/>
      <c r="P77" s="1"/>
      <c r="Q77" s="1"/>
      <c r="R77" s="1"/>
      <c r="S77" s="1"/>
      <c r="T77" s="1"/>
    </row>
    <row r="78" spans="1:20" s="4" customFormat="1" ht="14.1" customHeight="1" x14ac:dyDescent="0.25">
      <c r="E78" s="21"/>
      <c r="F78" s="23"/>
      <c r="G78" s="23"/>
      <c r="H78" s="23"/>
      <c r="I78" s="298"/>
      <c r="J78" s="298"/>
      <c r="K78" s="298"/>
      <c r="O78" s="1"/>
      <c r="P78" s="1"/>
      <c r="Q78" s="1"/>
      <c r="R78" s="1"/>
      <c r="S78" s="1"/>
      <c r="T78" s="1"/>
    </row>
    <row r="79" spans="1:20" s="4" customFormat="1" ht="14.1" customHeight="1" x14ac:dyDescent="0.25">
      <c r="E79" s="21"/>
      <c r="F79" s="23"/>
      <c r="G79" s="23"/>
      <c r="H79" s="23"/>
      <c r="I79" s="744" t="s">
        <v>200</v>
      </c>
      <c r="J79" s="744"/>
      <c r="K79" s="744"/>
      <c r="O79" s="1"/>
      <c r="P79" s="1"/>
      <c r="Q79" s="1"/>
      <c r="R79" s="1"/>
      <c r="S79" s="1"/>
      <c r="T79" s="1"/>
    </row>
    <row r="80" spans="1:20" s="4" customFormat="1" ht="14.1" customHeight="1" x14ac:dyDescent="0.25">
      <c r="E80" s="21"/>
      <c r="F80" s="21"/>
      <c r="G80" s="21"/>
      <c r="H80" s="21"/>
      <c r="I80" s="744" t="s">
        <v>202</v>
      </c>
      <c r="J80" s="744"/>
      <c r="K80" s="744"/>
      <c r="O80" s="1"/>
      <c r="P80" s="1"/>
      <c r="Q80" s="1"/>
      <c r="R80" s="1"/>
      <c r="S80" s="1"/>
      <c r="T80" s="1"/>
    </row>
  </sheetData>
  <sheetProtection selectLockedCells="1" selectUnlockedCells="1"/>
  <mergeCells count="30">
    <mergeCell ref="A6:A7"/>
    <mergeCell ref="D6:D7"/>
    <mergeCell ref="F6:F7"/>
    <mergeCell ref="H6:H7"/>
    <mergeCell ref="I6:I7"/>
    <mergeCell ref="I73:K73"/>
    <mergeCell ref="H37:I37"/>
    <mergeCell ref="H44:I44"/>
    <mergeCell ref="H45:I45"/>
    <mergeCell ref="F68:I68"/>
    <mergeCell ref="D1:K1"/>
    <mergeCell ref="D2:K2"/>
    <mergeCell ref="D3:K3"/>
    <mergeCell ref="D4:K4"/>
    <mergeCell ref="I72:K72"/>
    <mergeCell ref="F69:I69"/>
    <mergeCell ref="D70:I70"/>
    <mergeCell ref="H17:I17"/>
    <mergeCell ref="H30:I30"/>
    <mergeCell ref="H31:I31"/>
    <mergeCell ref="H36:I36"/>
    <mergeCell ref="F9:I9"/>
    <mergeCell ref="H10:I10"/>
    <mergeCell ref="H11:I11"/>
    <mergeCell ref="J6:K6"/>
    <mergeCell ref="I74:K74"/>
    <mergeCell ref="I75:K75"/>
    <mergeCell ref="I76:K76"/>
    <mergeCell ref="I79:K79"/>
    <mergeCell ref="I80:K80"/>
  </mergeCells>
  <printOptions horizontalCentered="1"/>
  <pageMargins left="0.19685039370078741" right="0.11811023622047245" top="0.35433070866141736" bottom="0.15748031496062992" header="0.31496062992125984" footer="0.31496062992125984"/>
  <pageSetup paperSize="122" scale="70" fitToWidth="2" fitToHeight="2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6395-9436-45DC-B7A2-9E5D52FDC9CC}">
  <dimension ref="A1:BI83"/>
  <sheetViews>
    <sheetView showOutlineSymbols="0" zoomScale="110" zoomScaleNormal="110" workbookViewId="0">
      <selection activeCell="O73" sqref="O73"/>
    </sheetView>
  </sheetViews>
  <sheetFormatPr defaultColWidth="8.6640625" defaultRowHeight="15.75" x14ac:dyDescent="0.25"/>
  <cols>
    <col min="1" max="1" width="9" style="4" bestFit="1" customWidth="1"/>
    <col min="2" max="2" width="10.33203125" style="4" customWidth="1"/>
    <col min="3" max="3" width="9" style="4" customWidth="1"/>
    <col min="4" max="4" width="14.5546875" style="4" customWidth="1"/>
    <col min="5" max="6" width="2.6640625" customWidth="1"/>
    <col min="7" max="7" width="0.5546875" hidden="1" customWidth="1"/>
    <col min="8" max="8" width="9.5546875" customWidth="1"/>
    <col min="9" max="9" width="43.5546875" style="18" customWidth="1"/>
    <col min="10" max="10" width="14.77734375" style="18" customWidth="1"/>
    <col min="11" max="11" width="10" style="18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x14ac:dyDescent="0.25">
      <c r="D1" s="791" t="s">
        <v>215</v>
      </c>
      <c r="E1" s="791"/>
      <c r="F1" s="791"/>
      <c r="G1" s="791"/>
      <c r="H1" s="791"/>
      <c r="I1" s="791"/>
      <c r="J1" s="791"/>
      <c r="K1" s="791"/>
    </row>
    <row r="2" spans="1:20" x14ac:dyDescent="0.25">
      <c r="D2" s="791" t="s">
        <v>192</v>
      </c>
      <c r="E2" s="791"/>
      <c r="F2" s="791"/>
      <c r="G2" s="791"/>
      <c r="H2" s="791"/>
      <c r="I2" s="791"/>
      <c r="J2" s="791"/>
      <c r="K2" s="791"/>
    </row>
    <row r="3" spans="1:20" x14ac:dyDescent="0.25">
      <c r="D3" s="791" t="s">
        <v>55</v>
      </c>
      <c r="E3" s="791"/>
      <c r="F3" s="791"/>
      <c r="G3" s="791"/>
      <c r="H3" s="791"/>
      <c r="I3" s="791"/>
      <c r="J3" s="791"/>
      <c r="K3" s="791"/>
    </row>
    <row r="4" spans="1:20" x14ac:dyDescent="0.25">
      <c r="D4" s="791" t="s">
        <v>223</v>
      </c>
      <c r="E4" s="791"/>
      <c r="F4" s="791"/>
      <c r="G4" s="791"/>
      <c r="H4" s="791"/>
      <c r="I4" s="791"/>
      <c r="J4" s="791"/>
      <c r="K4" s="791"/>
    </row>
    <row r="5" spans="1:20" ht="1.5" customHeight="1" x14ac:dyDescent="0.25">
      <c r="E5" s="21"/>
      <c r="F5" s="131"/>
      <c r="G5" s="131"/>
      <c r="H5" s="131"/>
      <c r="I5" s="131"/>
      <c r="J5" s="131"/>
      <c r="K5" s="131"/>
    </row>
    <row r="6" spans="1:20" ht="9" customHeight="1" x14ac:dyDescent="0.25">
      <c r="E6" s="21"/>
      <c r="F6" s="24"/>
      <c r="G6" s="24"/>
      <c r="H6" s="24"/>
      <c r="I6" s="131"/>
      <c r="J6" s="131"/>
      <c r="K6" s="131"/>
    </row>
    <row r="7" spans="1:20" ht="14.25" customHeight="1" x14ac:dyDescent="0.25">
      <c r="A7" s="722" t="s">
        <v>50</v>
      </c>
      <c r="B7" s="444"/>
      <c r="C7" s="445"/>
      <c r="D7" s="772" t="s">
        <v>10</v>
      </c>
      <c r="E7" s="553"/>
      <c r="F7" s="774" t="s">
        <v>159</v>
      </c>
      <c r="G7" s="554"/>
      <c r="H7" s="776" t="s">
        <v>72</v>
      </c>
      <c r="I7" s="778" t="s">
        <v>164</v>
      </c>
      <c r="J7" s="770" t="s">
        <v>197</v>
      </c>
      <c r="K7" s="771"/>
      <c r="L7" s="5"/>
    </row>
    <row r="8" spans="1:20" ht="13.5" customHeight="1" x14ac:dyDescent="0.25">
      <c r="A8" s="723"/>
      <c r="B8" s="444"/>
      <c r="C8" s="445"/>
      <c r="D8" s="773"/>
      <c r="E8" s="555"/>
      <c r="F8" s="775"/>
      <c r="G8" s="556"/>
      <c r="H8" s="777"/>
      <c r="I8" s="779"/>
      <c r="J8" s="557" t="s">
        <v>5</v>
      </c>
      <c r="K8" s="558" t="s">
        <v>8</v>
      </c>
      <c r="L8" s="5"/>
    </row>
    <row r="9" spans="1:20" s="17" customFormat="1" ht="11.25" customHeight="1" x14ac:dyDescent="0.2">
      <c r="A9" s="306"/>
      <c r="B9" s="441"/>
      <c r="C9" s="446"/>
      <c r="D9" s="491">
        <v>1</v>
      </c>
      <c r="E9" s="492">
        <v>2</v>
      </c>
      <c r="F9" s="493">
        <v>3</v>
      </c>
      <c r="G9" s="494">
        <v>2</v>
      </c>
      <c r="H9" s="493">
        <v>4</v>
      </c>
      <c r="I9" s="528">
        <v>5</v>
      </c>
      <c r="J9" s="559">
        <v>6</v>
      </c>
      <c r="K9" s="493">
        <v>7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s="17" customFormat="1" ht="15.75" customHeight="1" x14ac:dyDescent="0.2">
      <c r="A10" s="309"/>
      <c r="B10" s="441"/>
      <c r="C10" s="446"/>
      <c r="D10" s="450" t="s">
        <v>166</v>
      </c>
      <c r="E10" s="495" t="s">
        <v>7</v>
      </c>
      <c r="F10" s="764" t="s">
        <v>67</v>
      </c>
      <c r="G10" s="764"/>
      <c r="H10" s="764"/>
      <c r="I10" s="765"/>
      <c r="J10" s="567">
        <f>J11+J31+J37+J45</f>
        <v>3161538250</v>
      </c>
      <c r="K10" s="610">
        <f t="shared" ref="K10" si="0">K11+K31+K37+K45</f>
        <v>629974</v>
      </c>
      <c r="L10" s="14"/>
      <c r="M10" s="15"/>
      <c r="N10" s="15"/>
      <c r="O10" s="16"/>
      <c r="P10" s="16"/>
      <c r="Q10" s="16"/>
      <c r="R10" s="16"/>
      <c r="S10" s="16"/>
      <c r="T10" s="16"/>
    </row>
    <row r="11" spans="1:20" ht="16.899999999999999" customHeight="1" x14ac:dyDescent="0.25">
      <c r="A11" s="316"/>
      <c r="B11" s="442"/>
      <c r="C11" s="397"/>
      <c r="D11" s="450" t="s">
        <v>203</v>
      </c>
      <c r="E11" s="451"/>
      <c r="F11" s="452">
        <v>1</v>
      </c>
      <c r="G11" s="453" t="s">
        <v>9</v>
      </c>
      <c r="H11" s="766" t="s">
        <v>211</v>
      </c>
      <c r="I11" s="767"/>
      <c r="J11" s="529">
        <f>SUM(J13:J30)</f>
        <v>2188287250</v>
      </c>
      <c r="K11" s="454">
        <f t="shared" ref="K11" si="1">SUM(K13:K30)</f>
        <v>539474</v>
      </c>
      <c r="L11" s="5"/>
    </row>
    <row r="12" spans="1:20" ht="13.5" customHeight="1" x14ac:dyDescent="0.25">
      <c r="A12" s="316"/>
      <c r="B12" s="442"/>
      <c r="C12" s="397"/>
      <c r="D12" s="450"/>
      <c r="E12" s="451"/>
      <c r="F12" s="455"/>
      <c r="G12" s="456"/>
      <c r="H12" s="768" t="s">
        <v>15</v>
      </c>
      <c r="I12" s="769"/>
      <c r="J12" s="530"/>
      <c r="K12" s="568"/>
      <c r="L12" s="5"/>
    </row>
    <row r="13" spans="1:20" ht="13.5" customHeight="1" x14ac:dyDescent="0.25">
      <c r="A13" s="331">
        <v>4000</v>
      </c>
      <c r="B13" s="442"/>
      <c r="C13" s="397"/>
      <c r="D13" s="457"/>
      <c r="E13" s="458"/>
      <c r="F13" s="459"/>
      <c r="G13" s="460">
        <v>1</v>
      </c>
      <c r="H13" s="569" t="s">
        <v>73</v>
      </c>
      <c r="I13" s="461" t="s">
        <v>11</v>
      </c>
      <c r="J13" s="570">
        <f>SUM('[1]MARET 26'!AR3)</f>
        <v>1326024000</v>
      </c>
      <c r="K13" s="571">
        <f>SUM(J13/A13)</f>
        <v>331506</v>
      </c>
      <c r="L13" s="5"/>
    </row>
    <row r="14" spans="1:20" ht="14.25" customHeight="1" x14ac:dyDescent="0.25">
      <c r="A14" s="331">
        <v>3000</v>
      </c>
      <c r="B14" s="442"/>
      <c r="C14" s="397"/>
      <c r="D14" s="457"/>
      <c r="E14" s="458"/>
      <c r="F14" s="459"/>
      <c r="G14" s="460">
        <v>2</v>
      </c>
      <c r="H14" s="572" t="s">
        <v>74</v>
      </c>
      <c r="I14" s="462" t="s">
        <v>12</v>
      </c>
      <c r="J14" s="570">
        <f>SUM('[1]MARET 26'!AR4)</f>
        <v>375870000</v>
      </c>
      <c r="K14" s="571">
        <f>SUM(J14/A14)</f>
        <v>125290</v>
      </c>
      <c r="L14" s="5"/>
    </row>
    <row r="15" spans="1:20" ht="37.5" customHeight="1" x14ac:dyDescent="0.25">
      <c r="A15" s="346"/>
      <c r="B15" s="443"/>
      <c r="C15" s="447"/>
      <c r="D15" s="457"/>
      <c r="E15" s="458"/>
      <c r="F15" s="459"/>
      <c r="G15" s="460">
        <v>3</v>
      </c>
      <c r="H15" s="573" t="s">
        <v>84</v>
      </c>
      <c r="I15" s="531" t="s">
        <v>75</v>
      </c>
      <c r="J15" s="574"/>
      <c r="K15" s="575"/>
      <c r="L15" s="5"/>
    </row>
    <row r="16" spans="1:20" ht="16.899999999999999" customHeight="1" x14ac:dyDescent="0.25">
      <c r="A16" s="346">
        <v>3000</v>
      </c>
      <c r="B16" s="443"/>
      <c r="C16" s="447"/>
      <c r="D16" s="457"/>
      <c r="E16" s="458"/>
      <c r="F16" s="459"/>
      <c r="G16" s="460"/>
      <c r="H16" s="572" t="s">
        <v>76</v>
      </c>
      <c r="I16" s="462" t="s">
        <v>11</v>
      </c>
      <c r="J16" s="570">
        <f>SUM('[1]MARET 26'!AR5)</f>
        <v>0</v>
      </c>
      <c r="K16" s="571">
        <f>SUM(J16/A16)</f>
        <v>0</v>
      </c>
      <c r="L16" s="5"/>
    </row>
    <row r="17" spans="1:61" ht="16.899999999999999" customHeight="1" x14ac:dyDescent="0.25">
      <c r="A17" s="346">
        <v>2250</v>
      </c>
      <c r="B17" s="443"/>
      <c r="C17" s="447"/>
      <c r="D17" s="457"/>
      <c r="E17" s="458"/>
      <c r="F17" s="459"/>
      <c r="G17" s="460"/>
      <c r="H17" s="576" t="s">
        <v>77</v>
      </c>
      <c r="I17" s="463" t="s">
        <v>12</v>
      </c>
      <c r="J17" s="570">
        <f>SUM('[1]MARET 26'!AR6)</f>
        <v>168750</v>
      </c>
      <c r="K17" s="571">
        <f>SUM(J17/A17)</f>
        <v>75</v>
      </c>
      <c r="L17" s="5"/>
    </row>
    <row r="18" spans="1:61" s="4" customFormat="1" ht="14.25" customHeight="1" x14ac:dyDescent="0.25">
      <c r="A18" s="346"/>
      <c r="B18" s="443"/>
      <c r="C18" s="447"/>
      <c r="D18" s="457"/>
      <c r="E18" s="458"/>
      <c r="F18" s="459"/>
      <c r="G18" s="460"/>
      <c r="H18" s="787" t="s">
        <v>14</v>
      </c>
      <c r="I18" s="788"/>
      <c r="J18" s="577"/>
      <c r="K18" s="578"/>
      <c r="L18" s="5"/>
      <c r="O18" s="1"/>
      <c r="P18" s="1"/>
      <c r="Q18" s="1"/>
      <c r="R18" s="1"/>
      <c r="S18" s="1"/>
      <c r="T18" s="1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s="4" customFormat="1" ht="13.5" customHeight="1" x14ac:dyDescent="0.25">
      <c r="A19" s="346"/>
      <c r="B19" s="443"/>
      <c r="C19" s="447"/>
      <c r="D19" s="457"/>
      <c r="E19" s="458"/>
      <c r="F19" s="459"/>
      <c r="G19" s="460"/>
      <c r="H19" s="579" t="s">
        <v>78</v>
      </c>
      <c r="I19" s="464" t="s">
        <v>79</v>
      </c>
      <c r="J19" s="577"/>
      <c r="K19" s="580"/>
      <c r="L19" s="5"/>
      <c r="O19" s="1"/>
      <c r="P19" s="1"/>
      <c r="Q19" s="1"/>
      <c r="R19" s="1"/>
      <c r="S19" s="1"/>
      <c r="T19" s="1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4" customFormat="1" ht="16.899999999999999" customHeight="1" x14ac:dyDescent="0.25">
      <c r="A20" s="346">
        <v>5000</v>
      </c>
      <c r="B20" s="443"/>
      <c r="C20" s="447"/>
      <c r="D20" s="457"/>
      <c r="E20" s="458"/>
      <c r="F20" s="459"/>
      <c r="G20" s="460"/>
      <c r="H20" s="581" t="s">
        <v>80</v>
      </c>
      <c r="I20" s="532" t="s">
        <v>56</v>
      </c>
      <c r="J20" s="570">
        <f>SUM('[1]MARET 26'!AR7)</f>
        <v>0</v>
      </c>
      <c r="K20" s="571">
        <f>SUM(J20/A20)</f>
        <v>0</v>
      </c>
      <c r="L20" s="5"/>
      <c r="O20" s="1"/>
      <c r="P20" s="1"/>
      <c r="Q20" s="1"/>
      <c r="R20" s="1"/>
      <c r="S20" s="1"/>
      <c r="T20" s="1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s="4" customFormat="1" ht="16.899999999999999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72" t="s">
        <v>81</v>
      </c>
      <c r="I21" s="533" t="s">
        <v>57</v>
      </c>
      <c r="J21" s="570">
        <f>SUM('[1]MARET 26'!AR8)</f>
        <v>0</v>
      </c>
      <c r="K21" s="571">
        <f>SUM(J21/A21)</f>
        <v>0</v>
      </c>
      <c r="L21" s="5"/>
      <c r="O21" s="1"/>
      <c r="P21" s="1"/>
      <c r="Q21" s="1"/>
      <c r="R21" s="1"/>
      <c r="S21" s="1"/>
      <c r="T21" s="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4" customFormat="1" ht="16.899999999999999" customHeight="1" x14ac:dyDescent="0.25">
      <c r="A22" s="346">
        <v>7500</v>
      </c>
      <c r="B22" s="443"/>
      <c r="C22" s="447"/>
      <c r="D22" s="457"/>
      <c r="E22" s="458"/>
      <c r="F22" s="459"/>
      <c r="G22" s="460"/>
      <c r="H22" s="572" t="s">
        <v>82</v>
      </c>
      <c r="I22" s="533" t="s">
        <v>58</v>
      </c>
      <c r="J22" s="570">
        <f>SUM('[1]MARET 26'!AR9)</f>
        <v>0</v>
      </c>
      <c r="K22" s="571">
        <f>SUM(J22/A22)</f>
        <v>0</v>
      </c>
      <c r="L22" s="5"/>
      <c r="O22" s="1"/>
      <c r="P22" s="1"/>
      <c r="Q22" s="1"/>
      <c r="R22" s="1"/>
      <c r="S22" s="1"/>
      <c r="T22" s="1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4" customFormat="1" ht="16.899999999999999" customHeight="1" x14ac:dyDescent="0.25">
      <c r="A23" s="346">
        <v>2500</v>
      </c>
      <c r="B23" s="443"/>
      <c r="C23" s="447"/>
      <c r="D23" s="457"/>
      <c r="E23" s="458"/>
      <c r="F23" s="459"/>
      <c r="G23" s="460"/>
      <c r="H23" s="572" t="s">
        <v>83</v>
      </c>
      <c r="I23" s="533" t="s">
        <v>59</v>
      </c>
      <c r="J23" s="570">
        <f>SUM('[1]MARET 26'!AR10)</f>
        <v>55480000</v>
      </c>
      <c r="K23" s="571">
        <f>SUM(J23/A23)</f>
        <v>22192</v>
      </c>
      <c r="L23" s="5"/>
      <c r="O23" s="1"/>
      <c r="P23" s="1"/>
      <c r="Q23" s="1"/>
      <c r="R23" s="1"/>
      <c r="S23" s="1"/>
      <c r="T23" s="1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4" customFormat="1" ht="14.25" customHeight="1" x14ac:dyDescent="0.25">
      <c r="A24" s="346"/>
      <c r="B24" s="443"/>
      <c r="C24" s="447"/>
      <c r="D24" s="457"/>
      <c r="E24" s="458"/>
      <c r="F24" s="459"/>
      <c r="G24" s="460"/>
      <c r="H24" s="573" t="s">
        <v>85</v>
      </c>
      <c r="I24" s="465" t="s">
        <v>86</v>
      </c>
      <c r="J24" s="574"/>
      <c r="K24" s="575"/>
      <c r="L24" s="5"/>
      <c r="O24" s="1"/>
      <c r="P24" s="1"/>
      <c r="Q24" s="1"/>
      <c r="R24" s="1"/>
      <c r="S24" s="1"/>
      <c r="T24" s="1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4" customFormat="1" ht="16.899999999999999" customHeight="1" x14ac:dyDescent="0.25">
      <c r="A25" s="346">
        <v>6000</v>
      </c>
      <c r="B25" s="443"/>
      <c r="C25" s="447"/>
      <c r="D25" s="457"/>
      <c r="E25" s="458"/>
      <c r="F25" s="459"/>
      <c r="G25" s="460"/>
      <c r="H25" s="572" t="s">
        <v>87</v>
      </c>
      <c r="I25" s="462" t="s">
        <v>88</v>
      </c>
      <c r="J25" s="582">
        <f>SUM('[1]MARET 26'!$AR$11+'[1]MARET 26'!$AR$12)</f>
        <v>89352000</v>
      </c>
      <c r="K25" s="571">
        <f>SUM(J25/A25)</f>
        <v>14892</v>
      </c>
      <c r="L25" s="5"/>
      <c r="O25" s="1"/>
      <c r="P25" s="1"/>
      <c r="Q25" s="1"/>
      <c r="R25" s="1"/>
      <c r="S25" s="1"/>
      <c r="T25" s="1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4" customFormat="1" ht="16.899999999999999" customHeight="1" x14ac:dyDescent="0.25">
      <c r="A26" s="346">
        <v>7500</v>
      </c>
      <c r="B26" s="443"/>
      <c r="C26" s="447"/>
      <c r="D26" s="457"/>
      <c r="E26" s="458"/>
      <c r="F26" s="459"/>
      <c r="G26" s="460"/>
      <c r="H26" s="572" t="s">
        <v>89</v>
      </c>
      <c r="I26" s="462" t="s">
        <v>90</v>
      </c>
      <c r="J26" s="582">
        <f>SUM('[1]MARET 26'!$AR$15+'[1]MARET 26'!$AR$16)</f>
        <v>341392500</v>
      </c>
      <c r="K26" s="571">
        <f>SUM(J26/A26)</f>
        <v>45519</v>
      </c>
      <c r="L26" s="5"/>
      <c r="O26" s="1"/>
      <c r="P26" s="1"/>
      <c r="Q26" s="1"/>
      <c r="R26" s="1"/>
      <c r="S26" s="1"/>
      <c r="T26" s="1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4" customFormat="1" ht="38.25" customHeight="1" x14ac:dyDescent="0.25">
      <c r="A27" s="346"/>
      <c r="B27" s="443"/>
      <c r="C27" s="447"/>
      <c r="D27" s="457"/>
      <c r="E27" s="458"/>
      <c r="F27" s="459"/>
      <c r="G27" s="460"/>
      <c r="H27" s="573" t="s">
        <v>92</v>
      </c>
      <c r="I27" s="466" t="s">
        <v>91</v>
      </c>
      <c r="J27" s="574"/>
      <c r="K27" s="575"/>
      <c r="L27" s="5"/>
      <c r="O27" s="1"/>
      <c r="P27" s="1"/>
      <c r="Q27" s="1"/>
      <c r="R27" s="1"/>
      <c r="S27" s="1"/>
      <c r="T27" s="1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4" customFormat="1" ht="16.899999999999999" customHeight="1" x14ac:dyDescent="0.25">
      <c r="A28" s="346">
        <v>4500</v>
      </c>
      <c r="B28" s="443"/>
      <c r="C28" s="447"/>
      <c r="D28" s="457"/>
      <c r="E28" s="458"/>
      <c r="F28" s="459"/>
      <c r="G28" s="460"/>
      <c r="H28" s="572" t="s">
        <v>93</v>
      </c>
      <c r="I28" s="462" t="s">
        <v>88</v>
      </c>
      <c r="J28" s="582">
        <f>SUM('[1]MARET 26'!$AR$13+'[1]MARET 26'!$AR$14)</f>
        <v>0</v>
      </c>
      <c r="K28" s="571">
        <f>SUM(J28/A28)</f>
        <v>0</v>
      </c>
      <c r="L28" s="5"/>
      <c r="O28" s="1"/>
      <c r="P28" s="1"/>
      <c r="Q28" s="1"/>
      <c r="R28" s="1"/>
      <c r="S28" s="1"/>
      <c r="T28" s="1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4" customFormat="1" ht="16.899999999999999" customHeight="1" x14ac:dyDescent="0.25">
      <c r="A29" s="346">
        <v>5625</v>
      </c>
      <c r="B29" s="443"/>
      <c r="C29" s="447"/>
      <c r="D29" s="457"/>
      <c r="E29" s="458"/>
      <c r="F29" s="459"/>
      <c r="G29" s="460"/>
      <c r="H29" s="572" t="s">
        <v>94</v>
      </c>
      <c r="I29" s="462" t="s">
        <v>90</v>
      </c>
      <c r="J29" s="582">
        <f>SUM('[1]MARET 26'!$AR$17+'[1]MARET 26'!$AR$18)</f>
        <v>0</v>
      </c>
      <c r="K29" s="571">
        <f>SUM(J29/A29)</f>
        <v>0</v>
      </c>
      <c r="L29" s="5"/>
      <c r="O29" s="1"/>
      <c r="P29" s="1"/>
      <c r="Q29" s="1"/>
      <c r="R29" s="1"/>
      <c r="S29" s="1"/>
      <c r="T29" s="1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4" customFormat="1" ht="16.899999999999999" customHeight="1" x14ac:dyDescent="0.25">
      <c r="A30" s="346">
        <v>10000</v>
      </c>
      <c r="B30" s="443"/>
      <c r="C30" s="447"/>
      <c r="D30" s="457"/>
      <c r="E30" s="458"/>
      <c r="F30" s="459"/>
      <c r="G30" s="460"/>
      <c r="H30" s="583" t="s">
        <v>95</v>
      </c>
      <c r="I30" s="461" t="s">
        <v>16</v>
      </c>
      <c r="J30" s="582">
        <f>SUM('[1]MARET 26'!AR19)</f>
        <v>0</v>
      </c>
      <c r="K30" s="571">
        <f>SUM(J30/A30)</f>
        <v>0</v>
      </c>
      <c r="L30" s="5"/>
      <c r="O30" s="1"/>
      <c r="P30" s="1"/>
      <c r="Q30" s="1"/>
      <c r="R30" s="1"/>
      <c r="S30" s="1"/>
      <c r="T30" s="1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4" customFormat="1" ht="25.5" customHeight="1" x14ac:dyDescent="0.25">
      <c r="A31" s="331"/>
      <c r="B31" s="442"/>
      <c r="C31" s="397"/>
      <c r="D31" s="457" t="s">
        <v>210</v>
      </c>
      <c r="E31" s="458"/>
      <c r="F31" s="584">
        <v>2</v>
      </c>
      <c r="G31" s="467">
        <v>5</v>
      </c>
      <c r="H31" s="761" t="s">
        <v>212</v>
      </c>
      <c r="I31" s="762"/>
      <c r="J31" s="585">
        <f>SUM(J33:J36)</f>
        <v>594595000</v>
      </c>
      <c r="K31" s="608">
        <f t="shared" ref="K31" si="2">SUM(K33:K36)</f>
        <v>7359</v>
      </c>
      <c r="L31" s="5"/>
      <c r="O31" s="1"/>
      <c r="P31" s="1"/>
      <c r="Q31" s="1"/>
      <c r="R31" s="1"/>
      <c r="S31" s="1"/>
      <c r="T31" s="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4" customFormat="1" ht="14.25" customHeight="1" x14ac:dyDescent="0.25">
      <c r="A32" s="331"/>
      <c r="B32" s="442"/>
      <c r="C32" s="397"/>
      <c r="D32" s="457"/>
      <c r="E32" s="457"/>
      <c r="F32" s="468"/>
      <c r="G32" s="469"/>
      <c r="H32" s="763" t="s">
        <v>14</v>
      </c>
      <c r="I32" s="753"/>
      <c r="J32" s="586"/>
      <c r="K32" s="587"/>
      <c r="L32" s="5"/>
      <c r="O32" s="1"/>
      <c r="P32" s="1"/>
      <c r="Q32" s="1"/>
      <c r="R32" s="1"/>
      <c r="S32" s="1"/>
      <c r="T32" s="1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4" customFormat="1" ht="12.75" customHeight="1" x14ac:dyDescent="0.25">
      <c r="A33" s="331"/>
      <c r="B33" s="442"/>
      <c r="C33" s="397"/>
      <c r="D33" s="457"/>
      <c r="E33" s="458"/>
      <c r="F33" s="470"/>
      <c r="G33" s="471">
        <v>6</v>
      </c>
      <c r="H33" s="588" t="s">
        <v>101</v>
      </c>
      <c r="I33" s="534" t="s">
        <v>97</v>
      </c>
      <c r="J33" s="589"/>
      <c r="K33" s="587"/>
      <c r="L33" s="5"/>
      <c r="O33" s="1"/>
      <c r="P33" s="1"/>
      <c r="Q33" s="1"/>
      <c r="R33" s="1"/>
      <c r="S33" s="1"/>
      <c r="T33" s="1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ht="16.899999999999999" customHeight="1" x14ac:dyDescent="0.25">
      <c r="A34" s="331">
        <v>10000</v>
      </c>
      <c r="B34" s="442"/>
      <c r="C34" s="397"/>
      <c r="D34" s="457"/>
      <c r="E34" s="458"/>
      <c r="F34" s="461"/>
      <c r="G34" s="472">
        <v>7</v>
      </c>
      <c r="H34" s="590" t="s">
        <v>102</v>
      </c>
      <c r="I34" s="535" t="s">
        <v>98</v>
      </c>
      <c r="J34" s="570">
        <f>SUM('[1]MARET 26'!AR20)</f>
        <v>44160000</v>
      </c>
      <c r="K34" s="571">
        <f>SUM(J34/A34)</f>
        <v>4416</v>
      </c>
      <c r="L34" s="5"/>
    </row>
    <row r="35" spans="1:61" ht="16.899999999999999" customHeight="1" x14ac:dyDescent="0.25">
      <c r="A35" s="331">
        <v>15000</v>
      </c>
      <c r="B35" s="442"/>
      <c r="C35" s="397"/>
      <c r="D35" s="457"/>
      <c r="E35" s="458"/>
      <c r="F35" s="461"/>
      <c r="G35" s="472">
        <v>8</v>
      </c>
      <c r="H35" s="591" t="s">
        <v>103</v>
      </c>
      <c r="I35" s="536" t="s">
        <v>99</v>
      </c>
      <c r="J35" s="570">
        <f>SUM('[1]MARET 26'!AR21)</f>
        <v>36435000</v>
      </c>
      <c r="K35" s="571">
        <f>SUM(J35/A35)</f>
        <v>2429</v>
      </c>
      <c r="L35" s="5"/>
    </row>
    <row r="36" spans="1:61" ht="16.899999999999999" customHeight="1" x14ac:dyDescent="0.25">
      <c r="A36" s="331">
        <v>1000000</v>
      </c>
      <c r="B36" s="442"/>
      <c r="C36" s="397"/>
      <c r="D36" s="457"/>
      <c r="E36" s="458"/>
      <c r="F36" s="461"/>
      <c r="G36" s="472">
        <v>9</v>
      </c>
      <c r="H36" s="591" t="s">
        <v>104</v>
      </c>
      <c r="I36" s="536" t="s">
        <v>100</v>
      </c>
      <c r="J36" s="570">
        <f>SUM('[1]MARET 26'!AR22)</f>
        <v>514000000</v>
      </c>
      <c r="K36" s="571">
        <f>SUM(J36/A36)</f>
        <v>514</v>
      </c>
      <c r="L36" s="5"/>
    </row>
    <row r="37" spans="1:61" ht="14.25" customHeight="1" x14ac:dyDescent="0.25">
      <c r="A37" s="331"/>
      <c r="B37" s="442"/>
      <c r="C37" s="397"/>
      <c r="D37" s="457" t="s">
        <v>205</v>
      </c>
      <c r="E37" s="458"/>
      <c r="F37" s="473">
        <v>3</v>
      </c>
      <c r="G37" s="467">
        <v>5</v>
      </c>
      <c r="H37" s="761" t="s">
        <v>162</v>
      </c>
      <c r="I37" s="762"/>
      <c r="J37" s="585">
        <f>SUM(J39:J44)</f>
        <v>308766000</v>
      </c>
      <c r="K37" s="608">
        <f t="shared" ref="K37" si="3">SUM(K39:K44)</f>
        <v>77817</v>
      </c>
      <c r="L37" s="5"/>
    </row>
    <row r="38" spans="1:61" ht="15" customHeight="1" x14ac:dyDescent="0.25">
      <c r="A38" s="331"/>
      <c r="B38" s="442"/>
      <c r="C38" s="397"/>
      <c r="D38" s="457"/>
      <c r="E38" s="458"/>
      <c r="F38" s="474"/>
      <c r="G38" s="469"/>
      <c r="H38" s="752" t="s">
        <v>14</v>
      </c>
      <c r="I38" s="753"/>
      <c r="J38" s="586"/>
      <c r="K38" s="587"/>
      <c r="L38" s="5"/>
    </row>
    <row r="39" spans="1:61" ht="14.25" customHeight="1" x14ac:dyDescent="0.25">
      <c r="A39" s="331"/>
      <c r="B39" s="442"/>
      <c r="C39" s="397"/>
      <c r="D39" s="457"/>
      <c r="E39" s="458"/>
      <c r="F39" s="461"/>
      <c r="G39" s="472">
        <v>16</v>
      </c>
      <c r="H39" s="592" t="s">
        <v>112</v>
      </c>
      <c r="I39" s="470" t="s">
        <v>106</v>
      </c>
      <c r="J39" s="593"/>
      <c r="K39" s="594"/>
      <c r="L39" s="5"/>
    </row>
    <row r="40" spans="1:61" ht="15" customHeight="1" x14ac:dyDescent="0.25">
      <c r="A40" s="331">
        <v>15000</v>
      </c>
      <c r="B40" s="442"/>
      <c r="C40" s="397"/>
      <c r="D40" s="457"/>
      <c r="E40" s="458"/>
      <c r="F40" s="461"/>
      <c r="G40" s="472"/>
      <c r="H40" s="591" t="s">
        <v>113</v>
      </c>
      <c r="I40" s="536" t="s">
        <v>107</v>
      </c>
      <c r="J40" s="582">
        <f>SUM('[1]MARET 26'!AR23)</f>
        <v>4365000</v>
      </c>
      <c r="K40" s="595">
        <f>SUM(J40/A40)</f>
        <v>291</v>
      </c>
      <c r="L40" s="5"/>
    </row>
    <row r="41" spans="1:61" ht="25.5" customHeight="1" x14ac:dyDescent="0.25">
      <c r="A41" s="331">
        <v>12500</v>
      </c>
      <c r="B41" s="442"/>
      <c r="C41" s="397"/>
      <c r="D41" s="457"/>
      <c r="E41" s="458"/>
      <c r="F41" s="461"/>
      <c r="G41" s="475"/>
      <c r="H41" s="591" t="s">
        <v>114</v>
      </c>
      <c r="I41" s="537" t="s">
        <v>108</v>
      </c>
      <c r="J41" s="582">
        <f>SUM('[1]MARET 26'!AR24)</f>
        <v>2150000</v>
      </c>
      <c r="K41" s="571">
        <f>SUM(J41/A41)</f>
        <v>172</v>
      </c>
      <c r="L41" s="5"/>
    </row>
    <row r="42" spans="1:61" ht="27.75" customHeight="1" x14ac:dyDescent="0.25">
      <c r="A42" s="331">
        <v>6000</v>
      </c>
      <c r="B42" s="442"/>
      <c r="C42" s="397"/>
      <c r="D42" s="457"/>
      <c r="E42" s="458"/>
      <c r="F42" s="461"/>
      <c r="G42" s="472">
        <v>18</v>
      </c>
      <c r="H42" s="591" t="s">
        <v>115</v>
      </c>
      <c r="I42" s="538" t="s">
        <v>109</v>
      </c>
      <c r="J42" s="582">
        <f>SUM('[1]MARET 26'!AR25)</f>
        <v>143538000</v>
      </c>
      <c r="K42" s="571">
        <f>SUM(J42/A42)</f>
        <v>23923</v>
      </c>
      <c r="L42" s="5"/>
    </row>
    <row r="43" spans="1:61" ht="14.25" customHeight="1" x14ac:dyDescent="0.25">
      <c r="A43" s="331">
        <v>3000</v>
      </c>
      <c r="B43" s="442"/>
      <c r="C43" s="397"/>
      <c r="D43" s="457"/>
      <c r="E43" s="458"/>
      <c r="F43" s="461"/>
      <c r="G43" s="472">
        <v>19</v>
      </c>
      <c r="H43" s="591" t="s">
        <v>116</v>
      </c>
      <c r="I43" s="536" t="s">
        <v>110</v>
      </c>
      <c r="J43" s="582">
        <f>SUM('[1]MARET 26'!AR26)</f>
        <v>157923000</v>
      </c>
      <c r="K43" s="571">
        <f>SUM(J43/A43)</f>
        <v>52641</v>
      </c>
      <c r="L43" s="5"/>
    </row>
    <row r="44" spans="1:61" ht="13.5" customHeight="1" x14ac:dyDescent="0.25">
      <c r="A44" s="331">
        <v>1000</v>
      </c>
      <c r="B44" s="442"/>
      <c r="C44" s="397"/>
      <c r="D44" s="457"/>
      <c r="E44" s="458"/>
      <c r="F44" s="461"/>
      <c r="G44" s="472">
        <v>20</v>
      </c>
      <c r="H44" s="596" t="s">
        <v>117</v>
      </c>
      <c r="I44" s="470" t="s">
        <v>111</v>
      </c>
      <c r="J44" s="582">
        <f>SUM('[1]MARET 26'!AR27)</f>
        <v>790000</v>
      </c>
      <c r="K44" s="597">
        <f>SUM(J44/A44)</f>
        <v>790</v>
      </c>
      <c r="L44" s="5"/>
    </row>
    <row r="45" spans="1:61" ht="16.5" customHeight="1" x14ac:dyDescent="0.25">
      <c r="A45" s="316"/>
      <c r="B45" s="442"/>
      <c r="C45" s="397"/>
      <c r="D45" s="458" t="s">
        <v>206</v>
      </c>
      <c r="E45" s="605"/>
      <c r="F45" s="598">
        <v>4</v>
      </c>
      <c r="G45" s="467">
        <v>5</v>
      </c>
      <c r="H45" s="754" t="s">
        <v>213</v>
      </c>
      <c r="I45" s="754"/>
      <c r="J45" s="599">
        <f>SUM(J47:J67)</f>
        <v>69890000</v>
      </c>
      <c r="K45" s="609">
        <f t="shared" ref="K45" si="4">SUM(K47:K67)</f>
        <v>5324</v>
      </c>
      <c r="L45" s="5"/>
    </row>
    <row r="46" spans="1:61" ht="14.25" customHeight="1" x14ac:dyDescent="0.25">
      <c r="A46" s="316"/>
      <c r="B46" s="442"/>
      <c r="C46" s="397"/>
      <c r="D46" s="458"/>
      <c r="E46" s="461"/>
      <c r="F46" s="477"/>
      <c r="G46" s="478"/>
      <c r="H46" s="755" t="s">
        <v>14</v>
      </c>
      <c r="I46" s="755"/>
      <c r="J46" s="586"/>
      <c r="K46" s="587"/>
      <c r="L46" s="5"/>
    </row>
    <row r="47" spans="1:61" ht="13.5" customHeight="1" x14ac:dyDescent="0.25">
      <c r="A47" s="331"/>
      <c r="B47" s="442"/>
      <c r="C47" s="397"/>
      <c r="D47" s="458"/>
      <c r="E47" s="461"/>
      <c r="F47" s="460"/>
      <c r="G47" s="472">
        <v>36</v>
      </c>
      <c r="H47" s="588" t="s">
        <v>129</v>
      </c>
      <c r="I47" s="534" t="s">
        <v>119</v>
      </c>
      <c r="J47" s="586"/>
      <c r="K47" s="587"/>
      <c r="L47" s="5"/>
    </row>
    <row r="48" spans="1:61" ht="15" customHeight="1" x14ac:dyDescent="0.25">
      <c r="A48" s="331">
        <v>1500000</v>
      </c>
      <c r="B48" s="442"/>
      <c r="C48" s="397"/>
      <c r="D48" s="458"/>
      <c r="E48" s="461"/>
      <c r="F48" s="460"/>
      <c r="G48" s="472">
        <v>37</v>
      </c>
      <c r="H48" s="590" t="s">
        <v>130</v>
      </c>
      <c r="I48" s="539" t="s">
        <v>120</v>
      </c>
      <c r="J48" s="582">
        <f>SUM('[1]MARET 26'!AR28)</f>
        <v>0</v>
      </c>
      <c r="K48" s="600">
        <f t="shared" ref="K48:K67" si="5">SUM(J48/A48)</f>
        <v>0</v>
      </c>
      <c r="L48" s="5"/>
    </row>
    <row r="49" spans="1:61" s="2" customFormat="1" ht="15" customHeight="1" x14ac:dyDescent="0.25">
      <c r="A49" s="416">
        <v>2500000</v>
      </c>
      <c r="B49" s="448"/>
      <c r="C49" s="449"/>
      <c r="D49" s="479"/>
      <c r="E49" s="480"/>
      <c r="F49" s="481"/>
      <c r="G49" s="469">
        <v>39</v>
      </c>
      <c r="H49" s="591" t="s">
        <v>131</v>
      </c>
      <c r="I49" s="540" t="s">
        <v>121</v>
      </c>
      <c r="J49" s="582">
        <f>SUM('[1]MARET 26'!AR29)</f>
        <v>0</v>
      </c>
      <c r="K49" s="595">
        <f t="shared" si="5"/>
        <v>0</v>
      </c>
      <c r="L49" s="9"/>
      <c r="M49" s="10"/>
      <c r="N49" s="10"/>
      <c r="O49" s="11"/>
      <c r="P49" s="11"/>
      <c r="Q49" s="11"/>
      <c r="R49" s="11"/>
      <c r="S49" s="11"/>
      <c r="T49" s="11"/>
    </row>
    <row r="50" spans="1:61" s="4" customFormat="1" ht="15" customHeight="1" x14ac:dyDescent="0.25">
      <c r="A50" s="331">
        <v>500000</v>
      </c>
      <c r="B50" s="442"/>
      <c r="C50" s="397"/>
      <c r="D50" s="458"/>
      <c r="E50" s="461"/>
      <c r="F50" s="460"/>
      <c r="G50" s="472">
        <v>40</v>
      </c>
      <c r="H50" s="591" t="s">
        <v>132</v>
      </c>
      <c r="I50" s="540" t="s">
        <v>122</v>
      </c>
      <c r="J50" s="582">
        <f>SUM('[1]MARET 26'!AR30)</f>
        <v>0</v>
      </c>
      <c r="K50" s="595">
        <f t="shared" si="5"/>
        <v>0</v>
      </c>
      <c r="L50" s="5"/>
      <c r="O50" s="1"/>
      <c r="P50" s="1"/>
      <c r="Q50" s="1"/>
      <c r="R50" s="1"/>
      <c r="S50" s="1"/>
      <c r="T50" s="1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4" customFormat="1" ht="15" customHeight="1" x14ac:dyDescent="0.25">
      <c r="A51" s="331">
        <v>250000</v>
      </c>
      <c r="B51" s="442"/>
      <c r="C51" s="397"/>
      <c r="D51" s="458"/>
      <c r="E51" s="461"/>
      <c r="F51" s="460"/>
      <c r="G51" s="472">
        <v>41</v>
      </c>
      <c r="H51" s="591" t="s">
        <v>133</v>
      </c>
      <c r="I51" s="540" t="s">
        <v>123</v>
      </c>
      <c r="J51" s="582">
        <f>SUM('[1]MARET 26'!AR31)</f>
        <v>0</v>
      </c>
      <c r="K51" s="595">
        <f t="shared" si="5"/>
        <v>0</v>
      </c>
      <c r="L51" s="5"/>
      <c r="O51" s="1"/>
      <c r="P51" s="1"/>
      <c r="Q51" s="1"/>
      <c r="R51" s="1"/>
      <c r="S51" s="1"/>
      <c r="T51" s="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4" customFormat="1" ht="15" customHeight="1" x14ac:dyDescent="0.25">
      <c r="A52" s="331">
        <v>750000</v>
      </c>
      <c r="B52" s="442"/>
      <c r="C52" s="397"/>
      <c r="D52" s="482"/>
      <c r="E52" s="461"/>
      <c r="F52" s="460"/>
      <c r="G52" s="472">
        <v>42</v>
      </c>
      <c r="H52" s="591" t="s">
        <v>134</v>
      </c>
      <c r="I52" s="540" t="s">
        <v>124</v>
      </c>
      <c r="J52" s="582">
        <f>SUM('[1]MARET 26'!AR32)</f>
        <v>0</v>
      </c>
      <c r="K52" s="595">
        <f t="shared" si="5"/>
        <v>0</v>
      </c>
      <c r="L52" s="5"/>
      <c r="O52" s="1"/>
      <c r="P52" s="1"/>
      <c r="Q52" s="1"/>
      <c r="R52" s="1"/>
      <c r="S52" s="1"/>
      <c r="T52" s="1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4" customFormat="1" ht="15" customHeight="1" x14ac:dyDescent="0.25">
      <c r="A53" s="331">
        <v>1000000</v>
      </c>
      <c r="B53" s="442"/>
      <c r="C53" s="397"/>
      <c r="D53" s="482"/>
      <c r="E53" s="461"/>
      <c r="F53" s="460"/>
      <c r="G53" s="472">
        <v>43</v>
      </c>
      <c r="H53" s="591" t="s">
        <v>135</v>
      </c>
      <c r="I53" s="540" t="s">
        <v>60</v>
      </c>
      <c r="J53" s="582">
        <f>SUM('[1]MARET 26'!AR33)</f>
        <v>0</v>
      </c>
      <c r="K53" s="595">
        <f t="shared" si="5"/>
        <v>0</v>
      </c>
      <c r="L53" s="5"/>
      <c r="O53" s="1"/>
      <c r="P53" s="1"/>
      <c r="Q53" s="1"/>
      <c r="R53" s="1"/>
      <c r="S53" s="1"/>
      <c r="T53" s="1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4" customFormat="1" ht="15" customHeight="1" x14ac:dyDescent="0.25">
      <c r="A54" s="331">
        <v>250000</v>
      </c>
      <c r="B54" s="442"/>
      <c r="C54" s="397"/>
      <c r="D54" s="482"/>
      <c r="E54" s="461"/>
      <c r="F54" s="460"/>
      <c r="G54" s="472"/>
      <c r="H54" s="591" t="s">
        <v>136</v>
      </c>
      <c r="I54" s="540" t="s">
        <v>125</v>
      </c>
      <c r="J54" s="582">
        <f>SUM('[1]MARET 26'!AR34)</f>
        <v>0</v>
      </c>
      <c r="K54" s="595">
        <f t="shared" si="5"/>
        <v>0</v>
      </c>
      <c r="L54" s="5"/>
      <c r="O54" s="1"/>
      <c r="P54" s="1"/>
      <c r="Q54" s="1"/>
      <c r="R54" s="1"/>
      <c r="S54" s="1"/>
      <c r="T54" s="1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4" customFormat="1" ht="15" customHeight="1" x14ac:dyDescent="0.25">
      <c r="A55" s="331">
        <v>2000</v>
      </c>
      <c r="B55" s="442"/>
      <c r="C55" s="397"/>
      <c r="D55" s="482"/>
      <c r="E55" s="461"/>
      <c r="F55" s="460"/>
      <c r="G55" s="472"/>
      <c r="H55" s="591" t="s">
        <v>137</v>
      </c>
      <c r="I55" s="540" t="s">
        <v>126</v>
      </c>
      <c r="J55" s="582">
        <f>SUM('[1]MARET 26'!AR35)</f>
        <v>2900000</v>
      </c>
      <c r="K55" s="595">
        <f t="shared" si="5"/>
        <v>1450</v>
      </c>
      <c r="L55" s="5"/>
      <c r="O55" s="1"/>
      <c r="P55" s="1"/>
      <c r="Q55" s="1"/>
      <c r="R55" s="1"/>
      <c r="S55" s="1"/>
      <c r="T55" s="1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4" customFormat="1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91" t="s">
        <v>138</v>
      </c>
      <c r="I56" s="540" t="s">
        <v>127</v>
      </c>
      <c r="J56" s="582">
        <f>SUM('[1]MARET 26'!AR36)</f>
        <v>8700000</v>
      </c>
      <c r="K56" s="595">
        <f t="shared" si="5"/>
        <v>87</v>
      </c>
      <c r="L56" s="5"/>
      <c r="O56" s="1"/>
      <c r="P56" s="1"/>
      <c r="Q56" s="1"/>
      <c r="R56" s="1"/>
      <c r="S56" s="1"/>
      <c r="T56" s="1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4" customFormat="1" ht="15" customHeight="1" x14ac:dyDescent="0.25">
      <c r="A57" s="331">
        <v>100000</v>
      </c>
      <c r="B57" s="442"/>
      <c r="C57" s="397"/>
      <c r="D57" s="482"/>
      <c r="E57" s="461"/>
      <c r="F57" s="460"/>
      <c r="G57" s="472"/>
      <c r="H57" s="591" t="s">
        <v>139</v>
      </c>
      <c r="I57" s="540" t="s">
        <v>128</v>
      </c>
      <c r="J57" s="582">
        <f>SUM('[1]MARET 26'!AR37)</f>
        <v>31000000</v>
      </c>
      <c r="K57" s="595">
        <f t="shared" si="5"/>
        <v>310</v>
      </c>
      <c r="L57" s="5"/>
      <c r="O57" s="1"/>
      <c r="P57" s="1"/>
      <c r="Q57" s="1"/>
      <c r="R57" s="1"/>
      <c r="S57" s="1"/>
      <c r="T57" s="1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4" customFormat="1" ht="15" customHeight="1" x14ac:dyDescent="0.25">
      <c r="A58" s="331">
        <v>250000</v>
      </c>
      <c r="B58" s="442"/>
      <c r="C58" s="397"/>
      <c r="D58" s="482"/>
      <c r="E58" s="461"/>
      <c r="F58" s="460"/>
      <c r="G58" s="472">
        <v>44</v>
      </c>
      <c r="H58" s="591" t="s">
        <v>148</v>
      </c>
      <c r="I58" s="540" t="s">
        <v>158</v>
      </c>
      <c r="J58" s="582">
        <f>SUM('[1]MARET 26'!AR38)</f>
        <v>7250000</v>
      </c>
      <c r="K58" s="595">
        <f t="shared" si="5"/>
        <v>29</v>
      </c>
      <c r="L58" s="5"/>
      <c r="M58" s="12"/>
      <c r="O58" s="1"/>
      <c r="P58" s="1"/>
      <c r="Q58" s="1"/>
      <c r="R58" s="1"/>
      <c r="S58" s="1"/>
      <c r="T58" s="1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4" customFormat="1" ht="15" customHeight="1" x14ac:dyDescent="0.25">
      <c r="A59" s="331">
        <v>300000</v>
      </c>
      <c r="B59" s="442"/>
      <c r="C59" s="397"/>
      <c r="D59" s="482"/>
      <c r="E59" s="461"/>
      <c r="F59" s="460"/>
      <c r="G59" s="472"/>
      <c r="H59" s="591" t="s">
        <v>149</v>
      </c>
      <c r="I59" s="540" t="s">
        <v>163</v>
      </c>
      <c r="J59" s="582">
        <f>SUM('[1]MARET 26'!AR39)</f>
        <v>0</v>
      </c>
      <c r="K59" s="595">
        <f t="shared" si="5"/>
        <v>0</v>
      </c>
      <c r="L59" s="5"/>
      <c r="M59" s="12"/>
      <c r="O59" s="1"/>
      <c r="P59" s="1"/>
      <c r="Q59" s="1"/>
      <c r="R59" s="1"/>
      <c r="S59" s="1"/>
      <c r="T59" s="1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4" customFormat="1" ht="15" customHeight="1" x14ac:dyDescent="0.25">
      <c r="A60" s="331">
        <v>750000</v>
      </c>
      <c r="B60" s="442"/>
      <c r="C60" s="397"/>
      <c r="D60" s="482"/>
      <c r="E60" s="461"/>
      <c r="F60" s="460"/>
      <c r="G60" s="472"/>
      <c r="H60" s="591" t="s">
        <v>150</v>
      </c>
      <c r="I60" s="540" t="s">
        <v>140</v>
      </c>
      <c r="J60" s="582">
        <f>SUM('[1]MARET 26'!AR40)</f>
        <v>0</v>
      </c>
      <c r="K60" s="595">
        <f t="shared" si="5"/>
        <v>0</v>
      </c>
      <c r="L60" s="5"/>
      <c r="M60" s="12"/>
      <c r="O60" s="1"/>
      <c r="P60" s="1"/>
      <c r="Q60" s="1"/>
      <c r="R60" s="1"/>
      <c r="S60" s="1"/>
      <c r="T60" s="1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4" customFormat="1" ht="15" customHeight="1" x14ac:dyDescent="0.25">
      <c r="A61" s="331">
        <v>1000000</v>
      </c>
      <c r="B61" s="442"/>
      <c r="C61" s="397"/>
      <c r="D61" s="482"/>
      <c r="E61" s="461"/>
      <c r="F61" s="460"/>
      <c r="G61" s="472"/>
      <c r="H61" s="591" t="s">
        <v>151</v>
      </c>
      <c r="I61" s="540" t="s">
        <v>141</v>
      </c>
      <c r="J61" s="582">
        <f>SUM('[1]MARET 26'!AR41)</f>
        <v>0</v>
      </c>
      <c r="K61" s="595">
        <f t="shared" si="5"/>
        <v>0</v>
      </c>
      <c r="L61" s="5"/>
      <c r="M61" s="12"/>
      <c r="O61" s="1"/>
      <c r="P61" s="1"/>
      <c r="Q61" s="1"/>
      <c r="R61" s="1"/>
      <c r="S61" s="1"/>
      <c r="T61" s="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4" customFormat="1" ht="15" customHeight="1" x14ac:dyDescent="0.25">
      <c r="A62" s="331">
        <v>100000</v>
      </c>
      <c r="B62" s="442"/>
      <c r="C62" s="397"/>
      <c r="D62" s="482"/>
      <c r="E62" s="461"/>
      <c r="F62" s="460"/>
      <c r="G62" s="472"/>
      <c r="H62" s="591" t="s">
        <v>152</v>
      </c>
      <c r="I62" s="540" t="s">
        <v>142</v>
      </c>
      <c r="J62" s="582">
        <f>SUM('[1]MARET 26'!AR42)</f>
        <v>200000</v>
      </c>
      <c r="K62" s="595">
        <f t="shared" si="5"/>
        <v>2</v>
      </c>
      <c r="L62" s="5"/>
      <c r="M62" s="12"/>
      <c r="O62" s="1"/>
      <c r="P62" s="1"/>
      <c r="Q62" s="1"/>
      <c r="R62" s="1"/>
      <c r="S62" s="1"/>
      <c r="T62" s="1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4" customFormat="1" ht="15" customHeight="1" x14ac:dyDescent="0.25">
      <c r="A63" s="331">
        <v>15000</v>
      </c>
      <c r="B63" s="442"/>
      <c r="C63" s="397"/>
      <c r="D63" s="482"/>
      <c r="E63" s="461"/>
      <c r="F63" s="460"/>
      <c r="G63" s="472"/>
      <c r="H63" s="591" t="s">
        <v>153</v>
      </c>
      <c r="I63" s="540" t="s">
        <v>143</v>
      </c>
      <c r="J63" s="582">
        <f>SUM('[1]MARET 26'!AR43)</f>
        <v>3915000</v>
      </c>
      <c r="K63" s="595">
        <f t="shared" si="5"/>
        <v>261</v>
      </c>
      <c r="L63" s="5"/>
      <c r="M63" s="12"/>
      <c r="O63" s="1"/>
      <c r="P63" s="1"/>
      <c r="Q63" s="1"/>
      <c r="R63" s="1"/>
      <c r="S63" s="1"/>
      <c r="T63" s="1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4" customFormat="1" ht="15" customHeight="1" x14ac:dyDescent="0.25">
      <c r="A64" s="331">
        <v>5000</v>
      </c>
      <c r="B64" s="442"/>
      <c r="C64" s="397"/>
      <c r="D64" s="482"/>
      <c r="E64" s="461"/>
      <c r="F64" s="460"/>
      <c r="G64" s="472"/>
      <c r="H64" s="591" t="s">
        <v>154</v>
      </c>
      <c r="I64" s="540" t="s">
        <v>144</v>
      </c>
      <c r="J64" s="582">
        <f>SUM('[1]MARET 26'!AR44)</f>
        <v>15925000</v>
      </c>
      <c r="K64" s="595">
        <f t="shared" si="5"/>
        <v>3185</v>
      </c>
      <c r="L64" s="5"/>
      <c r="M64" s="12"/>
      <c r="O64" s="1"/>
      <c r="P64" s="1"/>
      <c r="Q64" s="1"/>
      <c r="R64" s="1"/>
      <c r="S64" s="1"/>
      <c r="T64" s="1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s="4" customFormat="1" ht="15" customHeight="1" x14ac:dyDescent="0.25">
      <c r="A65" s="331">
        <v>150000</v>
      </c>
      <c r="B65" s="442"/>
      <c r="C65" s="397"/>
      <c r="D65" s="482"/>
      <c r="E65" s="461"/>
      <c r="F65" s="460"/>
      <c r="G65" s="472"/>
      <c r="H65" s="591" t="s">
        <v>155</v>
      </c>
      <c r="I65" s="540" t="s">
        <v>145</v>
      </c>
      <c r="J65" s="582">
        <f>SUM('[1]MARET 26'!AR45)</f>
        <v>0</v>
      </c>
      <c r="K65" s="595">
        <f t="shared" si="5"/>
        <v>0</v>
      </c>
      <c r="L65" s="5"/>
      <c r="M65" s="12"/>
      <c r="O65" s="1"/>
      <c r="P65" s="1"/>
      <c r="Q65" s="1"/>
      <c r="R65" s="1"/>
      <c r="S65" s="1"/>
      <c r="T65" s="1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15" customHeight="1" x14ac:dyDescent="0.25">
      <c r="A66" s="331">
        <v>75000</v>
      </c>
      <c r="B66" s="442"/>
      <c r="C66" s="397"/>
      <c r="D66" s="482"/>
      <c r="E66" s="461"/>
      <c r="F66" s="460"/>
      <c r="G66" s="472"/>
      <c r="H66" s="591" t="s">
        <v>156</v>
      </c>
      <c r="I66" s="540" t="s">
        <v>146</v>
      </c>
      <c r="J66" s="582">
        <f>SUM('[1]MARET 26'!AR46)</f>
        <v>0</v>
      </c>
      <c r="K66" s="601">
        <f t="shared" si="5"/>
        <v>0</v>
      </c>
      <c r="L66" s="5"/>
      <c r="M66" s="12"/>
    </row>
    <row r="67" spans="1:61" ht="15" customHeight="1" x14ac:dyDescent="0.25">
      <c r="A67" s="331">
        <v>100000</v>
      </c>
      <c r="B67" s="442"/>
      <c r="C67" s="397"/>
      <c r="D67" s="482"/>
      <c r="E67" s="461"/>
      <c r="F67" s="460"/>
      <c r="G67" s="472"/>
      <c r="H67" s="583" t="s">
        <v>157</v>
      </c>
      <c r="I67" s="532" t="s">
        <v>147</v>
      </c>
      <c r="J67" s="582">
        <f>SUM('[1]MARET 26'!AR47)</f>
        <v>0</v>
      </c>
      <c r="K67" s="601">
        <f t="shared" si="5"/>
        <v>0</v>
      </c>
      <c r="L67" s="5"/>
      <c r="M67" s="12"/>
    </row>
    <row r="68" spans="1:61" s="4" customFormat="1" ht="15" customHeight="1" x14ac:dyDescent="0.25">
      <c r="A68" s="316"/>
      <c r="B68" s="442"/>
      <c r="C68" s="397"/>
      <c r="D68" s="483" t="s">
        <v>207</v>
      </c>
      <c r="E68" s="484" t="s">
        <v>13</v>
      </c>
      <c r="F68" s="485" t="s">
        <v>68</v>
      </c>
      <c r="G68" s="485" t="s">
        <v>66</v>
      </c>
      <c r="H68" s="485"/>
      <c r="I68" s="541"/>
      <c r="J68" s="602">
        <v>0</v>
      </c>
      <c r="K68" s="603"/>
      <c r="L68" s="5"/>
      <c r="O68" s="1"/>
      <c r="P68" s="1"/>
      <c r="Q68" s="1"/>
      <c r="R68" s="1"/>
      <c r="S68" s="1"/>
      <c r="T68" s="1"/>
    </row>
    <row r="69" spans="1:61" s="4" customFormat="1" ht="12.75" customHeight="1" x14ac:dyDescent="0.25">
      <c r="A69" s="316"/>
      <c r="B69" s="442"/>
      <c r="C69" s="397"/>
      <c r="D69" s="483" t="s">
        <v>208</v>
      </c>
      <c r="E69" s="484" t="s">
        <v>17</v>
      </c>
      <c r="F69" s="756" t="s">
        <v>65</v>
      </c>
      <c r="G69" s="757"/>
      <c r="H69" s="757"/>
      <c r="I69" s="758"/>
      <c r="J69" s="602">
        <f>SUM('[1]MARET 26'!$AR$54)+'[1]MARET 26'!$AR$55</f>
        <v>1763092</v>
      </c>
      <c r="K69" s="603"/>
      <c r="L69" s="5"/>
      <c r="O69" s="1"/>
      <c r="P69" s="1"/>
      <c r="Q69" s="1"/>
      <c r="R69" s="1"/>
      <c r="S69" s="1"/>
      <c r="T69" s="1"/>
    </row>
    <row r="70" spans="1:61" s="4" customFormat="1" ht="14.25" customHeight="1" x14ac:dyDescent="0.25">
      <c r="A70" s="316"/>
      <c r="B70" s="442"/>
      <c r="C70" s="397"/>
      <c r="D70" s="483" t="s">
        <v>209</v>
      </c>
      <c r="E70" s="486" t="s">
        <v>18</v>
      </c>
      <c r="F70" s="746" t="s">
        <v>64</v>
      </c>
      <c r="G70" s="747"/>
      <c r="H70" s="747"/>
      <c r="I70" s="748"/>
      <c r="J70" s="602">
        <f>SUM('[1]MARET 26'!$AR$49+'[1]MARET 26'!$AR$50+'[1]MARET 26'!$AR$51+'[1]MARET 26'!$AR$52+'[1]MARET 26'!$AR$53)+'[1]MARET 26'!$AR$56</f>
        <v>60158495</v>
      </c>
      <c r="K70" s="603"/>
      <c r="L70" s="5"/>
      <c r="O70" s="1"/>
      <c r="P70" s="1"/>
      <c r="Q70" s="1"/>
      <c r="R70" s="1"/>
      <c r="S70" s="1"/>
      <c r="T70" s="1"/>
    </row>
    <row r="71" spans="1:61" s="4" customFormat="1" ht="16.5" customHeight="1" x14ac:dyDescent="0.25">
      <c r="A71" s="436"/>
      <c r="B71" s="442"/>
      <c r="C71" s="397"/>
      <c r="D71" s="780" t="s">
        <v>165</v>
      </c>
      <c r="E71" s="750"/>
      <c r="F71" s="750"/>
      <c r="G71" s="750"/>
      <c r="H71" s="750"/>
      <c r="I71" s="786"/>
      <c r="J71" s="604">
        <f>J10+J68+J69+J70</f>
        <v>3223459837</v>
      </c>
      <c r="K71" s="604"/>
      <c r="L71" s="5"/>
      <c r="O71" s="1"/>
      <c r="P71" s="1"/>
      <c r="Q71" s="1"/>
      <c r="R71" s="1"/>
      <c r="S71" s="1"/>
      <c r="T71" s="1"/>
    </row>
    <row r="72" spans="1:61" s="4" customFormat="1" ht="12" customHeight="1" x14ac:dyDescent="0.25">
      <c r="E72" s="19"/>
      <c r="F72" s="19"/>
      <c r="G72" s="19"/>
      <c r="H72" s="19"/>
      <c r="I72" s="19"/>
      <c r="J72" s="19"/>
      <c r="K72" s="19"/>
      <c r="O72" s="1"/>
      <c r="P72" s="1"/>
      <c r="Q72" s="1"/>
      <c r="R72" s="1"/>
      <c r="S72" s="1"/>
      <c r="T72" s="1"/>
    </row>
    <row r="73" spans="1:61" s="4" customFormat="1" x14ac:dyDescent="0.25">
      <c r="E73" s="21"/>
      <c r="F73" s="22"/>
      <c r="G73" s="22"/>
      <c r="H73" s="22"/>
      <c r="I73" s="744" t="s">
        <v>224</v>
      </c>
      <c r="J73" s="744"/>
      <c r="K73" s="744"/>
      <c r="O73" s="1"/>
      <c r="P73" s="1"/>
      <c r="Q73" s="1"/>
      <c r="R73" s="1"/>
      <c r="S73" s="1"/>
      <c r="T73" s="1"/>
    </row>
    <row r="74" spans="1:61" s="4" customFormat="1" x14ac:dyDescent="0.25">
      <c r="E74" s="21"/>
      <c r="F74" s="22"/>
      <c r="G74" s="22"/>
      <c r="H74" s="22"/>
      <c r="I74" s="744" t="s">
        <v>216</v>
      </c>
      <c r="J74" s="744"/>
      <c r="K74" s="744"/>
      <c r="O74" s="1"/>
      <c r="P74" s="1"/>
      <c r="Q74" s="1"/>
      <c r="R74" s="1"/>
      <c r="S74" s="1"/>
      <c r="T74" s="1"/>
    </row>
    <row r="75" spans="1:61" s="4" customFormat="1" x14ac:dyDescent="0.25">
      <c r="E75" s="21"/>
      <c r="F75" s="23"/>
      <c r="G75" s="23"/>
      <c r="H75" s="23"/>
      <c r="I75" s="744" t="s">
        <v>195</v>
      </c>
      <c r="J75" s="744"/>
      <c r="K75" s="744"/>
      <c r="O75" s="1"/>
      <c r="P75" s="1"/>
      <c r="Q75" s="1"/>
      <c r="R75" s="1"/>
      <c r="S75" s="1"/>
      <c r="T75" s="1"/>
    </row>
    <row r="76" spans="1:61" s="4" customFormat="1" x14ac:dyDescent="0.25">
      <c r="E76" s="21"/>
      <c r="F76" s="23"/>
      <c r="G76" s="23"/>
      <c r="H76" s="23"/>
      <c r="I76" s="744" t="s">
        <v>194</v>
      </c>
      <c r="J76" s="744"/>
      <c r="K76" s="744"/>
      <c r="O76" s="1"/>
      <c r="P76" s="1"/>
      <c r="Q76" s="1"/>
      <c r="R76" s="1"/>
      <c r="S76" s="1"/>
      <c r="T76" s="1"/>
    </row>
    <row r="77" spans="1:61" s="4" customFormat="1" x14ac:dyDescent="0.25">
      <c r="E77" s="21"/>
      <c r="F77" s="23"/>
      <c r="G77" s="23"/>
      <c r="H77" s="23"/>
      <c r="I77" s="744" t="s">
        <v>193</v>
      </c>
      <c r="J77" s="744"/>
      <c r="K77" s="744"/>
      <c r="O77" s="1"/>
      <c r="P77" s="1"/>
      <c r="Q77" s="1"/>
      <c r="R77" s="1"/>
      <c r="S77" s="1"/>
      <c r="T77" s="1"/>
    </row>
    <row r="78" spans="1:61" s="4" customFormat="1" x14ac:dyDescent="0.25">
      <c r="E78" s="21"/>
      <c r="F78" s="23"/>
      <c r="G78" s="23"/>
      <c r="H78" s="23"/>
      <c r="I78" s="298"/>
      <c r="J78" s="298"/>
      <c r="K78" s="298"/>
      <c r="O78" s="1"/>
      <c r="P78" s="1"/>
      <c r="Q78" s="1"/>
      <c r="R78" s="1"/>
      <c r="S78" s="1"/>
      <c r="T78" s="1"/>
    </row>
    <row r="79" spans="1:61" s="4" customFormat="1" x14ac:dyDescent="0.25">
      <c r="E79" s="21"/>
      <c r="F79" s="23"/>
      <c r="G79" s="23"/>
      <c r="H79" s="23"/>
      <c r="I79" s="298"/>
      <c r="J79" s="298"/>
      <c r="K79" s="298"/>
      <c r="O79" s="1"/>
      <c r="P79" s="1"/>
      <c r="Q79" s="1"/>
      <c r="R79" s="1"/>
      <c r="S79" s="1"/>
      <c r="T79" s="1"/>
    </row>
    <row r="80" spans="1:61" s="4" customFormat="1" ht="15.6" customHeight="1" x14ac:dyDescent="0.25">
      <c r="E80" s="21"/>
      <c r="F80" s="23"/>
      <c r="G80" s="23"/>
      <c r="H80" s="23"/>
      <c r="I80" s="744" t="s">
        <v>200</v>
      </c>
      <c r="J80" s="744"/>
      <c r="K80" s="744"/>
      <c r="O80" s="1"/>
      <c r="P80" s="1"/>
      <c r="Q80" s="1"/>
      <c r="R80" s="1"/>
      <c r="S80" s="1"/>
      <c r="T80" s="1"/>
    </row>
    <row r="81" spans="5:61" s="4" customFormat="1" ht="15.6" customHeight="1" x14ac:dyDescent="0.25">
      <c r="E81" s="21"/>
      <c r="F81" s="21"/>
      <c r="G81" s="21"/>
      <c r="H81" s="21"/>
      <c r="I81" s="744" t="s">
        <v>202</v>
      </c>
      <c r="J81" s="744"/>
      <c r="K81" s="744"/>
      <c r="O81" s="1"/>
      <c r="P81" s="1"/>
      <c r="Q81" s="1"/>
      <c r="R81" s="1"/>
      <c r="S81" s="1"/>
      <c r="T81" s="1"/>
    </row>
    <row r="82" spans="5:61" s="4" customFormat="1" x14ac:dyDescent="0.25">
      <c r="E82"/>
      <c r="F82"/>
      <c r="G82"/>
      <c r="H82"/>
      <c r="I82" s="18"/>
      <c r="J82" s="18"/>
      <c r="K82" s="18"/>
      <c r="O82" s="1"/>
      <c r="P82" s="1"/>
      <c r="Q82" s="1"/>
      <c r="R82" s="1"/>
      <c r="S82" s="1"/>
      <c r="T82" s="1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5:61" s="4" customFormat="1" x14ac:dyDescent="0.25">
      <c r="E83"/>
      <c r="F83"/>
      <c r="G83"/>
      <c r="H83"/>
      <c r="I83" s="18"/>
      <c r="J83" s="18"/>
      <c r="K83" s="18"/>
      <c r="O83" s="1"/>
      <c r="P83" s="1"/>
      <c r="Q83" s="1"/>
      <c r="R83" s="1"/>
      <c r="S83" s="1"/>
      <c r="T83" s="1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</sheetData>
  <sheetProtection selectLockedCells="1" selectUnlockedCells="1"/>
  <mergeCells count="30">
    <mergeCell ref="I74:K74"/>
    <mergeCell ref="I75:K75"/>
    <mergeCell ref="I76:K76"/>
    <mergeCell ref="I77:K77"/>
    <mergeCell ref="I80:K80"/>
    <mergeCell ref="I81:K81"/>
    <mergeCell ref="D1:K1"/>
    <mergeCell ref="D2:K2"/>
    <mergeCell ref="D3:K3"/>
    <mergeCell ref="D4:K4"/>
    <mergeCell ref="I73:K73"/>
    <mergeCell ref="F70:I70"/>
    <mergeCell ref="D71:I71"/>
    <mergeCell ref="H38:I38"/>
    <mergeCell ref="H45:I45"/>
    <mergeCell ref="H46:I46"/>
    <mergeCell ref="F69:I69"/>
    <mergeCell ref="H18:I18"/>
    <mergeCell ref="H31:I31"/>
    <mergeCell ref="H32:I32"/>
    <mergeCell ref="H37:I37"/>
    <mergeCell ref="F10:I10"/>
    <mergeCell ref="H11:I11"/>
    <mergeCell ref="H12:I12"/>
    <mergeCell ref="J7:K7"/>
    <mergeCell ref="A7:A8"/>
    <mergeCell ref="D7:D8"/>
    <mergeCell ref="F7:F8"/>
    <mergeCell ref="H7:H8"/>
    <mergeCell ref="I7:I8"/>
  </mergeCells>
  <printOptions horizontalCentered="1"/>
  <pageMargins left="0.43307086614173229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68D9-C174-4D70-8664-7B81D982A6D1}">
  <dimension ref="A1:BI82"/>
  <sheetViews>
    <sheetView showOutlineSymbols="0" topLeftCell="B51" zoomScale="110" zoomScaleNormal="110" workbookViewId="0">
      <selection activeCell="I72" sqref="I72:K80"/>
    </sheetView>
  </sheetViews>
  <sheetFormatPr defaultColWidth="8.6640625" defaultRowHeight="15.75" x14ac:dyDescent="0.25"/>
  <cols>
    <col min="1" max="1" width="9" style="4" bestFit="1" customWidth="1"/>
    <col min="2" max="3" width="9" style="4" customWidth="1"/>
    <col min="4" max="4" width="14.44140625" style="4" customWidth="1"/>
    <col min="5" max="5" width="2.21875" customWidth="1"/>
    <col min="6" max="6" width="2.6640625" customWidth="1"/>
    <col min="7" max="7" width="0.5546875" hidden="1" customWidth="1"/>
    <col min="8" max="8" width="9.5546875" customWidth="1"/>
    <col min="9" max="9" width="43.88671875" style="18" customWidth="1"/>
    <col min="10" max="10" width="15.33203125" style="18" customWidth="1"/>
    <col min="11" max="11" width="11.5546875" style="18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x14ac:dyDescent="0.25">
      <c r="D1" s="791" t="s">
        <v>215</v>
      </c>
      <c r="E1" s="791"/>
      <c r="F1" s="791"/>
      <c r="G1" s="791"/>
      <c r="H1" s="791"/>
      <c r="I1" s="791"/>
      <c r="J1" s="791"/>
      <c r="K1" s="791"/>
    </row>
    <row r="2" spans="1:20" x14ac:dyDescent="0.25">
      <c r="D2" s="791" t="s">
        <v>192</v>
      </c>
      <c r="E2" s="791"/>
      <c r="F2" s="791"/>
      <c r="G2" s="791"/>
      <c r="H2" s="791"/>
      <c r="I2" s="791"/>
      <c r="J2" s="791"/>
      <c r="K2" s="791"/>
    </row>
    <row r="3" spans="1:20" x14ac:dyDescent="0.25">
      <c r="D3" s="791" t="s">
        <v>55</v>
      </c>
      <c r="E3" s="791"/>
      <c r="F3" s="791"/>
      <c r="G3" s="791"/>
      <c r="H3" s="791"/>
      <c r="I3" s="791"/>
      <c r="J3" s="791"/>
      <c r="K3" s="791"/>
    </row>
    <row r="4" spans="1:20" x14ac:dyDescent="0.25">
      <c r="D4" s="791" t="s">
        <v>220</v>
      </c>
      <c r="E4" s="791"/>
      <c r="F4" s="791"/>
      <c r="G4" s="791"/>
      <c r="H4" s="791"/>
      <c r="I4" s="791"/>
      <c r="J4" s="791"/>
      <c r="K4" s="791"/>
    </row>
    <row r="5" spans="1:20" ht="14.25" customHeight="1" x14ac:dyDescent="0.25">
      <c r="E5" s="21"/>
      <c r="F5" s="24"/>
      <c r="G5" s="24"/>
      <c r="H5" s="24"/>
      <c r="I5" s="131"/>
      <c r="J5" s="131"/>
      <c r="K5" s="131"/>
    </row>
    <row r="6" spans="1:20" ht="14.25" customHeight="1" x14ac:dyDescent="0.25">
      <c r="A6" s="722" t="s">
        <v>50</v>
      </c>
      <c r="B6" s="444"/>
      <c r="C6" s="445"/>
      <c r="D6" s="772" t="s">
        <v>10</v>
      </c>
      <c r="E6" s="553"/>
      <c r="F6" s="774" t="s">
        <v>159</v>
      </c>
      <c r="G6" s="554"/>
      <c r="H6" s="776" t="s">
        <v>72</v>
      </c>
      <c r="I6" s="778" t="s">
        <v>164</v>
      </c>
      <c r="J6" s="770" t="s">
        <v>197</v>
      </c>
      <c r="K6" s="771"/>
      <c r="L6" s="5"/>
    </row>
    <row r="7" spans="1:20" ht="12" customHeight="1" x14ac:dyDescent="0.25">
      <c r="A7" s="723"/>
      <c r="B7" s="444"/>
      <c r="C7" s="445"/>
      <c r="D7" s="773"/>
      <c r="E7" s="555"/>
      <c r="F7" s="775"/>
      <c r="G7" s="556"/>
      <c r="H7" s="777"/>
      <c r="I7" s="779"/>
      <c r="J7" s="557" t="s">
        <v>5</v>
      </c>
      <c r="K7" s="558" t="s">
        <v>8</v>
      </c>
      <c r="L7" s="5"/>
    </row>
    <row r="8" spans="1:20" s="17" customFormat="1" ht="13.5" customHeight="1" x14ac:dyDescent="0.2">
      <c r="A8" s="306"/>
      <c r="B8" s="441"/>
      <c r="C8" s="446"/>
      <c r="D8" s="491">
        <v>1</v>
      </c>
      <c r="E8" s="492">
        <v>2</v>
      </c>
      <c r="F8" s="493">
        <v>3</v>
      </c>
      <c r="G8" s="494">
        <v>2</v>
      </c>
      <c r="H8" s="493">
        <v>4</v>
      </c>
      <c r="I8" s="528">
        <v>5</v>
      </c>
      <c r="J8" s="559">
        <v>6</v>
      </c>
      <c r="K8" s="493">
        <v>7</v>
      </c>
      <c r="L8" s="14"/>
      <c r="M8" s="15"/>
      <c r="N8" s="15"/>
      <c r="O8" s="16"/>
      <c r="P8" s="16"/>
      <c r="Q8" s="16"/>
      <c r="R8" s="16"/>
      <c r="S8" s="16"/>
      <c r="T8" s="16"/>
    </row>
    <row r="9" spans="1:20" s="17" customFormat="1" ht="15" customHeight="1" x14ac:dyDescent="0.2">
      <c r="A9" s="309"/>
      <c r="B9" s="441"/>
      <c r="C9" s="446"/>
      <c r="D9" s="450" t="s">
        <v>166</v>
      </c>
      <c r="E9" s="495" t="s">
        <v>7</v>
      </c>
      <c r="F9" s="764" t="s">
        <v>67</v>
      </c>
      <c r="G9" s="764"/>
      <c r="H9" s="764"/>
      <c r="I9" s="765"/>
      <c r="J9" s="560">
        <f>J10+J30+J36+J44</f>
        <v>992717500</v>
      </c>
      <c r="K9" s="566">
        <f t="shared" ref="K9" si="0">K10+K30+K36+K44</f>
        <v>203402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ht="14.25" customHeight="1" x14ac:dyDescent="0.25">
      <c r="A10" s="316"/>
      <c r="B10" s="442"/>
      <c r="C10" s="397"/>
      <c r="D10" s="450" t="s">
        <v>203</v>
      </c>
      <c r="E10" s="451"/>
      <c r="F10" s="452">
        <v>1</v>
      </c>
      <c r="G10" s="453" t="s">
        <v>9</v>
      </c>
      <c r="H10" s="766" t="s">
        <v>211</v>
      </c>
      <c r="I10" s="767"/>
      <c r="J10" s="529">
        <f>SUM(J12:J29)</f>
        <v>701860000</v>
      </c>
      <c r="K10" s="454">
        <f t="shared" ref="K10" si="1">SUM(K12:K29)</f>
        <v>169823</v>
      </c>
      <c r="L10" s="5"/>
    </row>
    <row r="11" spans="1:20" ht="14.25" customHeight="1" x14ac:dyDescent="0.25">
      <c r="A11" s="316"/>
      <c r="B11" s="442"/>
      <c r="C11" s="397"/>
      <c r="D11" s="450"/>
      <c r="E11" s="451"/>
      <c r="F11" s="455"/>
      <c r="G11" s="456"/>
      <c r="H11" s="768" t="s">
        <v>15</v>
      </c>
      <c r="I11" s="769"/>
      <c r="J11" s="530"/>
      <c r="K11" s="544"/>
      <c r="L11" s="5"/>
    </row>
    <row r="12" spans="1:20" ht="16.899999999999999" customHeight="1" x14ac:dyDescent="0.25">
      <c r="A12" s="331">
        <v>4000</v>
      </c>
      <c r="B12" s="442"/>
      <c r="C12" s="397"/>
      <c r="D12" s="457"/>
      <c r="E12" s="458"/>
      <c r="F12" s="459"/>
      <c r="G12" s="460">
        <v>1</v>
      </c>
      <c r="H12" s="503" t="s">
        <v>73</v>
      </c>
      <c r="I12" s="461" t="s">
        <v>11</v>
      </c>
      <c r="J12" s="545">
        <f>SUM('[1]FEBRUARI 26'!AN3)</f>
        <v>434096000</v>
      </c>
      <c r="K12" s="504">
        <f>SUM(J12/A12)</f>
        <v>108524</v>
      </c>
      <c r="L12" s="5"/>
    </row>
    <row r="13" spans="1:20" ht="16.899999999999999" customHeight="1" x14ac:dyDescent="0.25">
      <c r="A13" s="331">
        <v>3000</v>
      </c>
      <c r="B13" s="442"/>
      <c r="C13" s="397"/>
      <c r="D13" s="457"/>
      <c r="E13" s="458"/>
      <c r="F13" s="459"/>
      <c r="G13" s="460">
        <v>2</v>
      </c>
      <c r="H13" s="505" t="s">
        <v>74</v>
      </c>
      <c r="I13" s="462" t="s">
        <v>12</v>
      </c>
      <c r="J13" s="545">
        <f>SUM('[1]FEBRUARI 26'!AN4)</f>
        <v>85413000</v>
      </c>
      <c r="K13" s="504">
        <f>SUM(J13/A13)</f>
        <v>28471</v>
      </c>
      <c r="L13" s="5"/>
    </row>
    <row r="14" spans="1:20" ht="39.75" customHeight="1" x14ac:dyDescent="0.25">
      <c r="A14" s="346"/>
      <c r="B14" s="443"/>
      <c r="C14" s="447"/>
      <c r="D14" s="457"/>
      <c r="E14" s="458"/>
      <c r="F14" s="459"/>
      <c r="G14" s="460">
        <v>3</v>
      </c>
      <c r="H14" s="506" t="s">
        <v>84</v>
      </c>
      <c r="I14" s="531" t="s">
        <v>75</v>
      </c>
      <c r="J14" s="546"/>
      <c r="K14" s="507"/>
      <c r="L14" s="5"/>
    </row>
    <row r="15" spans="1:20" ht="16.899999999999999" customHeight="1" x14ac:dyDescent="0.25">
      <c r="A15" s="346">
        <v>3000</v>
      </c>
      <c r="B15" s="443"/>
      <c r="C15" s="447"/>
      <c r="D15" s="457"/>
      <c r="E15" s="458"/>
      <c r="F15" s="459"/>
      <c r="G15" s="460"/>
      <c r="H15" s="505" t="s">
        <v>76</v>
      </c>
      <c r="I15" s="462" t="s">
        <v>11</v>
      </c>
      <c r="J15" s="545">
        <f>SUM('[1]FEBRUARI 26'!AN5)</f>
        <v>2898000</v>
      </c>
      <c r="K15" s="561">
        <f>SUM(J15/A15)</f>
        <v>966</v>
      </c>
      <c r="L15" s="5"/>
    </row>
    <row r="16" spans="1:20" ht="16.899999999999999" customHeight="1" x14ac:dyDescent="0.25">
      <c r="A16" s="346">
        <v>2250</v>
      </c>
      <c r="B16" s="443"/>
      <c r="C16" s="447"/>
      <c r="D16" s="457"/>
      <c r="E16" s="458"/>
      <c r="F16" s="459"/>
      <c r="G16" s="460"/>
      <c r="H16" s="508" t="s">
        <v>77</v>
      </c>
      <c r="I16" s="463" t="s">
        <v>12</v>
      </c>
      <c r="J16" s="545">
        <f>SUM('[1]FEBRUARI 26'!AN6)</f>
        <v>2601000</v>
      </c>
      <c r="K16" s="561">
        <f>SUM(J16/A16)</f>
        <v>1156</v>
      </c>
      <c r="L16" s="5"/>
    </row>
    <row r="17" spans="1:61" s="4" customFormat="1" ht="14.25" customHeight="1" x14ac:dyDescent="0.25">
      <c r="A17" s="346"/>
      <c r="B17" s="443"/>
      <c r="C17" s="447"/>
      <c r="D17" s="457"/>
      <c r="E17" s="458"/>
      <c r="F17" s="459"/>
      <c r="G17" s="460"/>
      <c r="H17" s="759" t="s">
        <v>14</v>
      </c>
      <c r="I17" s="760"/>
      <c r="J17" s="547"/>
      <c r="K17" s="509"/>
      <c r="L17" s="5"/>
      <c r="O17" s="1"/>
      <c r="P17" s="1"/>
      <c r="Q17" s="1"/>
      <c r="R17" s="1"/>
      <c r="S17" s="1"/>
      <c r="T17" s="1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s="4" customFormat="1" ht="13.5" customHeight="1" x14ac:dyDescent="0.25">
      <c r="A18" s="346"/>
      <c r="B18" s="443"/>
      <c r="C18" s="447"/>
      <c r="D18" s="457"/>
      <c r="E18" s="458"/>
      <c r="F18" s="459"/>
      <c r="G18" s="460"/>
      <c r="H18" s="510" t="s">
        <v>78</v>
      </c>
      <c r="I18" s="464" t="s">
        <v>79</v>
      </c>
      <c r="J18" s="547"/>
      <c r="K18" s="511"/>
      <c r="L18" s="5"/>
      <c r="O18" s="1"/>
      <c r="P18" s="1"/>
      <c r="Q18" s="1"/>
      <c r="R18" s="1"/>
      <c r="S18" s="1"/>
      <c r="T18" s="1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s="4" customFormat="1" ht="16.899999999999999" customHeight="1" x14ac:dyDescent="0.25">
      <c r="A19" s="346">
        <v>5000</v>
      </c>
      <c r="B19" s="443"/>
      <c r="C19" s="447"/>
      <c r="D19" s="457"/>
      <c r="E19" s="458"/>
      <c r="F19" s="459"/>
      <c r="G19" s="460"/>
      <c r="H19" s="512" t="s">
        <v>80</v>
      </c>
      <c r="I19" s="532" t="s">
        <v>56</v>
      </c>
      <c r="J19" s="545">
        <f>SUM('[1]FEBRUARI 26'!AN7)</f>
        <v>0</v>
      </c>
      <c r="K19" s="504">
        <f>SUM(J19/A19)</f>
        <v>0</v>
      </c>
      <c r="L19" s="5"/>
      <c r="O19" s="1"/>
      <c r="P19" s="1"/>
      <c r="Q19" s="1"/>
      <c r="R19" s="1"/>
      <c r="S19" s="1"/>
      <c r="T19" s="1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4" customFormat="1" ht="13.5" customHeight="1" x14ac:dyDescent="0.25">
      <c r="A20" s="346">
        <v>7500</v>
      </c>
      <c r="B20" s="443"/>
      <c r="C20" s="447"/>
      <c r="D20" s="457"/>
      <c r="E20" s="458"/>
      <c r="F20" s="459"/>
      <c r="G20" s="460"/>
      <c r="H20" s="505" t="s">
        <v>81</v>
      </c>
      <c r="I20" s="533" t="s">
        <v>57</v>
      </c>
      <c r="J20" s="545">
        <f>SUM('[1]FEBRUARI 26'!AN8)</f>
        <v>0</v>
      </c>
      <c r="K20" s="504">
        <f>SUM(J20/A20)</f>
        <v>0</v>
      </c>
      <c r="L20" s="5"/>
      <c r="O20" s="1"/>
      <c r="P20" s="1"/>
      <c r="Q20" s="1"/>
      <c r="R20" s="1"/>
      <c r="S20" s="1"/>
      <c r="T20" s="1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s="4" customFormat="1" ht="14.25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05" t="s">
        <v>82</v>
      </c>
      <c r="I21" s="533" t="s">
        <v>58</v>
      </c>
      <c r="J21" s="545">
        <f>SUM('[1]FEBRUARI 26'!AN9)</f>
        <v>0</v>
      </c>
      <c r="K21" s="504">
        <f>SUM(J21/A21)</f>
        <v>0</v>
      </c>
      <c r="L21" s="5"/>
      <c r="O21" s="1"/>
      <c r="P21" s="1"/>
      <c r="Q21" s="1"/>
      <c r="R21" s="1"/>
      <c r="S21" s="1"/>
      <c r="T21" s="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4" customFormat="1" ht="16.899999999999999" customHeight="1" x14ac:dyDescent="0.25">
      <c r="A22" s="346">
        <v>2500</v>
      </c>
      <c r="B22" s="443"/>
      <c r="C22" s="447"/>
      <c r="D22" s="457"/>
      <c r="E22" s="458"/>
      <c r="F22" s="459"/>
      <c r="G22" s="460"/>
      <c r="H22" s="505" t="s">
        <v>83</v>
      </c>
      <c r="I22" s="533" t="s">
        <v>59</v>
      </c>
      <c r="J22" s="545">
        <f>SUM('[1]FEBRUARI 26'!AN10)</f>
        <v>22917500</v>
      </c>
      <c r="K22" s="504">
        <f>SUM(J22/A22)</f>
        <v>9167</v>
      </c>
      <c r="L22" s="5"/>
      <c r="O22" s="1"/>
      <c r="P22" s="1"/>
      <c r="Q22" s="1"/>
      <c r="R22" s="1"/>
      <c r="S22" s="1"/>
      <c r="T22" s="1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4" customFormat="1" ht="13.5" customHeight="1" x14ac:dyDescent="0.25">
      <c r="A23" s="346"/>
      <c r="B23" s="443"/>
      <c r="C23" s="447"/>
      <c r="D23" s="457"/>
      <c r="E23" s="458"/>
      <c r="F23" s="459"/>
      <c r="G23" s="460"/>
      <c r="H23" s="506" t="s">
        <v>85</v>
      </c>
      <c r="I23" s="465" t="s">
        <v>86</v>
      </c>
      <c r="J23" s="546"/>
      <c r="K23" s="507"/>
      <c r="L23" s="5"/>
      <c r="O23" s="1"/>
      <c r="P23" s="1"/>
      <c r="Q23" s="1"/>
      <c r="R23" s="1"/>
      <c r="S23" s="1"/>
      <c r="T23" s="1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4" customFormat="1" ht="16.899999999999999" customHeight="1" x14ac:dyDescent="0.25">
      <c r="A24" s="346">
        <v>6000</v>
      </c>
      <c r="B24" s="443"/>
      <c r="C24" s="447"/>
      <c r="D24" s="457"/>
      <c r="E24" s="458"/>
      <c r="F24" s="459"/>
      <c r="G24" s="460"/>
      <c r="H24" s="505" t="s">
        <v>87</v>
      </c>
      <c r="I24" s="462" t="s">
        <v>88</v>
      </c>
      <c r="J24" s="548">
        <f>SUM('[1]FEBRUARI 26'!$AN$11+'[1]FEBRUARI 26'!$AN$12)</f>
        <v>28416000</v>
      </c>
      <c r="K24" s="561">
        <f>SUM(J24/A24)</f>
        <v>4736</v>
      </c>
      <c r="L24" s="5"/>
      <c r="O24" s="1"/>
      <c r="P24" s="1"/>
      <c r="Q24" s="1"/>
      <c r="R24" s="1"/>
      <c r="S24" s="1"/>
      <c r="T24" s="1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4" customFormat="1" ht="16.899999999999999" customHeight="1" x14ac:dyDescent="0.25">
      <c r="A25" s="346">
        <v>7500</v>
      </c>
      <c r="B25" s="443"/>
      <c r="C25" s="447"/>
      <c r="D25" s="457"/>
      <c r="E25" s="458"/>
      <c r="F25" s="459"/>
      <c r="G25" s="460"/>
      <c r="H25" s="505" t="s">
        <v>89</v>
      </c>
      <c r="I25" s="462" t="s">
        <v>90</v>
      </c>
      <c r="J25" s="548">
        <f>SUM('[1]FEBRUARI 26'!$AN$15+'[1]FEBRUARI 26'!$AN$16)</f>
        <v>124762500</v>
      </c>
      <c r="K25" s="561">
        <f>SUM(J25/A25)</f>
        <v>16635</v>
      </c>
      <c r="L25" s="5"/>
      <c r="O25" s="1"/>
      <c r="P25" s="1"/>
      <c r="Q25" s="1"/>
      <c r="R25" s="1"/>
      <c r="S25" s="1"/>
      <c r="T25" s="1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4" customFormat="1" ht="40.5" customHeight="1" x14ac:dyDescent="0.25">
      <c r="A26" s="346"/>
      <c r="B26" s="443"/>
      <c r="C26" s="447"/>
      <c r="D26" s="457"/>
      <c r="E26" s="458"/>
      <c r="F26" s="459"/>
      <c r="G26" s="460"/>
      <c r="H26" s="506" t="s">
        <v>92</v>
      </c>
      <c r="I26" s="466" t="s">
        <v>91</v>
      </c>
      <c r="J26" s="546"/>
      <c r="K26" s="507"/>
      <c r="L26" s="5"/>
      <c r="O26" s="1"/>
      <c r="P26" s="1"/>
      <c r="Q26" s="1"/>
      <c r="R26" s="1"/>
      <c r="S26" s="1"/>
      <c r="T26" s="1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4" customFormat="1" ht="16.899999999999999" customHeight="1" x14ac:dyDescent="0.25">
      <c r="A27" s="346">
        <v>4500</v>
      </c>
      <c r="B27" s="443"/>
      <c r="C27" s="447"/>
      <c r="D27" s="457"/>
      <c r="E27" s="458"/>
      <c r="F27" s="459"/>
      <c r="G27" s="460"/>
      <c r="H27" s="505" t="s">
        <v>93</v>
      </c>
      <c r="I27" s="462" t="s">
        <v>88</v>
      </c>
      <c r="J27" s="548">
        <f>SUM('[1]FEBRUARI 26'!$AN$13+'[1]FEBRUARI 26'!$AN$14)</f>
        <v>756000</v>
      </c>
      <c r="K27" s="561">
        <f>SUM(J27/A27)</f>
        <v>168</v>
      </c>
      <c r="L27" s="5"/>
      <c r="O27" s="1"/>
      <c r="P27" s="1"/>
      <c r="Q27" s="1"/>
      <c r="R27" s="1"/>
      <c r="S27" s="1"/>
      <c r="T27" s="1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4" customFormat="1" ht="16.899999999999999" customHeight="1" x14ac:dyDescent="0.25">
      <c r="A28" s="346">
        <v>5625</v>
      </c>
      <c r="B28" s="443"/>
      <c r="C28" s="447"/>
      <c r="D28" s="457"/>
      <c r="E28" s="458"/>
      <c r="F28" s="459"/>
      <c r="G28" s="460"/>
      <c r="H28" s="505" t="s">
        <v>94</v>
      </c>
      <c r="I28" s="462" t="s">
        <v>90</v>
      </c>
      <c r="J28" s="548">
        <f>SUM('[1]FEBRUARI 26'!$AN$17+'[1]FEBRUARI 26'!$AN$18)</f>
        <v>0</v>
      </c>
      <c r="K28" s="561">
        <f>SUM(J28/A28)</f>
        <v>0</v>
      </c>
      <c r="L28" s="5"/>
      <c r="O28" s="1"/>
      <c r="P28" s="1"/>
      <c r="Q28" s="1"/>
      <c r="R28" s="1"/>
      <c r="S28" s="1"/>
      <c r="T28" s="1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4" customFormat="1" ht="16.899999999999999" customHeight="1" x14ac:dyDescent="0.25">
      <c r="A29" s="346">
        <v>10000</v>
      </c>
      <c r="B29" s="443"/>
      <c r="C29" s="447"/>
      <c r="D29" s="457"/>
      <c r="E29" s="458"/>
      <c r="F29" s="459"/>
      <c r="G29" s="460"/>
      <c r="H29" s="513" t="s">
        <v>95</v>
      </c>
      <c r="I29" s="461" t="s">
        <v>16</v>
      </c>
      <c r="J29" s="545">
        <v>0</v>
      </c>
      <c r="K29" s="561">
        <f>SUM(J29/A29)</f>
        <v>0</v>
      </c>
      <c r="L29" s="5"/>
      <c r="O29" s="1"/>
      <c r="P29" s="1"/>
      <c r="Q29" s="1"/>
      <c r="R29" s="1"/>
      <c r="S29" s="1"/>
      <c r="T29" s="1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4" customFormat="1" ht="26.25" customHeight="1" x14ac:dyDescent="0.25">
      <c r="A30" s="331"/>
      <c r="B30" s="442"/>
      <c r="C30" s="397"/>
      <c r="D30" s="457" t="s">
        <v>210</v>
      </c>
      <c r="E30" s="458"/>
      <c r="F30" s="514">
        <v>2</v>
      </c>
      <c r="G30" s="467">
        <v>5</v>
      </c>
      <c r="H30" s="761" t="s">
        <v>212</v>
      </c>
      <c r="I30" s="762"/>
      <c r="J30" s="549">
        <f>SUM(J32:J35)</f>
        <v>141645000</v>
      </c>
      <c r="K30" s="524">
        <f t="shared" ref="K30" si="2">SUM(K32:K35)</f>
        <v>2995</v>
      </c>
      <c r="L30" s="5"/>
      <c r="O30" s="1"/>
      <c r="P30" s="1"/>
      <c r="Q30" s="1"/>
      <c r="R30" s="1"/>
      <c r="S30" s="1"/>
      <c r="T30" s="1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4" customFormat="1" ht="15" customHeight="1" x14ac:dyDescent="0.25">
      <c r="A31" s="331"/>
      <c r="B31" s="442"/>
      <c r="C31" s="397"/>
      <c r="D31" s="457"/>
      <c r="E31" s="457"/>
      <c r="F31" s="468"/>
      <c r="G31" s="469"/>
      <c r="H31" s="763" t="s">
        <v>14</v>
      </c>
      <c r="I31" s="753"/>
      <c r="J31" s="550"/>
      <c r="K31" s="515"/>
      <c r="L31" s="5"/>
      <c r="O31" s="1"/>
      <c r="P31" s="1"/>
      <c r="Q31" s="1"/>
      <c r="R31" s="1"/>
      <c r="S31" s="1"/>
      <c r="T31" s="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4" customFormat="1" ht="13.5" customHeight="1" x14ac:dyDescent="0.25">
      <c r="A32" s="331"/>
      <c r="B32" s="442"/>
      <c r="C32" s="397"/>
      <c r="D32" s="457"/>
      <c r="E32" s="458"/>
      <c r="F32" s="470"/>
      <c r="G32" s="471">
        <v>6</v>
      </c>
      <c r="H32" s="516" t="s">
        <v>101</v>
      </c>
      <c r="I32" s="534" t="s">
        <v>97</v>
      </c>
      <c r="J32" s="526"/>
      <c r="K32" s="515"/>
      <c r="L32" s="5"/>
      <c r="O32" s="1"/>
      <c r="P32" s="1"/>
      <c r="Q32" s="1"/>
      <c r="R32" s="1"/>
      <c r="S32" s="1"/>
      <c r="T32" s="1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20" ht="16.899999999999999" customHeight="1" x14ac:dyDescent="0.25">
      <c r="A33" s="331">
        <v>10000</v>
      </c>
      <c r="B33" s="442"/>
      <c r="C33" s="397"/>
      <c r="D33" s="457"/>
      <c r="E33" s="458"/>
      <c r="F33" s="461"/>
      <c r="G33" s="472">
        <v>7</v>
      </c>
      <c r="H33" s="517" t="s">
        <v>102</v>
      </c>
      <c r="I33" s="535" t="s">
        <v>98</v>
      </c>
      <c r="J33" s="545">
        <f>SUM('[1]FEBRUARI 26'!AN20)</f>
        <v>15380000</v>
      </c>
      <c r="K33" s="504">
        <f>SUM(J33/A33)</f>
        <v>1538</v>
      </c>
      <c r="L33" s="5"/>
    </row>
    <row r="34" spans="1:20" ht="16.899999999999999" customHeight="1" x14ac:dyDescent="0.25">
      <c r="A34" s="331">
        <v>15000</v>
      </c>
      <c r="B34" s="442"/>
      <c r="C34" s="397"/>
      <c r="D34" s="457"/>
      <c r="E34" s="458"/>
      <c r="F34" s="461"/>
      <c r="G34" s="472">
        <v>8</v>
      </c>
      <c r="H34" s="518" t="s">
        <v>103</v>
      </c>
      <c r="I34" s="536" t="s">
        <v>99</v>
      </c>
      <c r="J34" s="545">
        <f>SUM('[1]FEBRUARI 26'!AN21)</f>
        <v>20265000</v>
      </c>
      <c r="K34" s="504">
        <f>SUM(J34/A34)</f>
        <v>1351</v>
      </c>
      <c r="L34" s="5"/>
    </row>
    <row r="35" spans="1:20" ht="16.899999999999999" customHeight="1" x14ac:dyDescent="0.25">
      <c r="A35" s="331">
        <v>1000000</v>
      </c>
      <c r="B35" s="442"/>
      <c r="C35" s="397"/>
      <c r="D35" s="457"/>
      <c r="E35" s="458"/>
      <c r="F35" s="461"/>
      <c r="G35" s="472">
        <v>9</v>
      </c>
      <c r="H35" s="518" t="s">
        <v>104</v>
      </c>
      <c r="I35" s="536" t="s">
        <v>100</v>
      </c>
      <c r="J35" s="545">
        <f>SUM('[1]FEBRUARI 26'!AN22)</f>
        <v>106000000</v>
      </c>
      <c r="K35" s="504">
        <f>SUM(J35/A35)</f>
        <v>106</v>
      </c>
      <c r="L35" s="5"/>
    </row>
    <row r="36" spans="1:20" ht="13.5" customHeight="1" x14ac:dyDescent="0.25">
      <c r="A36" s="331"/>
      <c r="B36" s="442"/>
      <c r="C36" s="397"/>
      <c r="D36" s="457" t="s">
        <v>205</v>
      </c>
      <c r="E36" s="458"/>
      <c r="F36" s="473">
        <v>3</v>
      </c>
      <c r="G36" s="467">
        <v>5</v>
      </c>
      <c r="H36" s="761" t="s">
        <v>162</v>
      </c>
      <c r="I36" s="762"/>
      <c r="J36" s="549">
        <f>SUM(J38:J43)</f>
        <v>121077500</v>
      </c>
      <c r="K36" s="524">
        <f t="shared" ref="K36" si="3">SUM(K38:K43)</f>
        <v>28984</v>
      </c>
      <c r="L36" s="5"/>
    </row>
    <row r="37" spans="1:20" ht="14.25" customHeight="1" x14ac:dyDescent="0.25">
      <c r="A37" s="331"/>
      <c r="B37" s="442"/>
      <c r="C37" s="397"/>
      <c r="D37" s="457"/>
      <c r="E37" s="458"/>
      <c r="F37" s="474"/>
      <c r="G37" s="469"/>
      <c r="H37" s="752" t="s">
        <v>14</v>
      </c>
      <c r="I37" s="753"/>
      <c r="J37" s="550"/>
      <c r="K37" s="515"/>
      <c r="L37" s="5"/>
    </row>
    <row r="38" spans="1:20" ht="16.899999999999999" customHeight="1" x14ac:dyDescent="0.25">
      <c r="A38" s="331"/>
      <c r="B38" s="442"/>
      <c r="C38" s="397"/>
      <c r="D38" s="457"/>
      <c r="E38" s="458"/>
      <c r="F38" s="461"/>
      <c r="G38" s="472">
        <v>16</v>
      </c>
      <c r="H38" s="519" t="s">
        <v>112</v>
      </c>
      <c r="I38" s="470" t="s">
        <v>106</v>
      </c>
      <c r="J38" s="562"/>
      <c r="K38" s="563"/>
      <c r="L38" s="5"/>
    </row>
    <row r="39" spans="1:20" ht="16.899999999999999" customHeight="1" x14ac:dyDescent="0.25">
      <c r="A39" s="331">
        <v>15000</v>
      </c>
      <c r="B39" s="442"/>
      <c r="C39" s="397"/>
      <c r="D39" s="457"/>
      <c r="E39" s="458"/>
      <c r="F39" s="461"/>
      <c r="G39" s="472"/>
      <c r="H39" s="518" t="s">
        <v>113</v>
      </c>
      <c r="I39" s="536" t="s">
        <v>107</v>
      </c>
      <c r="J39" s="548">
        <f>SUM('[1]FEBRUARI 26'!AN23)</f>
        <v>4050000</v>
      </c>
      <c r="K39" s="564">
        <f>SUM(J39/A39)</f>
        <v>270</v>
      </c>
      <c r="L39" s="5"/>
    </row>
    <row r="40" spans="1:20" ht="27.75" customHeight="1" x14ac:dyDescent="0.25">
      <c r="A40" s="331">
        <v>12500</v>
      </c>
      <c r="B40" s="442"/>
      <c r="C40" s="397"/>
      <c r="D40" s="457"/>
      <c r="E40" s="458"/>
      <c r="F40" s="461"/>
      <c r="G40" s="475"/>
      <c r="H40" s="518" t="s">
        <v>114</v>
      </c>
      <c r="I40" s="537" t="s">
        <v>108</v>
      </c>
      <c r="J40" s="548">
        <f>SUM('[1]FEBRUARI 26'!AN24)</f>
        <v>1437500</v>
      </c>
      <c r="K40" s="564">
        <f>SUM(J40/A40)</f>
        <v>115</v>
      </c>
      <c r="L40" s="5"/>
    </row>
    <row r="41" spans="1:20" ht="26.25" customHeight="1" x14ac:dyDescent="0.25">
      <c r="A41" s="331">
        <v>6000</v>
      </c>
      <c r="B41" s="442"/>
      <c r="C41" s="397"/>
      <c r="D41" s="457"/>
      <c r="E41" s="458"/>
      <c r="F41" s="461"/>
      <c r="G41" s="472">
        <v>18</v>
      </c>
      <c r="H41" s="518" t="s">
        <v>115</v>
      </c>
      <c r="I41" s="538" t="s">
        <v>109</v>
      </c>
      <c r="J41" s="548">
        <f>SUM('[1]FEBRUARI 26'!AN25)</f>
        <v>63582000</v>
      </c>
      <c r="K41" s="564">
        <f>SUM(J41/A41)</f>
        <v>10597</v>
      </c>
      <c r="L41" s="5"/>
    </row>
    <row r="42" spans="1:20" ht="15" customHeight="1" x14ac:dyDescent="0.25">
      <c r="A42" s="331">
        <v>3000</v>
      </c>
      <c r="B42" s="442"/>
      <c r="C42" s="397"/>
      <c r="D42" s="457"/>
      <c r="E42" s="458"/>
      <c r="F42" s="461"/>
      <c r="G42" s="472">
        <v>19</v>
      </c>
      <c r="H42" s="518" t="s">
        <v>116</v>
      </c>
      <c r="I42" s="536" t="s">
        <v>110</v>
      </c>
      <c r="J42" s="548">
        <f>SUM('[1]FEBRUARI 26'!AN26)</f>
        <v>51009000</v>
      </c>
      <c r="K42" s="564">
        <f>SUM(J42/A42)</f>
        <v>17003</v>
      </c>
      <c r="L42" s="5"/>
    </row>
    <row r="43" spans="1:20" ht="14.25" customHeight="1" x14ac:dyDescent="0.25">
      <c r="A43" s="331">
        <v>1000</v>
      </c>
      <c r="B43" s="442"/>
      <c r="C43" s="397"/>
      <c r="D43" s="457"/>
      <c r="E43" s="458"/>
      <c r="F43" s="461"/>
      <c r="G43" s="472">
        <v>20</v>
      </c>
      <c r="H43" s="520" t="s">
        <v>117</v>
      </c>
      <c r="I43" s="470" t="s">
        <v>111</v>
      </c>
      <c r="J43" s="548">
        <f>SUM('[1]FEBRUARI 26'!AN27)</f>
        <v>999000</v>
      </c>
      <c r="K43" s="564">
        <f>SUM(J43/A43)</f>
        <v>999</v>
      </c>
      <c r="L43" s="5"/>
    </row>
    <row r="44" spans="1:20" ht="14.25" customHeight="1" x14ac:dyDescent="0.25">
      <c r="A44" s="316"/>
      <c r="B44" s="442"/>
      <c r="C44" s="397"/>
      <c r="D44" s="458" t="s">
        <v>206</v>
      </c>
      <c r="E44" s="461"/>
      <c r="F44" s="527">
        <v>4</v>
      </c>
      <c r="G44" s="467">
        <v>5</v>
      </c>
      <c r="H44" s="754" t="s">
        <v>213</v>
      </c>
      <c r="I44" s="754"/>
      <c r="J44" s="521">
        <f>SUM(J46:J66)</f>
        <v>28135000</v>
      </c>
      <c r="K44" s="523">
        <f t="shared" ref="K44" si="4">SUM(K46:K66)</f>
        <v>1600</v>
      </c>
      <c r="L44" s="5"/>
    </row>
    <row r="45" spans="1:20" ht="14.25" customHeight="1" x14ac:dyDescent="0.25">
      <c r="A45" s="316"/>
      <c r="B45" s="442"/>
      <c r="C45" s="397"/>
      <c r="D45" s="458"/>
      <c r="E45" s="461"/>
      <c r="F45" s="477"/>
      <c r="G45" s="478"/>
      <c r="H45" s="755" t="s">
        <v>14</v>
      </c>
      <c r="I45" s="755"/>
      <c r="J45" s="550"/>
      <c r="K45" s="515"/>
      <c r="L45" s="5"/>
    </row>
    <row r="46" spans="1:20" ht="12" customHeight="1" x14ac:dyDescent="0.25">
      <c r="A46" s="331"/>
      <c r="B46" s="442"/>
      <c r="C46" s="397"/>
      <c r="D46" s="458"/>
      <c r="E46" s="461"/>
      <c r="F46" s="460"/>
      <c r="G46" s="472">
        <v>36</v>
      </c>
      <c r="H46" s="516" t="s">
        <v>129</v>
      </c>
      <c r="I46" s="534" t="s">
        <v>119</v>
      </c>
      <c r="J46" s="550"/>
      <c r="K46" s="515"/>
      <c r="L46" s="5"/>
    </row>
    <row r="47" spans="1:20" ht="13.5" customHeight="1" x14ac:dyDescent="0.25">
      <c r="A47" s="331">
        <v>1500000</v>
      </c>
      <c r="B47" s="442"/>
      <c r="C47" s="397"/>
      <c r="D47" s="458"/>
      <c r="E47" s="461"/>
      <c r="F47" s="460"/>
      <c r="G47" s="472">
        <v>37</v>
      </c>
      <c r="H47" s="517" t="s">
        <v>130</v>
      </c>
      <c r="I47" s="539" t="s">
        <v>120</v>
      </c>
      <c r="J47" s="548">
        <f>SUM('[1]FEBRUARI 26'!AN28)</f>
        <v>0</v>
      </c>
      <c r="K47" s="565">
        <f t="shared" ref="K47:K66" si="5">SUM(J47/A47)</f>
        <v>0</v>
      </c>
      <c r="L47" s="5"/>
    </row>
    <row r="48" spans="1:20" s="2" customFormat="1" ht="15" customHeight="1" x14ac:dyDescent="0.25">
      <c r="A48" s="416">
        <v>2500000</v>
      </c>
      <c r="B48" s="448"/>
      <c r="C48" s="449"/>
      <c r="D48" s="479"/>
      <c r="E48" s="480"/>
      <c r="F48" s="481"/>
      <c r="G48" s="469">
        <v>39</v>
      </c>
      <c r="H48" s="518" t="s">
        <v>131</v>
      </c>
      <c r="I48" s="540" t="s">
        <v>121</v>
      </c>
      <c r="J48" s="548">
        <f>SUM('[1]FEBRUARI 26'!AN29)</f>
        <v>0</v>
      </c>
      <c r="K48" s="565">
        <f t="shared" si="5"/>
        <v>0</v>
      </c>
      <c r="L48" s="9"/>
      <c r="M48" s="10"/>
      <c r="N48" s="10"/>
      <c r="O48" s="11"/>
      <c r="P48" s="11"/>
      <c r="Q48" s="11"/>
      <c r="R48" s="11"/>
      <c r="S48" s="11"/>
      <c r="T48" s="11"/>
    </row>
    <row r="49" spans="1:61" s="4" customFormat="1" ht="13.5" customHeight="1" x14ac:dyDescent="0.25">
      <c r="A49" s="331">
        <v>500000</v>
      </c>
      <c r="B49" s="442"/>
      <c r="C49" s="397"/>
      <c r="D49" s="458"/>
      <c r="E49" s="461"/>
      <c r="F49" s="460"/>
      <c r="G49" s="472">
        <v>40</v>
      </c>
      <c r="H49" s="518" t="s">
        <v>132</v>
      </c>
      <c r="I49" s="540" t="s">
        <v>122</v>
      </c>
      <c r="J49" s="548">
        <f>SUM('[1]FEBRUARI 26'!AN30)</f>
        <v>0</v>
      </c>
      <c r="K49" s="565">
        <f t="shared" si="5"/>
        <v>0</v>
      </c>
      <c r="L49" s="5"/>
      <c r="O49" s="1"/>
      <c r="P49" s="1"/>
      <c r="Q49" s="1"/>
      <c r="R49" s="1"/>
      <c r="S49" s="1"/>
      <c r="T49" s="1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s="4" customFormat="1" ht="15" customHeight="1" x14ac:dyDescent="0.25">
      <c r="A50" s="331">
        <v>250000</v>
      </c>
      <c r="B50" s="442"/>
      <c r="C50" s="397"/>
      <c r="D50" s="458"/>
      <c r="E50" s="461"/>
      <c r="F50" s="460"/>
      <c r="G50" s="472">
        <v>41</v>
      </c>
      <c r="H50" s="518" t="s">
        <v>133</v>
      </c>
      <c r="I50" s="540" t="s">
        <v>123</v>
      </c>
      <c r="J50" s="548">
        <f>SUM('[1]FEBRUARI 26'!AN31)</f>
        <v>0</v>
      </c>
      <c r="K50" s="565">
        <f t="shared" si="5"/>
        <v>0</v>
      </c>
      <c r="L50" s="5"/>
      <c r="O50" s="1"/>
      <c r="P50" s="1"/>
      <c r="Q50" s="1"/>
      <c r="R50" s="1"/>
      <c r="S50" s="1"/>
      <c r="T50" s="1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4" customFormat="1" ht="14.25" customHeight="1" x14ac:dyDescent="0.25">
      <c r="A51" s="331">
        <v>750000</v>
      </c>
      <c r="B51" s="442"/>
      <c r="C51" s="397"/>
      <c r="D51" s="482"/>
      <c r="E51" s="461"/>
      <c r="F51" s="460"/>
      <c r="G51" s="472">
        <v>42</v>
      </c>
      <c r="H51" s="518" t="s">
        <v>134</v>
      </c>
      <c r="I51" s="540" t="s">
        <v>124</v>
      </c>
      <c r="J51" s="548">
        <f>SUM('[1]FEBRUARI 26'!AN32)</f>
        <v>0</v>
      </c>
      <c r="K51" s="565">
        <f t="shared" si="5"/>
        <v>0</v>
      </c>
      <c r="L51" s="5"/>
      <c r="O51" s="1"/>
      <c r="P51" s="1"/>
      <c r="Q51" s="1"/>
      <c r="R51" s="1"/>
      <c r="S51" s="1"/>
      <c r="T51" s="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4" customFormat="1" ht="14.25" customHeight="1" x14ac:dyDescent="0.25">
      <c r="A52" s="331">
        <v>1000000</v>
      </c>
      <c r="B52" s="442"/>
      <c r="C52" s="397"/>
      <c r="D52" s="482"/>
      <c r="E52" s="461"/>
      <c r="F52" s="460"/>
      <c r="G52" s="472">
        <v>43</v>
      </c>
      <c r="H52" s="518" t="s">
        <v>135</v>
      </c>
      <c r="I52" s="540" t="s">
        <v>60</v>
      </c>
      <c r="J52" s="548">
        <f>SUM('[1]FEBRUARI 26'!AN33)</f>
        <v>0</v>
      </c>
      <c r="K52" s="565">
        <f t="shared" si="5"/>
        <v>0</v>
      </c>
      <c r="L52" s="5"/>
      <c r="O52" s="1"/>
      <c r="P52" s="1"/>
      <c r="Q52" s="1"/>
      <c r="R52" s="1"/>
      <c r="S52" s="1"/>
      <c r="T52" s="1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4" customFormat="1" ht="15" customHeight="1" x14ac:dyDescent="0.25">
      <c r="A53" s="331">
        <v>250000</v>
      </c>
      <c r="B53" s="442"/>
      <c r="C53" s="397"/>
      <c r="D53" s="482"/>
      <c r="E53" s="461"/>
      <c r="F53" s="460"/>
      <c r="G53" s="472"/>
      <c r="H53" s="518" t="s">
        <v>136</v>
      </c>
      <c r="I53" s="540" t="s">
        <v>125</v>
      </c>
      <c r="J53" s="548">
        <f>SUM('[1]FEBRUARI 26'!AN34)</f>
        <v>0</v>
      </c>
      <c r="K53" s="565">
        <f t="shared" si="5"/>
        <v>0</v>
      </c>
      <c r="L53" s="5"/>
      <c r="O53" s="1"/>
      <c r="P53" s="1"/>
      <c r="Q53" s="1"/>
      <c r="R53" s="1"/>
      <c r="S53" s="1"/>
      <c r="T53" s="1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4" customFormat="1" ht="15" customHeight="1" x14ac:dyDescent="0.25">
      <c r="A54" s="331">
        <v>2000</v>
      </c>
      <c r="B54" s="442"/>
      <c r="C54" s="397"/>
      <c r="D54" s="482"/>
      <c r="E54" s="461"/>
      <c r="F54" s="460"/>
      <c r="G54" s="472"/>
      <c r="H54" s="518" t="s">
        <v>137</v>
      </c>
      <c r="I54" s="540" t="s">
        <v>126</v>
      </c>
      <c r="J54" s="548">
        <f>SUM('[1]FEBRUARI 26'!AN35)</f>
        <v>1100000</v>
      </c>
      <c r="K54" s="565">
        <f t="shared" si="5"/>
        <v>550</v>
      </c>
      <c r="L54" s="5"/>
      <c r="O54" s="1"/>
      <c r="P54" s="1"/>
      <c r="Q54" s="1"/>
      <c r="R54" s="1"/>
      <c r="S54" s="1"/>
      <c r="T54" s="1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4" customFormat="1" ht="15" customHeight="1" x14ac:dyDescent="0.25">
      <c r="A55" s="331">
        <v>100000</v>
      </c>
      <c r="B55" s="442"/>
      <c r="C55" s="397"/>
      <c r="D55" s="482"/>
      <c r="E55" s="461"/>
      <c r="F55" s="460"/>
      <c r="G55" s="472"/>
      <c r="H55" s="518" t="s">
        <v>138</v>
      </c>
      <c r="I55" s="540" t="s">
        <v>127</v>
      </c>
      <c r="J55" s="548">
        <f>SUM('[1]FEBRUARI 26'!AN36)</f>
        <v>0</v>
      </c>
      <c r="K55" s="565">
        <f t="shared" si="5"/>
        <v>0</v>
      </c>
      <c r="L55" s="5"/>
      <c r="O55" s="1"/>
      <c r="P55" s="1"/>
      <c r="Q55" s="1"/>
      <c r="R55" s="1"/>
      <c r="S55" s="1"/>
      <c r="T55" s="1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4" customFormat="1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18" t="s">
        <v>139</v>
      </c>
      <c r="I56" s="540" t="s">
        <v>128</v>
      </c>
      <c r="J56" s="548">
        <f>SUM('[1]FEBRUARI 26'!AN37)</f>
        <v>4500000</v>
      </c>
      <c r="K56" s="565">
        <f t="shared" si="5"/>
        <v>45</v>
      </c>
      <c r="L56" s="5"/>
      <c r="O56" s="1"/>
      <c r="P56" s="1"/>
      <c r="Q56" s="1"/>
      <c r="R56" s="1"/>
      <c r="S56" s="1"/>
      <c r="T56" s="1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4" customFormat="1" ht="15" customHeight="1" x14ac:dyDescent="0.25">
      <c r="A57" s="331">
        <v>250000</v>
      </c>
      <c r="B57" s="442"/>
      <c r="C57" s="397"/>
      <c r="D57" s="482"/>
      <c r="E57" s="461"/>
      <c r="F57" s="460"/>
      <c r="G57" s="472">
        <v>44</v>
      </c>
      <c r="H57" s="518" t="s">
        <v>148</v>
      </c>
      <c r="I57" s="540" t="s">
        <v>158</v>
      </c>
      <c r="J57" s="548">
        <f>SUM('[1]FEBRUARI 26'!AN38)</f>
        <v>7500000</v>
      </c>
      <c r="K57" s="565">
        <f t="shared" si="5"/>
        <v>30</v>
      </c>
      <c r="L57" s="5"/>
      <c r="M57" s="12"/>
      <c r="O57" s="1"/>
      <c r="P57" s="1"/>
      <c r="Q57" s="1"/>
      <c r="R57" s="1"/>
      <c r="S57" s="1"/>
      <c r="T57" s="1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4" customFormat="1" ht="15" customHeight="1" x14ac:dyDescent="0.25">
      <c r="A58" s="331">
        <v>300000</v>
      </c>
      <c r="B58" s="442"/>
      <c r="C58" s="397"/>
      <c r="D58" s="482"/>
      <c r="E58" s="461"/>
      <c r="F58" s="460"/>
      <c r="G58" s="472"/>
      <c r="H58" s="518" t="s">
        <v>149</v>
      </c>
      <c r="I58" s="540" t="s">
        <v>163</v>
      </c>
      <c r="J58" s="548">
        <f>SUM('[1]FEBRUARI 26'!AN39)</f>
        <v>0</v>
      </c>
      <c r="K58" s="565">
        <f t="shared" si="5"/>
        <v>0</v>
      </c>
      <c r="L58" s="5"/>
      <c r="M58" s="12"/>
      <c r="O58" s="1"/>
      <c r="P58" s="1"/>
      <c r="Q58" s="1"/>
      <c r="R58" s="1"/>
      <c r="S58" s="1"/>
      <c r="T58" s="1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4" customFormat="1" ht="15" customHeight="1" x14ac:dyDescent="0.25">
      <c r="A59" s="331">
        <v>750000</v>
      </c>
      <c r="B59" s="442"/>
      <c r="C59" s="397"/>
      <c r="D59" s="482"/>
      <c r="E59" s="461"/>
      <c r="F59" s="460"/>
      <c r="G59" s="472"/>
      <c r="H59" s="518" t="s">
        <v>150</v>
      </c>
      <c r="I59" s="540" t="s">
        <v>140</v>
      </c>
      <c r="J59" s="548">
        <f>SUM('[1]FEBRUARI 26'!AN40)</f>
        <v>1500000</v>
      </c>
      <c r="K59" s="565">
        <f t="shared" si="5"/>
        <v>2</v>
      </c>
      <c r="L59" s="5"/>
      <c r="M59" s="12"/>
      <c r="O59" s="1"/>
      <c r="P59" s="1"/>
      <c r="Q59" s="1"/>
      <c r="R59" s="1"/>
      <c r="S59" s="1"/>
      <c r="T59" s="1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4" customFormat="1" ht="15" customHeight="1" x14ac:dyDescent="0.25">
      <c r="A60" s="331">
        <v>1000000</v>
      </c>
      <c r="B60" s="442"/>
      <c r="C60" s="397"/>
      <c r="D60" s="482"/>
      <c r="E60" s="461"/>
      <c r="F60" s="460"/>
      <c r="G60" s="472"/>
      <c r="H60" s="518" t="s">
        <v>151</v>
      </c>
      <c r="I60" s="540" t="s">
        <v>141</v>
      </c>
      <c r="J60" s="548">
        <f>SUM('[1]FEBRUARI 26'!AN41)</f>
        <v>2000000</v>
      </c>
      <c r="K60" s="565">
        <f t="shared" si="5"/>
        <v>2</v>
      </c>
      <c r="L60" s="5"/>
      <c r="M60" s="12"/>
      <c r="O60" s="1"/>
      <c r="P60" s="1"/>
      <c r="Q60" s="1"/>
      <c r="R60" s="1"/>
      <c r="S60" s="1"/>
      <c r="T60" s="1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4" customFormat="1" ht="15" customHeight="1" x14ac:dyDescent="0.25">
      <c r="A61" s="331">
        <v>100000</v>
      </c>
      <c r="B61" s="442"/>
      <c r="C61" s="397"/>
      <c r="D61" s="482"/>
      <c r="E61" s="461"/>
      <c r="F61" s="460"/>
      <c r="G61" s="472"/>
      <c r="H61" s="518" t="s">
        <v>152</v>
      </c>
      <c r="I61" s="540" t="s">
        <v>142</v>
      </c>
      <c r="J61" s="548">
        <f>SUM('[1]FEBRUARI 26'!AN42)</f>
        <v>200000</v>
      </c>
      <c r="K61" s="565">
        <f t="shared" si="5"/>
        <v>2</v>
      </c>
      <c r="L61" s="5"/>
      <c r="M61" s="12"/>
      <c r="O61" s="1"/>
      <c r="P61" s="1"/>
      <c r="Q61" s="1"/>
      <c r="R61" s="1"/>
      <c r="S61" s="1"/>
      <c r="T61" s="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4" customFormat="1" ht="15" customHeight="1" x14ac:dyDescent="0.25">
      <c r="A62" s="331">
        <v>15000</v>
      </c>
      <c r="B62" s="442"/>
      <c r="C62" s="397"/>
      <c r="D62" s="482"/>
      <c r="E62" s="461"/>
      <c r="F62" s="460"/>
      <c r="G62" s="472"/>
      <c r="H62" s="518" t="s">
        <v>153</v>
      </c>
      <c r="I62" s="540" t="s">
        <v>143</v>
      </c>
      <c r="J62" s="548">
        <f>SUM('[1]FEBRUARI 26'!AN43)</f>
        <v>8895000</v>
      </c>
      <c r="K62" s="565">
        <f t="shared" si="5"/>
        <v>593</v>
      </c>
      <c r="L62" s="5"/>
      <c r="M62" s="12"/>
      <c r="O62" s="1"/>
      <c r="P62" s="1"/>
      <c r="Q62" s="1"/>
      <c r="R62" s="1"/>
      <c r="S62" s="1"/>
      <c r="T62" s="1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4" customFormat="1" ht="15" customHeight="1" x14ac:dyDescent="0.25">
      <c r="A63" s="331">
        <v>5000</v>
      </c>
      <c r="B63" s="442"/>
      <c r="C63" s="397"/>
      <c r="D63" s="482"/>
      <c r="E63" s="461"/>
      <c r="F63" s="460"/>
      <c r="G63" s="472"/>
      <c r="H63" s="518" t="s">
        <v>154</v>
      </c>
      <c r="I63" s="540" t="s">
        <v>144</v>
      </c>
      <c r="J63" s="548">
        <f>SUM('[1]FEBRUARI 26'!AN44)</f>
        <v>1840000</v>
      </c>
      <c r="K63" s="565">
        <f t="shared" si="5"/>
        <v>368</v>
      </c>
      <c r="L63" s="5"/>
      <c r="M63" s="12"/>
      <c r="O63" s="1"/>
      <c r="P63" s="1"/>
      <c r="Q63" s="1"/>
      <c r="R63" s="1"/>
      <c r="S63" s="1"/>
      <c r="T63" s="1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4" customFormat="1" ht="15" customHeight="1" x14ac:dyDescent="0.25">
      <c r="A64" s="331">
        <v>150000</v>
      </c>
      <c r="B64" s="442"/>
      <c r="C64" s="397"/>
      <c r="D64" s="482"/>
      <c r="E64" s="461"/>
      <c r="F64" s="460"/>
      <c r="G64" s="472"/>
      <c r="H64" s="518" t="s">
        <v>155</v>
      </c>
      <c r="I64" s="540" t="s">
        <v>145</v>
      </c>
      <c r="J64" s="548">
        <f>SUM('[1]FEBRUARI 26'!AN45)</f>
        <v>0</v>
      </c>
      <c r="K64" s="565">
        <f t="shared" si="5"/>
        <v>0</v>
      </c>
      <c r="L64" s="5"/>
      <c r="M64" s="12"/>
      <c r="O64" s="1"/>
      <c r="P64" s="1"/>
      <c r="Q64" s="1"/>
      <c r="R64" s="1"/>
      <c r="S64" s="1"/>
      <c r="T64" s="1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20" ht="15" customHeight="1" x14ac:dyDescent="0.25">
      <c r="A65" s="331">
        <v>75000</v>
      </c>
      <c r="B65" s="442"/>
      <c r="C65" s="397"/>
      <c r="D65" s="482"/>
      <c r="E65" s="461"/>
      <c r="F65" s="460"/>
      <c r="G65" s="472"/>
      <c r="H65" s="518" t="s">
        <v>156</v>
      </c>
      <c r="I65" s="540" t="s">
        <v>146</v>
      </c>
      <c r="J65" s="548">
        <f>SUM('[1]FEBRUARI 26'!AN46)</f>
        <v>600000</v>
      </c>
      <c r="K65" s="565">
        <f t="shared" si="5"/>
        <v>8</v>
      </c>
      <c r="L65" s="5"/>
      <c r="M65" s="12"/>
    </row>
    <row r="66" spans="1:20" ht="15" customHeight="1" x14ac:dyDescent="0.25">
      <c r="A66" s="331">
        <v>100000</v>
      </c>
      <c r="B66" s="442"/>
      <c r="C66" s="397"/>
      <c r="D66" s="482"/>
      <c r="E66" s="461"/>
      <c r="F66" s="460"/>
      <c r="G66" s="472"/>
      <c r="H66" s="513" t="s">
        <v>157</v>
      </c>
      <c r="I66" s="532" t="s">
        <v>147</v>
      </c>
      <c r="J66" s="548">
        <f>SUM('[1]FEBRUARI 26'!AN47)</f>
        <v>0</v>
      </c>
      <c r="K66" s="565">
        <f t="shared" si="5"/>
        <v>0</v>
      </c>
      <c r="L66" s="5"/>
      <c r="M66" s="12"/>
    </row>
    <row r="67" spans="1:20" s="4" customFormat="1" ht="16.5" customHeight="1" x14ac:dyDescent="0.25">
      <c r="A67" s="316"/>
      <c r="B67" s="442"/>
      <c r="C67" s="397"/>
      <c r="D67" s="483" t="s">
        <v>207</v>
      </c>
      <c r="E67" s="484" t="s">
        <v>13</v>
      </c>
      <c r="F67" s="485" t="s">
        <v>68</v>
      </c>
      <c r="G67" s="485" t="s">
        <v>66</v>
      </c>
      <c r="H67" s="485"/>
      <c r="I67" s="541"/>
      <c r="J67" s="551">
        <v>0</v>
      </c>
      <c r="K67" s="607"/>
      <c r="L67" s="5"/>
      <c r="O67" s="1"/>
      <c r="P67" s="1"/>
      <c r="Q67" s="1"/>
      <c r="R67" s="1"/>
      <c r="S67" s="1"/>
      <c r="T67" s="1"/>
    </row>
    <row r="68" spans="1:20" s="4" customFormat="1" ht="15" customHeight="1" x14ac:dyDescent="0.25">
      <c r="A68" s="316"/>
      <c r="B68" s="442"/>
      <c r="C68" s="397"/>
      <c r="D68" s="483" t="s">
        <v>208</v>
      </c>
      <c r="E68" s="484" t="s">
        <v>17</v>
      </c>
      <c r="F68" s="756" t="s">
        <v>65</v>
      </c>
      <c r="G68" s="757"/>
      <c r="H68" s="757"/>
      <c r="I68" s="758"/>
      <c r="J68" s="551">
        <f>SUM('[1]FEBRUARI 26'!$AN$54)</f>
        <v>3179750</v>
      </c>
      <c r="K68" s="607"/>
      <c r="L68" s="5"/>
      <c r="O68" s="1"/>
      <c r="P68" s="1"/>
      <c r="Q68" s="1"/>
      <c r="R68" s="1"/>
      <c r="S68" s="1"/>
      <c r="T68" s="1"/>
    </row>
    <row r="69" spans="1:20" s="4" customFormat="1" ht="15" customHeight="1" x14ac:dyDescent="0.25">
      <c r="A69" s="316"/>
      <c r="B69" s="442"/>
      <c r="C69" s="397"/>
      <c r="D69" s="483" t="s">
        <v>209</v>
      </c>
      <c r="E69" s="486" t="s">
        <v>18</v>
      </c>
      <c r="F69" s="746" t="s">
        <v>64</v>
      </c>
      <c r="G69" s="747"/>
      <c r="H69" s="747"/>
      <c r="I69" s="748"/>
      <c r="J69" s="551">
        <f>SUM('[1]FEBRUARI 26'!$AN$49+'[1]FEBRUARI 26'!$AN$50+'[1]FEBRUARI 26'!$AN$51+'[1]FEBRUARI 26'!$AN$52+'[1]FEBRUARI 26'!$AN$53)</f>
        <v>46219495</v>
      </c>
      <c r="K69" s="606"/>
      <c r="L69" s="5"/>
      <c r="O69" s="1"/>
      <c r="P69" s="1"/>
      <c r="Q69" s="1"/>
      <c r="R69" s="1"/>
      <c r="S69" s="1"/>
      <c r="T69" s="1"/>
    </row>
    <row r="70" spans="1:20" s="4" customFormat="1" ht="17.25" customHeight="1" x14ac:dyDescent="0.25">
      <c r="A70" s="436"/>
      <c r="B70" s="442"/>
      <c r="C70" s="397"/>
      <c r="D70" s="780" t="s">
        <v>165</v>
      </c>
      <c r="E70" s="750"/>
      <c r="F70" s="750"/>
      <c r="G70" s="750"/>
      <c r="H70" s="750"/>
      <c r="I70" s="786"/>
      <c r="J70" s="522">
        <f>J9+J67+J68+J69</f>
        <v>1042116745</v>
      </c>
      <c r="K70" s="522"/>
      <c r="L70" s="5"/>
      <c r="O70" s="1"/>
      <c r="P70" s="1"/>
      <c r="Q70" s="1"/>
      <c r="R70" s="1"/>
      <c r="S70" s="1"/>
      <c r="T70" s="1"/>
    </row>
    <row r="71" spans="1:20" s="4" customFormat="1" x14ac:dyDescent="0.25">
      <c r="E71" s="19"/>
      <c r="F71" s="19"/>
      <c r="G71" s="19"/>
      <c r="H71" s="19"/>
      <c r="I71" s="19"/>
      <c r="J71" s="19"/>
      <c r="K71" s="19"/>
      <c r="O71" s="1"/>
      <c r="P71" s="1"/>
      <c r="Q71" s="1"/>
      <c r="R71" s="1"/>
      <c r="S71" s="1"/>
      <c r="T71" s="1"/>
    </row>
    <row r="72" spans="1:20" s="4" customFormat="1" ht="14.1" customHeight="1" x14ac:dyDescent="0.25">
      <c r="E72" s="21"/>
      <c r="F72" s="22"/>
      <c r="G72" s="22"/>
      <c r="H72" s="22"/>
      <c r="I72" s="744" t="s">
        <v>221</v>
      </c>
      <c r="J72" s="744"/>
      <c r="K72" s="744"/>
      <c r="O72" s="1"/>
      <c r="P72" s="1"/>
      <c r="Q72" s="1"/>
      <c r="R72" s="1"/>
      <c r="S72" s="1"/>
      <c r="T72" s="1"/>
    </row>
    <row r="73" spans="1:20" s="4" customFormat="1" ht="14.1" customHeight="1" x14ac:dyDescent="0.25">
      <c r="E73" s="21"/>
      <c r="F73" s="22"/>
      <c r="G73" s="22"/>
      <c r="H73" s="22"/>
      <c r="I73" s="744" t="s">
        <v>216</v>
      </c>
      <c r="J73" s="744"/>
      <c r="K73" s="744"/>
      <c r="O73" s="1"/>
      <c r="P73" s="1"/>
      <c r="Q73" s="1"/>
      <c r="R73" s="1"/>
      <c r="S73" s="1"/>
      <c r="T73" s="1"/>
    </row>
    <row r="74" spans="1:20" s="4" customFormat="1" ht="14.1" customHeight="1" x14ac:dyDescent="0.25">
      <c r="E74" s="21"/>
      <c r="F74" s="23"/>
      <c r="G74" s="23"/>
      <c r="H74" s="23"/>
      <c r="I74" s="744" t="s">
        <v>195</v>
      </c>
      <c r="J74" s="744"/>
      <c r="K74" s="744"/>
      <c r="O74" s="1"/>
      <c r="P74" s="1"/>
      <c r="Q74" s="1"/>
      <c r="R74" s="1"/>
      <c r="S74" s="1"/>
      <c r="T74" s="1"/>
    </row>
    <row r="75" spans="1:20" s="4" customFormat="1" ht="14.1" customHeight="1" x14ac:dyDescent="0.25">
      <c r="E75" s="21"/>
      <c r="F75" s="23"/>
      <c r="G75" s="23"/>
      <c r="H75" s="23"/>
      <c r="I75" s="744" t="s">
        <v>194</v>
      </c>
      <c r="J75" s="744"/>
      <c r="K75" s="744"/>
      <c r="O75" s="1"/>
      <c r="P75" s="1"/>
      <c r="Q75" s="1"/>
      <c r="R75" s="1"/>
      <c r="S75" s="1"/>
      <c r="T75" s="1"/>
    </row>
    <row r="76" spans="1:20" s="4" customFormat="1" ht="14.1" customHeight="1" x14ac:dyDescent="0.25">
      <c r="E76" s="21"/>
      <c r="F76" s="23"/>
      <c r="G76" s="23"/>
      <c r="H76" s="23"/>
      <c r="I76" s="744" t="s">
        <v>193</v>
      </c>
      <c r="J76" s="744"/>
      <c r="K76" s="744"/>
      <c r="O76" s="1"/>
      <c r="P76" s="1"/>
      <c r="Q76" s="1"/>
      <c r="R76" s="1"/>
      <c r="S76" s="1"/>
      <c r="T76" s="1"/>
    </row>
    <row r="77" spans="1:20" s="4" customFormat="1" ht="14.1" customHeight="1" x14ac:dyDescent="0.25">
      <c r="E77" s="21"/>
      <c r="F77" s="23"/>
      <c r="G77" s="23"/>
      <c r="H77" s="23"/>
      <c r="I77" s="298"/>
      <c r="J77" s="298"/>
      <c r="K77" s="298"/>
      <c r="O77" s="1"/>
      <c r="P77" s="1"/>
      <c r="Q77" s="1"/>
      <c r="R77" s="1"/>
      <c r="S77" s="1"/>
      <c r="T77" s="1"/>
    </row>
    <row r="78" spans="1:20" s="4" customFormat="1" ht="14.1" customHeight="1" x14ac:dyDescent="0.25">
      <c r="E78" s="21"/>
      <c r="F78" s="23"/>
      <c r="G78" s="23"/>
      <c r="H78" s="23"/>
      <c r="I78" s="298"/>
      <c r="J78" s="298"/>
      <c r="K78" s="298"/>
      <c r="O78" s="1"/>
      <c r="P78" s="1"/>
      <c r="Q78" s="1"/>
      <c r="R78" s="1"/>
      <c r="S78" s="1"/>
      <c r="T78" s="1"/>
    </row>
    <row r="79" spans="1:20" s="4" customFormat="1" ht="14.1" customHeight="1" x14ac:dyDescent="0.25">
      <c r="E79" s="21"/>
      <c r="F79" s="23"/>
      <c r="G79" s="23"/>
      <c r="H79" s="23"/>
      <c r="I79" s="744" t="s">
        <v>200</v>
      </c>
      <c r="J79" s="744"/>
      <c r="K79" s="744"/>
      <c r="O79" s="1"/>
      <c r="P79" s="1"/>
      <c r="Q79" s="1"/>
      <c r="R79" s="1"/>
      <c r="S79" s="1"/>
      <c r="T79" s="1"/>
    </row>
    <row r="80" spans="1:20" s="4" customFormat="1" ht="14.1" customHeight="1" x14ac:dyDescent="0.25">
      <c r="E80" s="21"/>
      <c r="F80" s="21"/>
      <c r="G80" s="21"/>
      <c r="H80" s="21"/>
      <c r="I80" s="744" t="s">
        <v>202</v>
      </c>
      <c r="J80" s="744"/>
      <c r="K80" s="744"/>
      <c r="O80" s="1"/>
      <c r="P80" s="1"/>
      <c r="Q80" s="1"/>
      <c r="R80" s="1"/>
      <c r="S80" s="1"/>
      <c r="T80" s="1"/>
    </row>
    <row r="81" spans="5:61" s="4" customFormat="1" x14ac:dyDescent="0.25">
      <c r="E81"/>
      <c r="F81"/>
      <c r="G81"/>
      <c r="H81"/>
      <c r="I81" s="18"/>
      <c r="J81" s="18"/>
      <c r="K81" s="18"/>
      <c r="O81" s="1"/>
      <c r="P81" s="1"/>
      <c r="Q81" s="1"/>
      <c r="R81" s="1"/>
      <c r="S81" s="1"/>
      <c r="T81" s="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5:61" s="4" customFormat="1" x14ac:dyDescent="0.25">
      <c r="E82"/>
      <c r="F82"/>
      <c r="G82"/>
      <c r="H82"/>
      <c r="I82" s="18"/>
      <c r="J82" s="18"/>
      <c r="K82" s="18"/>
      <c r="O82" s="1"/>
      <c r="P82" s="1"/>
      <c r="Q82" s="1"/>
      <c r="R82" s="1"/>
      <c r="S82" s="1"/>
      <c r="T82" s="1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</sheetData>
  <sheetProtection selectLockedCells="1" selectUnlockedCells="1"/>
  <mergeCells count="30">
    <mergeCell ref="F9:I9"/>
    <mergeCell ref="H10:I10"/>
    <mergeCell ref="H11:I11"/>
    <mergeCell ref="J6:K6"/>
    <mergeCell ref="A6:A7"/>
    <mergeCell ref="D6:D7"/>
    <mergeCell ref="F6:F7"/>
    <mergeCell ref="H6:H7"/>
    <mergeCell ref="I6:I7"/>
    <mergeCell ref="I80:K80"/>
    <mergeCell ref="D1:K1"/>
    <mergeCell ref="D2:K2"/>
    <mergeCell ref="D3:K3"/>
    <mergeCell ref="D4:K4"/>
    <mergeCell ref="I72:K72"/>
    <mergeCell ref="F69:I69"/>
    <mergeCell ref="D70:I70"/>
    <mergeCell ref="H37:I37"/>
    <mergeCell ref="H44:I44"/>
    <mergeCell ref="H45:I45"/>
    <mergeCell ref="F68:I68"/>
    <mergeCell ref="H17:I17"/>
    <mergeCell ref="H30:I30"/>
    <mergeCell ref="H31:I31"/>
    <mergeCell ref="H36:I36"/>
    <mergeCell ref="I73:K73"/>
    <mergeCell ref="I74:K74"/>
    <mergeCell ref="I75:K75"/>
    <mergeCell ref="I76:K76"/>
    <mergeCell ref="I79:K79"/>
  </mergeCells>
  <printOptions horizontalCentered="1"/>
  <pageMargins left="0.43307086614173229" right="0.51181102362204722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A3B-70D6-4D59-84A0-9CA8C85498A5}">
  <dimension ref="A1:CG83"/>
  <sheetViews>
    <sheetView showOutlineSymbols="0" zoomScale="110" zoomScaleNormal="110" workbookViewId="0">
      <selection activeCell="J7" sqref="J7:K7"/>
    </sheetView>
  </sheetViews>
  <sheetFormatPr defaultColWidth="8.6640625" defaultRowHeight="15.75" x14ac:dyDescent="0.25"/>
  <cols>
    <col min="1" max="1" width="9" style="4" bestFit="1" customWidth="1"/>
    <col min="2" max="3" width="9" style="4" customWidth="1"/>
    <col min="4" max="4" width="15.21875" style="4" customWidth="1"/>
    <col min="5" max="5" width="2.44140625" customWidth="1"/>
    <col min="6" max="6" width="2.6640625" customWidth="1"/>
    <col min="7" max="7" width="0.5546875" hidden="1" customWidth="1"/>
    <col min="8" max="8" width="9.5546875" customWidth="1"/>
    <col min="9" max="9" width="44" style="18" customWidth="1"/>
    <col min="10" max="10" width="16.6640625" style="18" customWidth="1"/>
    <col min="11" max="11" width="11.21875" style="18" customWidth="1"/>
    <col min="12" max="12" width="8.6640625" style="4"/>
    <col min="13" max="13" width="9.44140625" style="4" bestFit="1" customWidth="1"/>
    <col min="14" max="14" width="8.6640625" style="4"/>
    <col min="15" max="20" width="8.6640625" style="1"/>
  </cols>
  <sheetData>
    <row r="1" spans="1:20" x14ac:dyDescent="0.25">
      <c r="D1" s="791" t="s">
        <v>215</v>
      </c>
      <c r="E1" s="791"/>
      <c r="F1" s="791"/>
      <c r="G1" s="791"/>
      <c r="H1" s="791"/>
      <c r="I1" s="791"/>
      <c r="J1" s="791"/>
      <c r="K1" s="791"/>
    </row>
    <row r="2" spans="1:20" x14ac:dyDescent="0.25">
      <c r="D2" s="791" t="s">
        <v>192</v>
      </c>
      <c r="E2" s="791"/>
      <c r="F2" s="791"/>
      <c r="G2" s="791"/>
      <c r="H2" s="791"/>
      <c r="I2" s="791"/>
      <c r="J2" s="791"/>
      <c r="K2" s="791"/>
    </row>
    <row r="3" spans="1:20" x14ac:dyDescent="0.25">
      <c r="D3" s="791" t="s">
        <v>55</v>
      </c>
      <c r="E3" s="791"/>
      <c r="F3" s="791"/>
      <c r="G3" s="791"/>
      <c r="H3" s="791"/>
      <c r="I3" s="791"/>
      <c r="J3" s="791"/>
      <c r="K3" s="791"/>
    </row>
    <row r="4" spans="1:20" x14ac:dyDescent="0.25">
      <c r="D4" s="791" t="s">
        <v>214</v>
      </c>
      <c r="E4" s="791"/>
      <c r="F4" s="791"/>
      <c r="G4" s="791"/>
      <c r="H4" s="791"/>
      <c r="I4" s="791"/>
      <c r="J4" s="791"/>
      <c r="K4" s="791"/>
    </row>
    <row r="5" spans="1:20" ht="3.75" customHeight="1" x14ac:dyDescent="0.25">
      <c r="D5" s="497"/>
      <c r="E5" s="20"/>
      <c r="F5" s="498"/>
      <c r="G5" s="498"/>
      <c r="H5" s="498"/>
      <c r="I5" s="498"/>
      <c r="J5" s="497"/>
      <c r="K5" s="497"/>
    </row>
    <row r="6" spans="1:20" ht="9" customHeight="1" x14ac:dyDescent="0.25">
      <c r="D6" s="497"/>
      <c r="E6" s="20"/>
      <c r="F6" s="145"/>
      <c r="G6" s="145"/>
      <c r="H6" s="145"/>
      <c r="I6" s="498"/>
      <c r="J6" s="497"/>
      <c r="K6" s="497"/>
    </row>
    <row r="7" spans="1:20" ht="15" customHeight="1" x14ac:dyDescent="0.25">
      <c r="A7" s="722" t="s">
        <v>50</v>
      </c>
      <c r="B7" s="444"/>
      <c r="C7" s="445"/>
      <c r="D7" s="772" t="s">
        <v>10</v>
      </c>
      <c r="E7" s="496"/>
      <c r="F7" s="774" t="s">
        <v>159</v>
      </c>
      <c r="G7" s="499"/>
      <c r="H7" s="776" t="s">
        <v>72</v>
      </c>
      <c r="I7" s="778" t="s">
        <v>164</v>
      </c>
      <c r="J7" s="770" t="s">
        <v>197</v>
      </c>
      <c r="K7" s="771"/>
      <c r="L7" s="5"/>
    </row>
    <row r="8" spans="1:20" ht="12" customHeight="1" x14ac:dyDescent="0.25">
      <c r="A8" s="723"/>
      <c r="B8" s="444"/>
      <c r="C8" s="445"/>
      <c r="D8" s="773"/>
      <c r="E8" s="500"/>
      <c r="F8" s="775"/>
      <c r="G8" s="501"/>
      <c r="H8" s="777"/>
      <c r="I8" s="779"/>
      <c r="J8" s="502" t="s">
        <v>5</v>
      </c>
      <c r="K8" s="493" t="s">
        <v>8</v>
      </c>
      <c r="L8" s="5"/>
    </row>
    <row r="9" spans="1:20" s="17" customFormat="1" ht="13.5" customHeight="1" x14ac:dyDescent="0.2">
      <c r="A9" s="306"/>
      <c r="B9" s="441"/>
      <c r="C9" s="446"/>
      <c r="D9" s="491">
        <v>1</v>
      </c>
      <c r="E9" s="492">
        <v>2</v>
      </c>
      <c r="F9" s="493">
        <v>3</v>
      </c>
      <c r="G9" s="494">
        <v>2</v>
      </c>
      <c r="H9" s="493">
        <v>4</v>
      </c>
      <c r="I9" s="528">
        <v>5</v>
      </c>
      <c r="J9" s="525">
        <v>6</v>
      </c>
      <c r="K9" s="493">
        <v>7</v>
      </c>
      <c r="L9" s="14"/>
      <c r="M9" s="15"/>
      <c r="N9" s="15"/>
      <c r="O9" s="16"/>
      <c r="P9" s="16"/>
      <c r="Q9" s="16"/>
      <c r="R9" s="16"/>
      <c r="S9" s="16"/>
      <c r="T9" s="16"/>
    </row>
    <row r="10" spans="1:20" s="17" customFormat="1" ht="16.5" customHeight="1" x14ac:dyDescent="0.2">
      <c r="A10" s="309"/>
      <c r="B10" s="441"/>
      <c r="C10" s="446"/>
      <c r="D10" s="450" t="s">
        <v>166</v>
      </c>
      <c r="E10" s="495" t="s">
        <v>7</v>
      </c>
      <c r="F10" s="764" t="s">
        <v>67</v>
      </c>
      <c r="G10" s="764"/>
      <c r="H10" s="764"/>
      <c r="I10" s="765"/>
      <c r="J10" s="542">
        <f>J11+J31+J37+J45</f>
        <v>2669871250</v>
      </c>
      <c r="K10" s="543">
        <f t="shared" ref="K10" si="0">K11+K31+K37+K45</f>
        <v>601069</v>
      </c>
      <c r="L10" s="14"/>
      <c r="M10" s="15"/>
      <c r="N10" s="15"/>
      <c r="O10" s="16"/>
      <c r="P10" s="16"/>
      <c r="Q10" s="16"/>
      <c r="R10" s="16"/>
      <c r="S10" s="16"/>
      <c r="T10" s="16"/>
    </row>
    <row r="11" spans="1:20" ht="16.5" customHeight="1" x14ac:dyDescent="0.25">
      <c r="A11" s="316"/>
      <c r="B11" s="442"/>
      <c r="C11" s="397"/>
      <c r="D11" s="450" t="s">
        <v>203</v>
      </c>
      <c r="E11" s="451"/>
      <c r="F11" s="452">
        <v>1</v>
      </c>
      <c r="G11" s="453" t="s">
        <v>9</v>
      </c>
      <c r="H11" s="766" t="s">
        <v>211</v>
      </c>
      <c r="I11" s="767"/>
      <c r="J11" s="529">
        <f>SUM(J13:J30)</f>
        <v>2099172250</v>
      </c>
      <c r="K11" s="454">
        <f t="shared" ref="K11" si="1">SUM(K13:K30)</f>
        <v>515415</v>
      </c>
      <c r="L11" s="5"/>
    </row>
    <row r="12" spans="1:20" ht="16.5" customHeight="1" x14ac:dyDescent="0.25">
      <c r="A12" s="316"/>
      <c r="B12" s="442"/>
      <c r="C12" s="397"/>
      <c r="D12" s="450"/>
      <c r="E12" s="451"/>
      <c r="F12" s="455"/>
      <c r="G12" s="456"/>
      <c r="H12" s="768" t="s">
        <v>15</v>
      </c>
      <c r="I12" s="769"/>
      <c r="J12" s="530"/>
      <c r="K12" s="544"/>
      <c r="L12" s="5"/>
    </row>
    <row r="13" spans="1:20" ht="14.25" customHeight="1" x14ac:dyDescent="0.25">
      <c r="A13" s="331">
        <v>4000</v>
      </c>
      <c r="B13" s="442"/>
      <c r="C13" s="397"/>
      <c r="D13" s="457"/>
      <c r="E13" s="458"/>
      <c r="F13" s="459"/>
      <c r="G13" s="460">
        <v>1</v>
      </c>
      <c r="H13" s="503" t="s">
        <v>73</v>
      </c>
      <c r="I13" s="461" t="s">
        <v>11</v>
      </c>
      <c r="J13" s="545">
        <f>SUM('[1]JANUARI 26'!AN3)</f>
        <v>1275988000</v>
      </c>
      <c r="K13" s="504">
        <f>J13/A13</f>
        <v>318997</v>
      </c>
      <c r="L13" s="5"/>
    </row>
    <row r="14" spans="1:20" ht="15" customHeight="1" x14ac:dyDescent="0.25">
      <c r="A14" s="331">
        <v>3000</v>
      </c>
      <c r="B14" s="442"/>
      <c r="C14" s="397"/>
      <c r="D14" s="457"/>
      <c r="E14" s="458"/>
      <c r="F14" s="459"/>
      <c r="G14" s="460">
        <v>2</v>
      </c>
      <c r="H14" s="505" t="s">
        <v>74</v>
      </c>
      <c r="I14" s="462" t="s">
        <v>12</v>
      </c>
      <c r="J14" s="545">
        <f>SUM('[1]JANUARI 26'!AN4)</f>
        <v>331110000</v>
      </c>
      <c r="K14" s="504">
        <f>J14/A14</f>
        <v>110370</v>
      </c>
      <c r="L14" s="5"/>
    </row>
    <row r="15" spans="1:20" ht="42.75" customHeight="1" x14ac:dyDescent="0.25">
      <c r="A15" s="346"/>
      <c r="B15" s="443"/>
      <c r="C15" s="447"/>
      <c r="D15" s="457"/>
      <c r="E15" s="458"/>
      <c r="F15" s="459"/>
      <c r="G15" s="460">
        <v>3</v>
      </c>
      <c r="H15" s="506" t="s">
        <v>84</v>
      </c>
      <c r="I15" s="531" t="s">
        <v>75</v>
      </c>
      <c r="J15" s="546"/>
      <c r="K15" s="507"/>
      <c r="L15" s="5"/>
    </row>
    <row r="16" spans="1:20" ht="15" customHeight="1" x14ac:dyDescent="0.25">
      <c r="A16" s="346">
        <v>3000</v>
      </c>
      <c r="B16" s="443"/>
      <c r="C16" s="447"/>
      <c r="D16" s="457"/>
      <c r="E16" s="458"/>
      <c r="F16" s="459"/>
      <c r="G16" s="460"/>
      <c r="H16" s="505" t="s">
        <v>76</v>
      </c>
      <c r="I16" s="462" t="s">
        <v>11</v>
      </c>
      <c r="J16" s="545">
        <f>SUM('[1]JANUARI 26'!AN5)</f>
        <v>486000</v>
      </c>
      <c r="K16" s="504">
        <f>J16/A16</f>
        <v>162</v>
      </c>
      <c r="L16" s="5"/>
    </row>
    <row r="17" spans="1:85" ht="13.5" customHeight="1" x14ac:dyDescent="0.25">
      <c r="A17" s="346">
        <v>2250</v>
      </c>
      <c r="B17" s="443"/>
      <c r="C17" s="447"/>
      <c r="D17" s="457"/>
      <c r="E17" s="458"/>
      <c r="F17" s="459"/>
      <c r="G17" s="460"/>
      <c r="H17" s="508" t="s">
        <v>77</v>
      </c>
      <c r="I17" s="463" t="s">
        <v>12</v>
      </c>
      <c r="J17" s="545">
        <f>SUM('[1]JANUARI 26'!AN6)</f>
        <v>6815250</v>
      </c>
      <c r="K17" s="504">
        <f>J17/A17</f>
        <v>3029</v>
      </c>
      <c r="L17" s="5"/>
    </row>
    <row r="18" spans="1:85" s="4" customFormat="1" ht="14.25" customHeight="1" x14ac:dyDescent="0.25">
      <c r="A18" s="346"/>
      <c r="B18" s="443"/>
      <c r="C18" s="447"/>
      <c r="D18" s="457"/>
      <c r="E18" s="458"/>
      <c r="F18" s="459"/>
      <c r="G18" s="460"/>
      <c r="H18" s="759" t="s">
        <v>14</v>
      </c>
      <c r="I18" s="760"/>
      <c r="J18" s="547"/>
      <c r="K18" s="509"/>
      <c r="L18" s="5"/>
      <c r="O18" s="1"/>
      <c r="P18" s="1"/>
      <c r="Q18" s="1"/>
      <c r="R18" s="1"/>
      <c r="S18" s="1"/>
      <c r="T18" s="1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</row>
    <row r="19" spans="1:85" s="4" customFormat="1" ht="14.25" customHeight="1" x14ac:dyDescent="0.25">
      <c r="A19" s="346"/>
      <c r="B19" s="443"/>
      <c r="C19" s="447"/>
      <c r="D19" s="457"/>
      <c r="E19" s="458"/>
      <c r="F19" s="459"/>
      <c r="G19" s="460"/>
      <c r="H19" s="510" t="s">
        <v>78</v>
      </c>
      <c r="I19" s="464" t="s">
        <v>79</v>
      </c>
      <c r="J19" s="547"/>
      <c r="K19" s="511"/>
      <c r="L19" s="5"/>
      <c r="O19" s="1"/>
      <c r="P19" s="1"/>
      <c r="Q19" s="1"/>
      <c r="R19" s="1"/>
      <c r="S19" s="1"/>
      <c r="T19" s="1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</row>
    <row r="20" spans="1:85" s="4" customFormat="1" ht="16.899999999999999" customHeight="1" x14ac:dyDescent="0.25">
      <c r="A20" s="346">
        <v>5000</v>
      </c>
      <c r="B20" s="443"/>
      <c r="C20" s="447"/>
      <c r="D20" s="457"/>
      <c r="E20" s="458"/>
      <c r="F20" s="459"/>
      <c r="G20" s="460"/>
      <c r="H20" s="512" t="s">
        <v>80</v>
      </c>
      <c r="I20" s="532" t="s">
        <v>56</v>
      </c>
      <c r="J20" s="545">
        <f>SUM('[1]JANUARI 26'!AN7)</f>
        <v>0</v>
      </c>
      <c r="K20" s="504">
        <f>J20/A20</f>
        <v>0</v>
      </c>
      <c r="L20" s="5"/>
      <c r="O20" s="1"/>
      <c r="P20" s="1"/>
      <c r="Q20" s="1"/>
      <c r="R20" s="1"/>
      <c r="S20" s="1"/>
      <c r="T20" s="1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</row>
    <row r="21" spans="1:85" s="4" customFormat="1" ht="16.899999999999999" customHeight="1" x14ac:dyDescent="0.25">
      <c r="A21" s="346">
        <v>7500</v>
      </c>
      <c r="B21" s="443"/>
      <c r="C21" s="447"/>
      <c r="D21" s="457"/>
      <c r="E21" s="458"/>
      <c r="F21" s="459"/>
      <c r="G21" s="460"/>
      <c r="H21" s="505" t="s">
        <v>81</v>
      </c>
      <c r="I21" s="533" t="s">
        <v>57</v>
      </c>
      <c r="J21" s="545">
        <f>SUM('[1]JANUARI 26'!AN8)</f>
        <v>0</v>
      </c>
      <c r="K21" s="504">
        <f t="shared" ref="K21:K23" si="2">J21/A21</f>
        <v>0</v>
      </c>
      <c r="L21" s="5"/>
      <c r="O21" s="1"/>
      <c r="P21" s="1"/>
      <c r="Q21" s="1"/>
      <c r="R21" s="1"/>
      <c r="S21" s="1"/>
      <c r="T21" s="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</row>
    <row r="22" spans="1:85" s="4" customFormat="1" ht="16.899999999999999" customHeight="1" x14ac:dyDescent="0.25">
      <c r="A22" s="346">
        <v>7500</v>
      </c>
      <c r="B22" s="443"/>
      <c r="C22" s="447"/>
      <c r="D22" s="457"/>
      <c r="E22" s="458"/>
      <c r="F22" s="459"/>
      <c r="G22" s="460"/>
      <c r="H22" s="505" t="s">
        <v>82</v>
      </c>
      <c r="I22" s="533" t="s">
        <v>58</v>
      </c>
      <c r="J22" s="545">
        <f>SUM('[1]JANUARI 26'!AN9)</f>
        <v>0</v>
      </c>
      <c r="K22" s="504">
        <f t="shared" si="2"/>
        <v>0</v>
      </c>
      <c r="L22" s="5"/>
      <c r="O22" s="1"/>
      <c r="P22" s="1"/>
      <c r="Q22" s="1"/>
      <c r="R22" s="1"/>
      <c r="S22" s="1"/>
      <c r="T22" s="1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1:85" s="4" customFormat="1" ht="16.899999999999999" customHeight="1" x14ac:dyDescent="0.25">
      <c r="A23" s="346">
        <v>2500</v>
      </c>
      <c r="B23" s="443"/>
      <c r="C23" s="447"/>
      <c r="D23" s="457"/>
      <c r="E23" s="458"/>
      <c r="F23" s="459"/>
      <c r="G23" s="460"/>
      <c r="H23" s="505" t="s">
        <v>83</v>
      </c>
      <c r="I23" s="533" t="s">
        <v>59</v>
      </c>
      <c r="J23" s="545">
        <f>SUM('[1]JANUARI 26'!AN10)</f>
        <v>56197500</v>
      </c>
      <c r="K23" s="504">
        <f t="shared" si="2"/>
        <v>22479</v>
      </c>
      <c r="L23" s="5"/>
      <c r="O23" s="1"/>
      <c r="P23" s="1"/>
      <c r="Q23" s="1"/>
      <c r="R23" s="1"/>
      <c r="S23" s="1"/>
      <c r="T23" s="1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</row>
    <row r="24" spans="1:85" s="4" customFormat="1" ht="14.25" customHeight="1" x14ac:dyDescent="0.25">
      <c r="A24" s="346"/>
      <c r="B24" s="443"/>
      <c r="C24" s="447"/>
      <c r="D24" s="457"/>
      <c r="E24" s="458"/>
      <c r="F24" s="459"/>
      <c r="G24" s="460"/>
      <c r="H24" s="506" t="s">
        <v>85</v>
      </c>
      <c r="I24" s="465" t="s">
        <v>86</v>
      </c>
      <c r="J24" s="546"/>
      <c r="K24" s="507"/>
      <c r="L24" s="5"/>
      <c r="O24" s="1"/>
      <c r="P24" s="1"/>
      <c r="Q24" s="1"/>
      <c r="R24" s="1"/>
      <c r="S24" s="1"/>
      <c r="T24" s="1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</row>
    <row r="25" spans="1:85" s="4" customFormat="1" ht="16.899999999999999" customHeight="1" x14ac:dyDescent="0.25">
      <c r="A25" s="346">
        <v>6000</v>
      </c>
      <c r="B25" s="443"/>
      <c r="C25" s="447"/>
      <c r="D25" s="457"/>
      <c r="E25" s="458"/>
      <c r="F25" s="459"/>
      <c r="G25" s="460"/>
      <c r="H25" s="505" t="s">
        <v>87</v>
      </c>
      <c r="I25" s="462" t="s">
        <v>88</v>
      </c>
      <c r="J25" s="548">
        <f>SUM('[1]JANUARI 26'!$AN$11+'[1]JANUARI 26'!$AN$12)</f>
        <v>93750000</v>
      </c>
      <c r="K25" s="504">
        <f>J25/A25</f>
        <v>15625</v>
      </c>
      <c r="L25" s="5"/>
      <c r="O25" s="1"/>
      <c r="P25" s="1"/>
      <c r="Q25" s="1"/>
      <c r="R25" s="1"/>
      <c r="S25" s="1"/>
      <c r="T25" s="1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</row>
    <row r="26" spans="1:85" s="4" customFormat="1" ht="16.899999999999999" customHeight="1" x14ac:dyDescent="0.25">
      <c r="A26" s="346">
        <v>7500</v>
      </c>
      <c r="B26" s="443"/>
      <c r="C26" s="447"/>
      <c r="D26" s="457"/>
      <c r="E26" s="458"/>
      <c r="F26" s="459"/>
      <c r="G26" s="460"/>
      <c r="H26" s="505" t="s">
        <v>89</v>
      </c>
      <c r="I26" s="462" t="s">
        <v>90</v>
      </c>
      <c r="J26" s="548">
        <f>SUM('[1]JANUARI 26'!$AN$15+'[1]JANUARI 26'!$AN$16)</f>
        <v>333592500</v>
      </c>
      <c r="K26" s="504">
        <f>J26/A26</f>
        <v>44479</v>
      </c>
      <c r="L26" s="5"/>
      <c r="O26" s="1"/>
      <c r="P26" s="1"/>
      <c r="Q26" s="1"/>
      <c r="R26" s="1"/>
      <c r="S26" s="1"/>
      <c r="T26" s="1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</row>
    <row r="27" spans="1:85" s="4" customFormat="1" ht="39.75" customHeight="1" x14ac:dyDescent="0.25">
      <c r="A27" s="346"/>
      <c r="B27" s="443"/>
      <c r="C27" s="447"/>
      <c r="D27" s="457"/>
      <c r="E27" s="458"/>
      <c r="F27" s="459"/>
      <c r="G27" s="460"/>
      <c r="H27" s="506" t="s">
        <v>92</v>
      </c>
      <c r="I27" s="466" t="s">
        <v>91</v>
      </c>
      <c r="J27" s="546"/>
      <c r="K27" s="507"/>
      <c r="L27" s="5"/>
      <c r="O27" s="1"/>
      <c r="P27" s="1"/>
      <c r="Q27" s="1"/>
      <c r="R27" s="1"/>
      <c r="S27" s="1"/>
      <c r="T27" s="1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1:85" s="4" customFormat="1" ht="16.899999999999999" customHeight="1" x14ac:dyDescent="0.25">
      <c r="A28" s="346">
        <v>4500</v>
      </c>
      <c r="B28" s="443"/>
      <c r="C28" s="447"/>
      <c r="D28" s="457"/>
      <c r="E28" s="458"/>
      <c r="F28" s="459"/>
      <c r="G28" s="460"/>
      <c r="H28" s="505" t="s">
        <v>93</v>
      </c>
      <c r="I28" s="462" t="s">
        <v>88</v>
      </c>
      <c r="J28" s="548">
        <f>SUM('[1]JANUARI 26'!$AN$13+'[1]JANUARI 26'!$AN$14)</f>
        <v>1233000</v>
      </c>
      <c r="K28" s="504">
        <f>J28/A28</f>
        <v>274</v>
      </c>
      <c r="L28" s="5"/>
      <c r="O28" s="1"/>
      <c r="P28" s="1"/>
      <c r="Q28" s="1"/>
      <c r="R28" s="1"/>
      <c r="S28" s="1"/>
      <c r="T28" s="1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</row>
    <row r="29" spans="1:85" s="4" customFormat="1" ht="16.899999999999999" customHeight="1" x14ac:dyDescent="0.25">
      <c r="A29" s="346">
        <v>5625</v>
      </c>
      <c r="B29" s="443"/>
      <c r="C29" s="447"/>
      <c r="D29" s="457"/>
      <c r="E29" s="458"/>
      <c r="F29" s="459"/>
      <c r="G29" s="460"/>
      <c r="H29" s="505" t="s">
        <v>94</v>
      </c>
      <c r="I29" s="462" t="s">
        <v>90</v>
      </c>
      <c r="J29" s="548">
        <f>SUM('[1]JANUARI 26'!$AN$17+'[1]JANUARI 26'!$AN$18)</f>
        <v>0</v>
      </c>
      <c r="K29" s="504">
        <f t="shared" ref="K29:K30" si="3">J29/A29</f>
        <v>0</v>
      </c>
      <c r="L29" s="5"/>
      <c r="O29" s="1"/>
      <c r="P29" s="1"/>
      <c r="Q29" s="1"/>
      <c r="R29" s="1"/>
      <c r="S29" s="1"/>
      <c r="T29" s="1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</row>
    <row r="30" spans="1:85" s="4" customFormat="1" ht="16.899999999999999" customHeight="1" x14ac:dyDescent="0.25">
      <c r="A30" s="346">
        <v>10000</v>
      </c>
      <c r="B30" s="443"/>
      <c r="C30" s="447"/>
      <c r="D30" s="457"/>
      <c r="E30" s="458"/>
      <c r="F30" s="459"/>
      <c r="G30" s="460"/>
      <c r="H30" s="513" t="s">
        <v>95</v>
      </c>
      <c r="I30" s="461" t="s">
        <v>16</v>
      </c>
      <c r="J30" s="545">
        <f>SUM('[1]JANUARI 26'!$AN$19)</f>
        <v>0</v>
      </c>
      <c r="K30" s="504">
        <f t="shared" si="3"/>
        <v>0</v>
      </c>
      <c r="L30" s="5"/>
      <c r="O30" s="1"/>
      <c r="P30" s="1"/>
      <c r="Q30" s="1"/>
      <c r="R30" s="1"/>
      <c r="S30" s="1"/>
      <c r="T30" s="1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1:85" s="4" customFormat="1" ht="26.25" customHeight="1" x14ac:dyDescent="0.25">
      <c r="A31" s="331"/>
      <c r="B31" s="442"/>
      <c r="C31" s="397"/>
      <c r="D31" s="457" t="s">
        <v>210</v>
      </c>
      <c r="E31" s="458"/>
      <c r="F31" s="514">
        <v>2</v>
      </c>
      <c r="G31" s="467">
        <v>5</v>
      </c>
      <c r="H31" s="761" t="s">
        <v>212</v>
      </c>
      <c r="I31" s="762"/>
      <c r="J31" s="549">
        <f>SUM(J33:J36)</f>
        <v>206130000</v>
      </c>
      <c r="K31" s="524">
        <f t="shared" ref="K31" si="4">SUM(K33:K36)</f>
        <v>6288</v>
      </c>
      <c r="L31" s="5"/>
      <c r="O31" s="1"/>
      <c r="P31" s="1"/>
      <c r="Q31" s="1"/>
      <c r="R31" s="1"/>
      <c r="S31" s="1"/>
      <c r="T31" s="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</row>
    <row r="32" spans="1:85" s="4" customFormat="1" ht="12.75" customHeight="1" x14ac:dyDescent="0.25">
      <c r="A32" s="331"/>
      <c r="B32" s="442"/>
      <c r="C32" s="397"/>
      <c r="D32" s="457"/>
      <c r="E32" s="457"/>
      <c r="F32" s="468"/>
      <c r="G32" s="469"/>
      <c r="H32" s="763" t="s">
        <v>14</v>
      </c>
      <c r="I32" s="753"/>
      <c r="J32" s="550"/>
      <c r="K32" s="515"/>
      <c r="L32" s="5"/>
      <c r="O32" s="1"/>
      <c r="P32" s="1"/>
      <c r="Q32" s="1"/>
      <c r="R32" s="1"/>
      <c r="S32" s="1"/>
      <c r="T32" s="1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</row>
    <row r="33" spans="1:85" s="4" customFormat="1" ht="13.5" customHeight="1" x14ac:dyDescent="0.25">
      <c r="A33" s="331"/>
      <c r="B33" s="442"/>
      <c r="C33" s="397"/>
      <c r="D33" s="457"/>
      <c r="E33" s="458"/>
      <c r="F33" s="470"/>
      <c r="G33" s="471">
        <v>6</v>
      </c>
      <c r="H33" s="516" t="s">
        <v>101</v>
      </c>
      <c r="I33" s="534" t="s">
        <v>97</v>
      </c>
      <c r="J33" s="526"/>
      <c r="K33" s="515"/>
      <c r="L33" s="5"/>
      <c r="O33" s="1"/>
      <c r="P33" s="1"/>
      <c r="Q33" s="1"/>
      <c r="R33" s="1"/>
      <c r="S33" s="1"/>
      <c r="T33" s="1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</row>
    <row r="34" spans="1:85" ht="16.899999999999999" customHeight="1" x14ac:dyDescent="0.25">
      <c r="A34" s="331">
        <v>10000</v>
      </c>
      <c r="B34" s="442"/>
      <c r="C34" s="397"/>
      <c r="D34" s="457"/>
      <c r="E34" s="458"/>
      <c r="F34" s="461"/>
      <c r="G34" s="472">
        <v>7</v>
      </c>
      <c r="H34" s="517" t="s">
        <v>102</v>
      </c>
      <c r="I34" s="535" t="s">
        <v>98</v>
      </c>
      <c r="J34" s="545">
        <f>SUM('[1]JANUARI 26'!AN20)</f>
        <v>34450000</v>
      </c>
      <c r="K34" s="504">
        <f>J34/A34</f>
        <v>3445</v>
      </c>
      <c r="L34" s="5"/>
    </row>
    <row r="35" spans="1:85" ht="16.899999999999999" customHeight="1" x14ac:dyDescent="0.25">
      <c r="A35" s="331">
        <v>15000</v>
      </c>
      <c r="B35" s="442"/>
      <c r="C35" s="397"/>
      <c r="D35" s="457"/>
      <c r="E35" s="458"/>
      <c r="F35" s="461"/>
      <c r="G35" s="472">
        <v>8</v>
      </c>
      <c r="H35" s="518" t="s">
        <v>103</v>
      </c>
      <c r="I35" s="536" t="s">
        <v>99</v>
      </c>
      <c r="J35" s="545">
        <f>SUM('[1]JANUARI 26'!AN21)</f>
        <v>40680000</v>
      </c>
      <c r="K35" s="504">
        <f t="shared" ref="K35:K36" si="5">J35/A35</f>
        <v>2712</v>
      </c>
      <c r="L35" s="5"/>
    </row>
    <row r="36" spans="1:85" ht="16.899999999999999" customHeight="1" x14ac:dyDescent="0.25">
      <c r="A36" s="331">
        <v>1000000</v>
      </c>
      <c r="B36" s="442"/>
      <c r="C36" s="397"/>
      <c r="D36" s="457"/>
      <c r="E36" s="458"/>
      <c r="F36" s="461"/>
      <c r="G36" s="472">
        <v>9</v>
      </c>
      <c r="H36" s="518" t="s">
        <v>104</v>
      </c>
      <c r="I36" s="536" t="s">
        <v>100</v>
      </c>
      <c r="J36" s="545">
        <f>SUM('[1]JANUARI 26'!AN22)</f>
        <v>131000000</v>
      </c>
      <c r="K36" s="504">
        <f t="shared" si="5"/>
        <v>131</v>
      </c>
      <c r="L36" s="5"/>
    </row>
    <row r="37" spans="1:85" ht="13.5" customHeight="1" x14ac:dyDescent="0.25">
      <c r="A37" s="331"/>
      <c r="B37" s="442"/>
      <c r="C37" s="397"/>
      <c r="D37" s="457" t="s">
        <v>205</v>
      </c>
      <c r="E37" s="458"/>
      <c r="F37" s="473">
        <v>3</v>
      </c>
      <c r="G37" s="467">
        <v>5</v>
      </c>
      <c r="H37" s="761" t="s">
        <v>162</v>
      </c>
      <c r="I37" s="762"/>
      <c r="J37" s="549">
        <f>SUM(J39:J44)</f>
        <v>306614000</v>
      </c>
      <c r="K37" s="524">
        <f t="shared" ref="K37" si="6">SUM(K39:K44)</f>
        <v>73803</v>
      </c>
      <c r="L37" s="5"/>
    </row>
    <row r="38" spans="1:85" ht="14.25" customHeight="1" x14ac:dyDescent="0.25">
      <c r="A38" s="331"/>
      <c r="B38" s="442"/>
      <c r="C38" s="397"/>
      <c r="D38" s="457"/>
      <c r="E38" s="458"/>
      <c r="F38" s="474"/>
      <c r="G38" s="469"/>
      <c r="H38" s="752" t="s">
        <v>14</v>
      </c>
      <c r="I38" s="753"/>
      <c r="J38" s="550"/>
      <c r="K38" s="515"/>
      <c r="L38" s="5"/>
    </row>
    <row r="39" spans="1:85" ht="14.25" customHeight="1" x14ac:dyDescent="0.25">
      <c r="A39" s="331"/>
      <c r="B39" s="442"/>
      <c r="C39" s="397"/>
      <c r="D39" s="457"/>
      <c r="E39" s="458"/>
      <c r="F39" s="461"/>
      <c r="G39" s="472">
        <v>16</v>
      </c>
      <c r="H39" s="519" t="s">
        <v>112</v>
      </c>
      <c r="I39" s="470" t="s">
        <v>106</v>
      </c>
      <c r="J39" s="545"/>
      <c r="K39" s="504"/>
      <c r="L39" s="5"/>
    </row>
    <row r="40" spans="1:85" ht="14.25" customHeight="1" x14ac:dyDescent="0.25">
      <c r="A40" s="331">
        <v>15000</v>
      </c>
      <c r="B40" s="442"/>
      <c r="C40" s="397"/>
      <c r="D40" s="457"/>
      <c r="E40" s="458"/>
      <c r="F40" s="461"/>
      <c r="G40" s="472"/>
      <c r="H40" s="518" t="s">
        <v>113</v>
      </c>
      <c r="I40" s="536" t="s">
        <v>107</v>
      </c>
      <c r="J40" s="545">
        <f>SUM('[1]JANUARI 26'!AN23)</f>
        <v>6615000</v>
      </c>
      <c r="K40" s="504">
        <f t="shared" ref="K40:K44" si="7">J40/A40</f>
        <v>441</v>
      </c>
      <c r="L40" s="5"/>
    </row>
    <row r="41" spans="1:85" ht="26.25" customHeight="1" x14ac:dyDescent="0.25">
      <c r="A41" s="331">
        <v>12500</v>
      </c>
      <c r="B41" s="442"/>
      <c r="C41" s="397"/>
      <c r="D41" s="457"/>
      <c r="E41" s="458"/>
      <c r="F41" s="461"/>
      <c r="G41" s="475"/>
      <c r="H41" s="518" t="s">
        <v>114</v>
      </c>
      <c r="I41" s="537" t="s">
        <v>108</v>
      </c>
      <c r="J41" s="545">
        <f>SUM('[1]JANUARI 26'!AN24)</f>
        <v>2825000</v>
      </c>
      <c r="K41" s="504">
        <f t="shared" si="7"/>
        <v>226</v>
      </c>
      <c r="L41" s="5"/>
    </row>
    <row r="42" spans="1:85" ht="27" customHeight="1" x14ac:dyDescent="0.25">
      <c r="A42" s="331">
        <v>6000</v>
      </c>
      <c r="B42" s="442"/>
      <c r="C42" s="397"/>
      <c r="D42" s="457"/>
      <c r="E42" s="458"/>
      <c r="F42" s="461"/>
      <c r="G42" s="472">
        <v>18</v>
      </c>
      <c r="H42" s="518" t="s">
        <v>115</v>
      </c>
      <c r="I42" s="538" t="s">
        <v>109</v>
      </c>
      <c r="J42" s="545">
        <f>SUM('[1]JANUARI 26'!AN25)</f>
        <v>163080000</v>
      </c>
      <c r="K42" s="504">
        <f t="shared" si="7"/>
        <v>27180</v>
      </c>
      <c r="L42" s="5"/>
    </row>
    <row r="43" spans="1:85" ht="14.25" customHeight="1" x14ac:dyDescent="0.25">
      <c r="A43" s="331">
        <v>3000</v>
      </c>
      <c r="B43" s="442"/>
      <c r="C43" s="397"/>
      <c r="D43" s="457"/>
      <c r="E43" s="458"/>
      <c r="F43" s="461"/>
      <c r="G43" s="472">
        <v>19</v>
      </c>
      <c r="H43" s="518" t="s">
        <v>116</v>
      </c>
      <c r="I43" s="536" t="s">
        <v>110</v>
      </c>
      <c r="J43" s="545">
        <f>SUM('[1]JANUARI 26'!AN26)</f>
        <v>132207000</v>
      </c>
      <c r="K43" s="504">
        <f t="shared" si="7"/>
        <v>44069</v>
      </c>
      <c r="L43" s="5"/>
    </row>
    <row r="44" spans="1:85" ht="13.5" customHeight="1" x14ac:dyDescent="0.25">
      <c r="A44" s="331">
        <v>1000</v>
      </c>
      <c r="B44" s="442"/>
      <c r="C44" s="397"/>
      <c r="D44" s="457"/>
      <c r="E44" s="476"/>
      <c r="F44" s="461"/>
      <c r="G44" s="472">
        <v>20</v>
      </c>
      <c r="H44" s="520" t="s">
        <v>117</v>
      </c>
      <c r="I44" s="470" t="s">
        <v>111</v>
      </c>
      <c r="J44" s="545">
        <f>SUM('[1]JANUARI 26'!AN27)</f>
        <v>1887000</v>
      </c>
      <c r="K44" s="504">
        <f t="shared" si="7"/>
        <v>1887</v>
      </c>
      <c r="L44" s="5"/>
    </row>
    <row r="45" spans="1:85" ht="15.75" customHeight="1" x14ac:dyDescent="0.25">
      <c r="A45" s="316"/>
      <c r="B45" s="442"/>
      <c r="C45" s="397"/>
      <c r="D45" s="458" t="s">
        <v>206</v>
      </c>
      <c r="E45" s="461"/>
      <c r="F45" s="527">
        <v>4</v>
      </c>
      <c r="G45" s="467">
        <v>5</v>
      </c>
      <c r="H45" s="754" t="s">
        <v>213</v>
      </c>
      <c r="I45" s="754"/>
      <c r="J45" s="521">
        <f>SUM(J47:J67)</f>
        <v>57955000</v>
      </c>
      <c r="K45" s="523">
        <f t="shared" ref="K45" si="8">SUM(K47:K67)</f>
        <v>5563</v>
      </c>
      <c r="L45" s="5"/>
    </row>
    <row r="46" spans="1:85" ht="15.75" customHeight="1" x14ac:dyDescent="0.25">
      <c r="A46" s="316"/>
      <c r="B46" s="442"/>
      <c r="C46" s="397"/>
      <c r="D46" s="458"/>
      <c r="E46" s="461"/>
      <c r="F46" s="477"/>
      <c r="G46" s="478"/>
      <c r="H46" s="755" t="s">
        <v>14</v>
      </c>
      <c r="I46" s="755"/>
      <c r="J46" s="550"/>
      <c r="K46" s="515"/>
      <c r="L46" s="5"/>
    </row>
    <row r="47" spans="1:85" ht="13.5" customHeight="1" x14ac:dyDescent="0.25">
      <c r="A47" s="331"/>
      <c r="B47" s="442"/>
      <c r="C47" s="397"/>
      <c r="D47" s="458"/>
      <c r="E47" s="461"/>
      <c r="F47" s="460"/>
      <c r="G47" s="472">
        <v>36</v>
      </c>
      <c r="H47" s="516" t="s">
        <v>129</v>
      </c>
      <c r="I47" s="534" t="s">
        <v>119</v>
      </c>
      <c r="J47" s="550"/>
      <c r="K47" s="515"/>
      <c r="L47" s="5"/>
    </row>
    <row r="48" spans="1:85" ht="15" customHeight="1" x14ac:dyDescent="0.25">
      <c r="A48" s="331">
        <v>1500000</v>
      </c>
      <c r="B48" s="442"/>
      <c r="C48" s="397"/>
      <c r="D48" s="458"/>
      <c r="E48" s="461"/>
      <c r="F48" s="460"/>
      <c r="G48" s="472">
        <v>37</v>
      </c>
      <c r="H48" s="517" t="s">
        <v>130</v>
      </c>
      <c r="I48" s="539" t="s">
        <v>120</v>
      </c>
      <c r="J48" s="545">
        <f>SUM('[1]JANUARI 26'!AN28)</f>
        <v>0</v>
      </c>
      <c r="K48" s="504">
        <f t="shared" ref="K48:K67" si="9">J48/A48</f>
        <v>0</v>
      </c>
      <c r="L48" s="5"/>
    </row>
    <row r="49" spans="1:85" s="2" customFormat="1" ht="15" customHeight="1" x14ac:dyDescent="0.25">
      <c r="A49" s="416">
        <v>2500000</v>
      </c>
      <c r="B49" s="448"/>
      <c r="C49" s="449"/>
      <c r="D49" s="479"/>
      <c r="E49" s="480"/>
      <c r="F49" s="481"/>
      <c r="G49" s="469">
        <v>39</v>
      </c>
      <c r="H49" s="518" t="s">
        <v>131</v>
      </c>
      <c r="I49" s="540" t="s">
        <v>121</v>
      </c>
      <c r="J49" s="545">
        <f>SUM('[1]JANUARI 26'!AN29)</f>
        <v>0</v>
      </c>
      <c r="K49" s="504">
        <f t="shared" si="9"/>
        <v>0</v>
      </c>
      <c r="L49" s="9"/>
      <c r="M49" s="10"/>
      <c r="N49" s="10"/>
      <c r="O49" s="11"/>
      <c r="P49" s="11"/>
      <c r="Q49" s="11"/>
      <c r="R49" s="11"/>
      <c r="S49" s="11"/>
      <c r="T49" s="11"/>
    </row>
    <row r="50" spans="1:85" s="4" customFormat="1" ht="15" customHeight="1" x14ac:dyDescent="0.25">
      <c r="A50" s="331">
        <v>500000</v>
      </c>
      <c r="B50" s="442"/>
      <c r="C50" s="397"/>
      <c r="D50" s="458"/>
      <c r="E50" s="461"/>
      <c r="F50" s="460"/>
      <c r="G50" s="472">
        <v>40</v>
      </c>
      <c r="H50" s="518" t="s">
        <v>132</v>
      </c>
      <c r="I50" s="540" t="s">
        <v>122</v>
      </c>
      <c r="J50" s="545">
        <f>SUM('[1]JANUARI 26'!AN30)</f>
        <v>0</v>
      </c>
      <c r="K50" s="504">
        <f t="shared" si="9"/>
        <v>0</v>
      </c>
      <c r="L50" s="5"/>
      <c r="O50" s="1"/>
      <c r="P50" s="1"/>
      <c r="Q50" s="1"/>
      <c r="R50" s="1"/>
      <c r="S50" s="1"/>
      <c r="T50" s="1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</row>
    <row r="51" spans="1:85" s="4" customFormat="1" ht="15" customHeight="1" x14ac:dyDescent="0.25">
      <c r="A51" s="331">
        <v>250000</v>
      </c>
      <c r="B51" s="442"/>
      <c r="C51" s="397"/>
      <c r="D51" s="458"/>
      <c r="E51" s="461"/>
      <c r="F51" s="460"/>
      <c r="G51" s="472">
        <v>41</v>
      </c>
      <c r="H51" s="518" t="s">
        <v>133</v>
      </c>
      <c r="I51" s="540" t="s">
        <v>123</v>
      </c>
      <c r="J51" s="545">
        <f>SUM('[1]JANUARI 26'!AN31)</f>
        <v>0</v>
      </c>
      <c r="K51" s="504">
        <f t="shared" si="9"/>
        <v>0</v>
      </c>
      <c r="L51" s="5"/>
      <c r="O51" s="1"/>
      <c r="P51" s="1"/>
      <c r="Q51" s="1"/>
      <c r="R51" s="1"/>
      <c r="S51" s="1"/>
      <c r="T51" s="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</row>
    <row r="52" spans="1:85" s="4" customFormat="1" ht="15" customHeight="1" x14ac:dyDescent="0.25">
      <c r="A52" s="331">
        <v>750000</v>
      </c>
      <c r="B52" s="442"/>
      <c r="C52" s="397"/>
      <c r="D52" s="482"/>
      <c r="E52" s="461"/>
      <c r="F52" s="460"/>
      <c r="G52" s="472">
        <v>42</v>
      </c>
      <c r="H52" s="518" t="s">
        <v>134</v>
      </c>
      <c r="I52" s="540" t="s">
        <v>124</v>
      </c>
      <c r="J52" s="545">
        <f>SUM('[1]JANUARI 26'!AN32)</f>
        <v>0</v>
      </c>
      <c r="K52" s="504">
        <f t="shared" si="9"/>
        <v>0</v>
      </c>
      <c r="L52" s="5"/>
      <c r="O52" s="1"/>
      <c r="P52" s="1"/>
      <c r="Q52" s="1"/>
      <c r="R52" s="1"/>
      <c r="S52" s="1"/>
      <c r="T52" s="1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</row>
    <row r="53" spans="1:85" s="4" customFormat="1" ht="15" customHeight="1" x14ac:dyDescent="0.25">
      <c r="A53" s="331">
        <v>1000000</v>
      </c>
      <c r="B53" s="442"/>
      <c r="C53" s="397"/>
      <c r="D53" s="482"/>
      <c r="E53" s="461"/>
      <c r="F53" s="460"/>
      <c r="G53" s="472">
        <v>43</v>
      </c>
      <c r="H53" s="518" t="s">
        <v>135</v>
      </c>
      <c r="I53" s="540" t="s">
        <v>60</v>
      </c>
      <c r="J53" s="545">
        <f>SUM('[1]JANUARI 26'!AN33)</f>
        <v>0</v>
      </c>
      <c r="K53" s="504">
        <f t="shared" si="9"/>
        <v>0</v>
      </c>
      <c r="L53" s="5"/>
      <c r="O53" s="1"/>
      <c r="P53" s="1"/>
      <c r="Q53" s="1"/>
      <c r="R53" s="1"/>
      <c r="S53" s="1"/>
      <c r="T53" s="1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</row>
    <row r="54" spans="1:85" s="4" customFormat="1" ht="15" customHeight="1" x14ac:dyDescent="0.25">
      <c r="A54" s="331">
        <v>250000</v>
      </c>
      <c r="B54" s="442"/>
      <c r="C54" s="397"/>
      <c r="D54" s="482"/>
      <c r="E54" s="461"/>
      <c r="F54" s="460"/>
      <c r="G54" s="472"/>
      <c r="H54" s="518" t="s">
        <v>136</v>
      </c>
      <c r="I54" s="540" t="s">
        <v>125</v>
      </c>
      <c r="J54" s="545">
        <f>SUM('[1]JANUARI 26'!AN34)</f>
        <v>0</v>
      </c>
      <c r="K54" s="504">
        <f t="shared" si="9"/>
        <v>0</v>
      </c>
      <c r="L54" s="5"/>
      <c r="O54" s="1"/>
      <c r="P54" s="1"/>
      <c r="Q54" s="1"/>
      <c r="R54" s="1"/>
      <c r="S54" s="1"/>
      <c r="T54" s="1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</row>
    <row r="55" spans="1:85" s="4" customFormat="1" ht="15" customHeight="1" x14ac:dyDescent="0.25">
      <c r="A55" s="331">
        <v>2000</v>
      </c>
      <c r="B55" s="442"/>
      <c r="C55" s="397"/>
      <c r="D55" s="482"/>
      <c r="E55" s="461"/>
      <c r="F55" s="460"/>
      <c r="G55" s="472"/>
      <c r="H55" s="518" t="s">
        <v>137</v>
      </c>
      <c r="I55" s="540" t="s">
        <v>126</v>
      </c>
      <c r="J55" s="545">
        <f>SUM('[1]JANUARI 26'!AN35)</f>
        <v>6500000</v>
      </c>
      <c r="K55" s="504">
        <f t="shared" si="9"/>
        <v>3250</v>
      </c>
      <c r="L55" s="5"/>
      <c r="O55" s="1"/>
      <c r="P55" s="1"/>
      <c r="Q55" s="1"/>
      <c r="R55" s="1"/>
      <c r="S55" s="1"/>
      <c r="T55" s="1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</row>
    <row r="56" spans="1:85" s="4" customFormat="1" ht="15" customHeight="1" x14ac:dyDescent="0.25">
      <c r="A56" s="331">
        <v>100000</v>
      </c>
      <c r="B56" s="442"/>
      <c r="C56" s="397"/>
      <c r="D56" s="482"/>
      <c r="E56" s="461"/>
      <c r="F56" s="460"/>
      <c r="G56" s="472"/>
      <c r="H56" s="518" t="s">
        <v>138</v>
      </c>
      <c r="I56" s="540" t="s">
        <v>127</v>
      </c>
      <c r="J56" s="545">
        <f>SUM('[1]JANUARI 26'!AN36)</f>
        <v>200000</v>
      </c>
      <c r="K56" s="504">
        <f t="shared" si="9"/>
        <v>2</v>
      </c>
      <c r="L56" s="5"/>
      <c r="O56" s="1"/>
      <c r="P56" s="1"/>
      <c r="Q56" s="1"/>
      <c r="R56" s="1"/>
      <c r="S56" s="1"/>
      <c r="T56" s="1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</row>
    <row r="57" spans="1:85" s="4" customFormat="1" ht="15" customHeight="1" x14ac:dyDescent="0.25">
      <c r="A57" s="331">
        <v>100000</v>
      </c>
      <c r="B57" s="442"/>
      <c r="C57" s="397"/>
      <c r="D57" s="482"/>
      <c r="E57" s="461"/>
      <c r="F57" s="460"/>
      <c r="G57" s="472"/>
      <c r="H57" s="518" t="s">
        <v>139</v>
      </c>
      <c r="I57" s="540" t="s">
        <v>128</v>
      </c>
      <c r="J57" s="545">
        <f>SUM('[1]JANUARI 26'!AN37)</f>
        <v>3100000</v>
      </c>
      <c r="K57" s="504">
        <f t="shared" si="9"/>
        <v>31</v>
      </c>
      <c r="L57" s="5"/>
      <c r="O57" s="1"/>
      <c r="P57" s="1"/>
      <c r="Q57" s="1"/>
      <c r="R57" s="1"/>
      <c r="S57" s="1"/>
      <c r="T57" s="1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</row>
    <row r="58" spans="1:85" s="4" customFormat="1" ht="15" customHeight="1" x14ac:dyDescent="0.25">
      <c r="A58" s="331">
        <v>250000</v>
      </c>
      <c r="B58" s="442"/>
      <c r="C58" s="397"/>
      <c r="D58" s="482"/>
      <c r="E58" s="461"/>
      <c r="F58" s="460"/>
      <c r="G58" s="472">
        <v>44</v>
      </c>
      <c r="H58" s="518" t="s">
        <v>148</v>
      </c>
      <c r="I58" s="540" t="s">
        <v>158</v>
      </c>
      <c r="J58" s="545">
        <f>SUM('[1]JANUARI 26'!AN38)</f>
        <v>24250000</v>
      </c>
      <c r="K58" s="504">
        <f t="shared" si="9"/>
        <v>97</v>
      </c>
      <c r="L58" s="5"/>
      <c r="M58" s="12"/>
      <c r="O58" s="1"/>
      <c r="P58" s="1"/>
      <c r="Q58" s="1"/>
      <c r="R58" s="1"/>
      <c r="S58" s="1"/>
      <c r="T58" s="1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</row>
    <row r="59" spans="1:85" s="4" customFormat="1" ht="15" customHeight="1" x14ac:dyDescent="0.25">
      <c r="A59" s="331">
        <v>300000</v>
      </c>
      <c r="B59" s="442"/>
      <c r="C59" s="397"/>
      <c r="D59" s="482"/>
      <c r="E59" s="461"/>
      <c r="F59" s="460"/>
      <c r="G59" s="472"/>
      <c r="H59" s="518" t="s">
        <v>149</v>
      </c>
      <c r="I59" s="540" t="s">
        <v>163</v>
      </c>
      <c r="J59" s="545">
        <f>SUM('[1]JANUARI 26'!AN39)</f>
        <v>0</v>
      </c>
      <c r="K59" s="504">
        <f t="shared" si="9"/>
        <v>0</v>
      </c>
      <c r="L59" s="5"/>
      <c r="M59" s="12"/>
      <c r="O59" s="1"/>
      <c r="P59" s="1"/>
      <c r="Q59" s="1"/>
      <c r="R59" s="1"/>
      <c r="S59" s="1"/>
      <c r="T59" s="1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</row>
    <row r="60" spans="1:85" s="4" customFormat="1" ht="15" customHeight="1" x14ac:dyDescent="0.25">
      <c r="A60" s="331">
        <v>750000</v>
      </c>
      <c r="B60" s="442"/>
      <c r="C60" s="397"/>
      <c r="D60" s="482"/>
      <c r="E60" s="461"/>
      <c r="F60" s="460"/>
      <c r="G60" s="472"/>
      <c r="H60" s="518" t="s">
        <v>150</v>
      </c>
      <c r="I60" s="540" t="s">
        <v>140</v>
      </c>
      <c r="J60" s="545">
        <f>SUM('[1]JANUARI 26'!AN40)</f>
        <v>1500000</v>
      </c>
      <c r="K60" s="504">
        <f t="shared" si="9"/>
        <v>2</v>
      </c>
      <c r="L60" s="5"/>
      <c r="M60" s="12"/>
      <c r="O60" s="1"/>
      <c r="P60" s="1"/>
      <c r="Q60" s="1"/>
      <c r="R60" s="1"/>
      <c r="S60" s="1"/>
      <c r="T60" s="1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</row>
    <row r="61" spans="1:85" s="4" customFormat="1" ht="15" customHeight="1" x14ac:dyDescent="0.25">
      <c r="A61" s="331">
        <v>1000000</v>
      </c>
      <c r="B61" s="442"/>
      <c r="C61" s="397"/>
      <c r="D61" s="482"/>
      <c r="E61" s="461"/>
      <c r="F61" s="460"/>
      <c r="G61" s="472"/>
      <c r="H61" s="518" t="s">
        <v>151</v>
      </c>
      <c r="I61" s="540" t="s">
        <v>141</v>
      </c>
      <c r="J61" s="545">
        <f>SUM('[1]JANUARI 26'!AN41)</f>
        <v>1000000</v>
      </c>
      <c r="K61" s="504">
        <f t="shared" si="9"/>
        <v>1</v>
      </c>
      <c r="L61" s="5"/>
      <c r="M61" s="12"/>
      <c r="O61" s="1"/>
      <c r="P61" s="1"/>
      <c r="Q61" s="1"/>
      <c r="R61" s="1"/>
      <c r="S61" s="1"/>
      <c r="T61" s="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</row>
    <row r="62" spans="1:85" s="4" customFormat="1" ht="15" customHeight="1" x14ac:dyDescent="0.25">
      <c r="A62" s="331">
        <v>100000</v>
      </c>
      <c r="B62" s="442"/>
      <c r="C62" s="397"/>
      <c r="D62" s="482"/>
      <c r="E62" s="461"/>
      <c r="F62" s="460"/>
      <c r="G62" s="472"/>
      <c r="H62" s="518" t="s">
        <v>152</v>
      </c>
      <c r="I62" s="540" t="s">
        <v>142</v>
      </c>
      <c r="J62" s="545">
        <f>SUM('[1]JANUARI 26'!AN42)</f>
        <v>900000</v>
      </c>
      <c r="K62" s="504">
        <f t="shared" si="9"/>
        <v>9</v>
      </c>
      <c r="L62" s="5"/>
      <c r="M62" s="12"/>
      <c r="O62" s="1"/>
      <c r="P62" s="1"/>
      <c r="Q62" s="1"/>
      <c r="R62" s="1"/>
      <c r="S62" s="1"/>
      <c r="T62" s="1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</row>
    <row r="63" spans="1:85" s="4" customFormat="1" ht="15" customHeight="1" x14ac:dyDescent="0.25">
      <c r="A63" s="331">
        <v>15000</v>
      </c>
      <c r="B63" s="442"/>
      <c r="C63" s="397"/>
      <c r="D63" s="482"/>
      <c r="E63" s="461"/>
      <c r="F63" s="460"/>
      <c r="G63" s="472"/>
      <c r="H63" s="518" t="s">
        <v>153</v>
      </c>
      <c r="I63" s="540" t="s">
        <v>143</v>
      </c>
      <c r="J63" s="545">
        <f>SUM('[1]JANUARI 26'!AN43)</f>
        <v>13950000</v>
      </c>
      <c r="K63" s="504">
        <f t="shared" si="9"/>
        <v>930</v>
      </c>
      <c r="L63" s="5"/>
      <c r="M63" s="12"/>
      <c r="O63" s="1"/>
      <c r="P63" s="1"/>
      <c r="Q63" s="1"/>
      <c r="R63" s="1"/>
      <c r="S63" s="1"/>
      <c r="T63" s="1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</row>
    <row r="64" spans="1:85" s="4" customFormat="1" ht="15" customHeight="1" x14ac:dyDescent="0.25">
      <c r="A64" s="331">
        <v>5000</v>
      </c>
      <c r="B64" s="442"/>
      <c r="C64" s="397"/>
      <c r="D64" s="482"/>
      <c r="E64" s="461"/>
      <c r="F64" s="460"/>
      <c r="G64" s="472"/>
      <c r="H64" s="518" t="s">
        <v>154</v>
      </c>
      <c r="I64" s="540" t="s">
        <v>144</v>
      </c>
      <c r="J64" s="545">
        <f>SUM('[1]JANUARI 26'!AN44)</f>
        <v>6180000</v>
      </c>
      <c r="K64" s="504">
        <f t="shared" si="9"/>
        <v>1236</v>
      </c>
      <c r="L64" s="5"/>
      <c r="M64" s="12"/>
      <c r="O64" s="1"/>
      <c r="P64" s="1"/>
      <c r="Q64" s="1"/>
      <c r="R64" s="1"/>
      <c r="S64" s="1"/>
      <c r="T64" s="1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</row>
    <row r="65" spans="1:85" s="4" customFormat="1" ht="15" customHeight="1" x14ac:dyDescent="0.25">
      <c r="A65" s="331">
        <v>150000</v>
      </c>
      <c r="B65" s="442"/>
      <c r="C65" s="397"/>
      <c r="D65" s="482"/>
      <c r="E65" s="461"/>
      <c r="F65" s="460"/>
      <c r="G65" s="472"/>
      <c r="H65" s="518" t="s">
        <v>155</v>
      </c>
      <c r="I65" s="540" t="s">
        <v>145</v>
      </c>
      <c r="J65" s="545">
        <f>SUM('[1]JANUARI 26'!AN45)</f>
        <v>0</v>
      </c>
      <c r="K65" s="504">
        <f t="shared" si="9"/>
        <v>0</v>
      </c>
      <c r="L65" s="5"/>
      <c r="M65" s="12"/>
      <c r="O65" s="1"/>
      <c r="P65" s="1"/>
      <c r="Q65" s="1"/>
      <c r="R65" s="1"/>
      <c r="S65" s="1"/>
      <c r="T65" s="1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</row>
    <row r="66" spans="1:85" ht="15" customHeight="1" x14ac:dyDescent="0.25">
      <c r="A66" s="331">
        <v>75000</v>
      </c>
      <c r="B66" s="442"/>
      <c r="C66" s="397"/>
      <c r="D66" s="482"/>
      <c r="E66" s="461"/>
      <c r="F66" s="460"/>
      <c r="G66" s="472"/>
      <c r="H66" s="518" t="s">
        <v>156</v>
      </c>
      <c r="I66" s="540" t="s">
        <v>146</v>
      </c>
      <c r="J66" s="545">
        <f>SUM('[1]JANUARI 26'!AN46)</f>
        <v>375000</v>
      </c>
      <c r="K66" s="504">
        <f t="shared" si="9"/>
        <v>5</v>
      </c>
      <c r="L66" s="5"/>
      <c r="M66" s="12"/>
    </row>
    <row r="67" spans="1:85" ht="15" customHeight="1" x14ac:dyDescent="0.25">
      <c r="A67" s="331">
        <v>100000</v>
      </c>
      <c r="B67" s="442"/>
      <c r="C67" s="397"/>
      <c r="D67" s="482"/>
      <c r="E67" s="461"/>
      <c r="F67" s="460"/>
      <c r="G67" s="472"/>
      <c r="H67" s="513" t="s">
        <v>157</v>
      </c>
      <c r="I67" s="532" t="s">
        <v>147</v>
      </c>
      <c r="J67" s="545">
        <f>SUM('[1]JANUARI 26'!AN47)</f>
        <v>0</v>
      </c>
      <c r="K67" s="504">
        <f t="shared" si="9"/>
        <v>0</v>
      </c>
      <c r="L67" s="5"/>
      <c r="M67" s="12"/>
    </row>
    <row r="68" spans="1:85" s="4" customFormat="1" ht="16.5" customHeight="1" x14ac:dyDescent="0.25">
      <c r="A68" s="316"/>
      <c r="B68" s="442"/>
      <c r="C68" s="397"/>
      <c r="D68" s="483" t="s">
        <v>207</v>
      </c>
      <c r="E68" s="484" t="s">
        <v>13</v>
      </c>
      <c r="F68" s="485" t="s">
        <v>68</v>
      </c>
      <c r="G68" s="485" t="s">
        <v>66</v>
      </c>
      <c r="H68" s="485"/>
      <c r="I68" s="541"/>
      <c r="J68" s="551">
        <f>SUM('[1]JANUARI 26'!$AN$56)</f>
        <v>26800000</v>
      </c>
      <c r="K68" s="552"/>
      <c r="L68" s="5"/>
      <c r="O68" s="1"/>
      <c r="P68" s="1"/>
      <c r="Q68" s="1"/>
      <c r="R68" s="1"/>
      <c r="S68" s="1"/>
      <c r="T68" s="1"/>
    </row>
    <row r="69" spans="1:85" s="4" customFormat="1" ht="16.5" customHeight="1" x14ac:dyDescent="0.25">
      <c r="A69" s="316"/>
      <c r="B69" s="442"/>
      <c r="C69" s="397"/>
      <c r="D69" s="483" t="s">
        <v>208</v>
      </c>
      <c r="E69" s="484" t="s">
        <v>17</v>
      </c>
      <c r="F69" s="756" t="s">
        <v>65</v>
      </c>
      <c r="G69" s="757"/>
      <c r="H69" s="757"/>
      <c r="I69" s="758"/>
      <c r="J69" s="551">
        <f>SUM('[1]JANUARI 26'!$AN$54)</f>
        <v>3038392</v>
      </c>
      <c r="K69" s="552"/>
      <c r="L69" s="5"/>
      <c r="O69" s="1"/>
      <c r="P69" s="1"/>
      <c r="Q69" s="1"/>
      <c r="R69" s="1"/>
      <c r="S69" s="1"/>
      <c r="T69" s="1"/>
    </row>
    <row r="70" spans="1:85" s="4" customFormat="1" ht="16.5" customHeight="1" x14ac:dyDescent="0.25">
      <c r="A70" s="316"/>
      <c r="B70" s="442"/>
      <c r="C70" s="397"/>
      <c r="D70" s="483" t="s">
        <v>209</v>
      </c>
      <c r="E70" s="486" t="s">
        <v>18</v>
      </c>
      <c r="F70" s="746" t="s">
        <v>64</v>
      </c>
      <c r="G70" s="747"/>
      <c r="H70" s="747"/>
      <c r="I70" s="748"/>
      <c r="J70" s="551">
        <f>SUM('[1]JANUARI 26'!$AN$49+'[1]JANUARI 26'!$AN$50+'[1]JANUARI 26'!$AN$51+'[1]JANUARI 26'!$AN$52+'[1]JANUARI 26'!$AN$53)</f>
        <v>78413240</v>
      </c>
      <c r="K70" s="552"/>
      <c r="L70" s="5"/>
      <c r="O70" s="1"/>
      <c r="P70" s="1"/>
      <c r="Q70" s="1"/>
      <c r="R70" s="1"/>
      <c r="S70" s="1"/>
      <c r="T70" s="1"/>
    </row>
    <row r="71" spans="1:85" s="4" customFormat="1" ht="16.5" customHeight="1" x14ac:dyDescent="0.25">
      <c r="A71" s="436"/>
      <c r="B71" s="442"/>
      <c r="C71" s="397"/>
      <c r="D71" s="780" t="s">
        <v>165</v>
      </c>
      <c r="E71" s="750"/>
      <c r="F71" s="750"/>
      <c r="G71" s="750"/>
      <c r="H71" s="750"/>
      <c r="I71" s="786"/>
      <c r="J71" s="522">
        <f>J10+J68+J69+J70</f>
        <v>2778122882</v>
      </c>
      <c r="K71" s="522"/>
      <c r="L71" s="5"/>
      <c r="O71" s="1"/>
      <c r="P71" s="1"/>
      <c r="Q71" s="1"/>
      <c r="R71" s="1"/>
      <c r="S71" s="1"/>
      <c r="T71" s="1"/>
    </row>
    <row r="72" spans="1:85" s="4" customFormat="1" ht="12" customHeight="1" x14ac:dyDescent="0.25">
      <c r="E72" s="19"/>
      <c r="F72" s="19"/>
      <c r="G72" s="19"/>
      <c r="H72" s="19"/>
      <c r="I72" s="19"/>
      <c r="J72" s="19"/>
      <c r="K72" s="19"/>
      <c r="O72" s="1"/>
      <c r="P72" s="1"/>
      <c r="Q72" s="1"/>
      <c r="R72" s="1"/>
      <c r="S72" s="1"/>
      <c r="T72" s="1"/>
    </row>
    <row r="73" spans="1:85" s="4" customFormat="1" x14ac:dyDescent="0.25">
      <c r="E73" s="21"/>
      <c r="F73" s="22"/>
      <c r="G73" s="22"/>
      <c r="H73" s="22"/>
      <c r="I73" s="744" t="s">
        <v>217</v>
      </c>
      <c r="J73" s="744"/>
      <c r="K73" s="744"/>
      <c r="O73" s="1"/>
      <c r="P73" s="1"/>
      <c r="Q73" s="1"/>
      <c r="R73" s="1"/>
      <c r="S73" s="1"/>
      <c r="T73" s="1"/>
    </row>
    <row r="74" spans="1:85" s="4" customFormat="1" ht="13.5" customHeight="1" x14ac:dyDescent="0.25">
      <c r="E74" s="21"/>
      <c r="F74" s="22"/>
      <c r="G74" s="22"/>
      <c r="H74" s="22"/>
      <c r="I74" s="744" t="s">
        <v>216</v>
      </c>
      <c r="J74" s="744"/>
      <c r="K74" s="744"/>
      <c r="O74" s="1"/>
      <c r="P74" s="1"/>
      <c r="Q74" s="1"/>
      <c r="R74" s="1"/>
      <c r="S74" s="1"/>
      <c r="T74" s="1"/>
    </row>
    <row r="75" spans="1:85" s="4" customFormat="1" ht="13.5" customHeight="1" x14ac:dyDescent="0.25">
      <c r="E75" s="21"/>
      <c r="F75" s="23"/>
      <c r="G75" s="23"/>
      <c r="H75" s="23"/>
      <c r="I75" s="744" t="s">
        <v>195</v>
      </c>
      <c r="J75" s="744"/>
      <c r="K75" s="744"/>
      <c r="O75" s="1"/>
      <c r="P75" s="1"/>
      <c r="Q75" s="1"/>
      <c r="R75" s="1"/>
      <c r="S75" s="1"/>
      <c r="T75" s="1"/>
    </row>
    <row r="76" spans="1:85" s="4" customFormat="1" ht="12" customHeight="1" x14ac:dyDescent="0.25">
      <c r="E76" s="21"/>
      <c r="F76" s="23"/>
      <c r="G76" s="23"/>
      <c r="H76" s="23"/>
      <c r="I76" s="744" t="s">
        <v>194</v>
      </c>
      <c r="J76" s="744"/>
      <c r="K76" s="744"/>
      <c r="O76" s="1"/>
      <c r="P76" s="1"/>
      <c r="Q76" s="1"/>
      <c r="R76" s="1"/>
      <c r="S76" s="1"/>
      <c r="T76" s="1"/>
    </row>
    <row r="77" spans="1:85" s="4" customFormat="1" ht="11.25" customHeight="1" x14ac:dyDescent="0.25">
      <c r="E77" s="21"/>
      <c r="F77" s="23"/>
      <c r="G77" s="23"/>
      <c r="H77" s="23"/>
      <c r="I77" s="744" t="s">
        <v>193</v>
      </c>
      <c r="J77" s="744"/>
      <c r="K77" s="744"/>
      <c r="O77" s="1"/>
      <c r="P77" s="1"/>
      <c r="Q77" s="1"/>
      <c r="R77" s="1"/>
      <c r="S77" s="1"/>
      <c r="T77" s="1"/>
    </row>
    <row r="78" spans="1:85" s="4" customFormat="1" x14ac:dyDescent="0.25">
      <c r="E78" s="21"/>
      <c r="F78" s="23"/>
      <c r="G78" s="23"/>
      <c r="H78" s="23"/>
      <c r="I78" s="298"/>
      <c r="J78" s="298"/>
      <c r="K78" s="298"/>
      <c r="O78" s="1"/>
      <c r="P78" s="1"/>
      <c r="Q78" s="1"/>
      <c r="R78" s="1"/>
      <c r="S78" s="1"/>
      <c r="T78" s="1"/>
    </row>
    <row r="79" spans="1:85" s="4" customFormat="1" x14ac:dyDescent="0.25">
      <c r="E79" s="21"/>
      <c r="F79" s="23"/>
      <c r="G79" s="23"/>
      <c r="H79" s="23"/>
      <c r="I79" s="298"/>
      <c r="J79" s="298"/>
      <c r="K79" s="298"/>
      <c r="O79" s="1"/>
      <c r="P79" s="1"/>
      <c r="Q79" s="1"/>
      <c r="R79" s="1"/>
      <c r="S79" s="1"/>
      <c r="T79" s="1"/>
    </row>
    <row r="80" spans="1:85" s="4" customFormat="1" ht="15.6" customHeight="1" x14ac:dyDescent="0.25">
      <c r="E80" s="21"/>
      <c r="F80" s="23"/>
      <c r="G80" s="23"/>
      <c r="H80" s="23"/>
      <c r="I80" s="744" t="s">
        <v>200</v>
      </c>
      <c r="J80" s="744"/>
      <c r="K80" s="744"/>
      <c r="O80" s="1"/>
      <c r="P80" s="1"/>
      <c r="Q80" s="1"/>
      <c r="R80" s="1"/>
      <c r="S80" s="1"/>
      <c r="T80" s="1"/>
    </row>
    <row r="81" spans="5:85" s="4" customFormat="1" ht="15.6" customHeight="1" x14ac:dyDescent="0.25">
      <c r="E81" s="21"/>
      <c r="F81" s="21"/>
      <c r="G81" s="21"/>
      <c r="H81" s="21"/>
      <c r="I81" s="744" t="s">
        <v>202</v>
      </c>
      <c r="J81" s="744"/>
      <c r="K81" s="744"/>
      <c r="O81" s="1"/>
      <c r="P81" s="1"/>
      <c r="Q81" s="1"/>
      <c r="R81" s="1"/>
      <c r="S81" s="1"/>
      <c r="T81" s="1"/>
    </row>
    <row r="82" spans="5:85" s="4" customFormat="1" x14ac:dyDescent="0.25">
      <c r="E82"/>
      <c r="F82"/>
      <c r="G82"/>
      <c r="H82"/>
      <c r="I82" s="18"/>
      <c r="J82" s="18"/>
      <c r="K82" s="18"/>
      <c r="O82" s="1"/>
      <c r="P82" s="1"/>
      <c r="Q82" s="1"/>
      <c r="R82" s="1"/>
      <c r="S82" s="1"/>
      <c r="T82" s="1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</row>
    <row r="83" spans="5:85" s="4" customFormat="1" x14ac:dyDescent="0.25">
      <c r="E83"/>
      <c r="F83"/>
      <c r="G83"/>
      <c r="H83"/>
      <c r="I83" s="18"/>
      <c r="J83" s="18"/>
      <c r="K83" s="18"/>
      <c r="O83" s="1"/>
      <c r="P83" s="1"/>
      <c r="Q83" s="1"/>
      <c r="R83" s="1"/>
      <c r="S83" s="1"/>
      <c r="T83" s="1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</row>
  </sheetData>
  <sheetProtection selectLockedCells="1" selectUnlockedCells="1"/>
  <mergeCells count="30">
    <mergeCell ref="I80:K80"/>
    <mergeCell ref="I81:K81"/>
    <mergeCell ref="I74:K74"/>
    <mergeCell ref="I75:K75"/>
    <mergeCell ref="I76:K76"/>
    <mergeCell ref="I77:K77"/>
    <mergeCell ref="D1:K1"/>
    <mergeCell ref="D2:K2"/>
    <mergeCell ref="D3:K3"/>
    <mergeCell ref="D4:K4"/>
    <mergeCell ref="F70:I70"/>
    <mergeCell ref="H18:I18"/>
    <mergeCell ref="H31:I31"/>
    <mergeCell ref="H32:I32"/>
    <mergeCell ref="H37:I37"/>
    <mergeCell ref="F10:I10"/>
    <mergeCell ref="H11:I11"/>
    <mergeCell ref="H12:I12"/>
    <mergeCell ref="J7:K7"/>
    <mergeCell ref="D71:I71"/>
    <mergeCell ref="I73:K73"/>
    <mergeCell ref="H38:I38"/>
    <mergeCell ref="H45:I45"/>
    <mergeCell ref="H46:I46"/>
    <mergeCell ref="F69:I69"/>
    <mergeCell ref="A7:A8"/>
    <mergeCell ref="D7:D8"/>
    <mergeCell ref="F7:F8"/>
    <mergeCell ref="H7:H8"/>
    <mergeCell ref="I7:I8"/>
  </mergeCells>
  <printOptions horizontalCentered="1"/>
  <pageMargins left="0.43307086614173229" right="0.31496062992125984" top="0.35433070866141736" bottom="0.27559055118110237" header="0.31496062992125984" footer="0.31496062992125984"/>
  <pageSetup paperSize="122" scale="70" fitToWidth="2" fitToHeight="2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B50D-AB35-4BBE-8C9B-D60B867C5CED}">
  <dimension ref="A1:U82"/>
  <sheetViews>
    <sheetView showOutlineSymbols="0" topLeftCell="A38" zoomScaleNormal="100" workbookViewId="0">
      <selection activeCell="O48" sqref="O48"/>
    </sheetView>
  </sheetViews>
  <sheetFormatPr defaultColWidth="8.6640625" defaultRowHeight="15.75" x14ac:dyDescent="0.25"/>
  <cols>
    <col min="1" max="1" width="13" customWidth="1"/>
    <col min="2" max="2" width="2.21875" customWidth="1"/>
    <col min="3" max="3" width="2.33203125" customWidth="1"/>
    <col min="4" max="4" width="0.5546875" hidden="1" customWidth="1"/>
    <col min="5" max="5" width="8.6640625" customWidth="1"/>
    <col min="6" max="6" width="58" style="18" customWidth="1"/>
    <col min="7" max="7" width="12" style="18" customWidth="1"/>
    <col min="8" max="8" width="15.6640625" style="18" customWidth="1"/>
    <col min="9" max="12" width="11.44140625" style="4" customWidth="1"/>
    <col min="13" max="13" width="8.6640625" style="4"/>
    <col min="14" max="14" width="9.44140625" style="4" bestFit="1" customWidth="1"/>
    <col min="15" max="15" width="8.6640625" style="4"/>
    <col min="16" max="21" width="8.6640625" style="1"/>
  </cols>
  <sheetData>
    <row r="1" spans="1:21" x14ac:dyDescent="0.25">
      <c r="A1" s="803" t="s">
        <v>196</v>
      </c>
      <c r="B1" s="803"/>
      <c r="C1" s="803"/>
      <c r="D1" s="803"/>
      <c r="E1" s="803"/>
      <c r="F1" s="803"/>
      <c r="G1" s="803"/>
      <c r="H1" s="803"/>
      <c r="I1" s="3"/>
      <c r="J1" s="3"/>
      <c r="K1" s="3"/>
      <c r="L1" s="3"/>
    </row>
    <row r="2" spans="1:21" x14ac:dyDescent="0.25">
      <c r="A2" s="24"/>
      <c r="B2" s="24"/>
      <c r="C2" s="24"/>
      <c r="D2" s="24"/>
      <c r="E2" s="24"/>
      <c r="F2" s="24" t="s">
        <v>191</v>
      </c>
      <c r="G2" s="24"/>
      <c r="H2" s="24"/>
      <c r="I2" s="3"/>
      <c r="J2" s="3"/>
      <c r="K2" s="3"/>
      <c r="L2" s="3"/>
    </row>
    <row r="3" spans="1:21" x14ac:dyDescent="0.25">
      <c r="A3" s="804" t="s">
        <v>51</v>
      </c>
      <c r="B3" s="804"/>
      <c r="C3" s="804"/>
      <c r="D3" s="804"/>
      <c r="E3" s="804"/>
      <c r="F3" s="804"/>
      <c r="G3" s="804"/>
      <c r="H3" s="804"/>
    </row>
    <row r="4" spans="1:21" x14ac:dyDescent="0.25">
      <c r="A4" s="803" t="s">
        <v>190</v>
      </c>
      <c r="B4" s="803"/>
      <c r="C4" s="803"/>
      <c r="D4" s="803"/>
      <c r="E4" s="803"/>
      <c r="F4" s="803"/>
      <c r="G4" s="803"/>
      <c r="H4" s="803"/>
    </row>
    <row r="5" spans="1:21" ht="10.9" customHeight="1" x14ac:dyDescent="0.25">
      <c r="A5" s="21"/>
      <c r="B5" s="21"/>
      <c r="C5" s="131"/>
      <c r="D5" s="131"/>
      <c r="E5" s="131"/>
      <c r="F5" s="131"/>
      <c r="G5" s="131"/>
      <c r="H5" s="131"/>
      <c r="K5" s="4" t="s">
        <v>69</v>
      </c>
    </row>
    <row r="6" spans="1:21" ht="9" customHeight="1" x14ac:dyDescent="0.25">
      <c r="A6" s="21"/>
      <c r="B6" s="21"/>
      <c r="C6" s="24"/>
      <c r="D6" s="24"/>
      <c r="E6" s="24"/>
      <c r="F6" s="131"/>
      <c r="G6" s="131"/>
      <c r="H6" s="131"/>
    </row>
    <row r="7" spans="1:21" ht="21" customHeight="1" x14ac:dyDescent="0.25">
      <c r="A7" s="805" t="s">
        <v>10</v>
      </c>
      <c r="B7" s="53"/>
      <c r="C7" s="807" t="s">
        <v>159</v>
      </c>
      <c r="D7" s="54"/>
      <c r="E7" s="809" t="s">
        <v>72</v>
      </c>
      <c r="F7" s="811" t="s">
        <v>4</v>
      </c>
      <c r="G7" s="813" t="s">
        <v>179</v>
      </c>
      <c r="H7" s="813"/>
      <c r="M7" s="5"/>
    </row>
    <row r="8" spans="1:21" ht="15" customHeight="1" x14ac:dyDescent="0.25">
      <c r="A8" s="806"/>
      <c r="B8" s="55"/>
      <c r="C8" s="808"/>
      <c r="D8" s="29"/>
      <c r="E8" s="810"/>
      <c r="F8" s="812"/>
      <c r="G8" s="38" t="s">
        <v>5</v>
      </c>
      <c r="H8" s="26" t="s">
        <v>180</v>
      </c>
      <c r="I8" s="3"/>
      <c r="J8" s="3"/>
      <c r="K8" s="3"/>
      <c r="L8" s="3"/>
      <c r="M8" s="5"/>
    </row>
    <row r="9" spans="1:21" s="17" customFormat="1" ht="14.45" customHeight="1" x14ac:dyDescent="0.2">
      <c r="A9" s="39">
        <v>1</v>
      </c>
      <c r="B9" s="40">
        <v>2</v>
      </c>
      <c r="C9" s="41">
        <v>3</v>
      </c>
      <c r="D9" s="58">
        <v>2</v>
      </c>
      <c r="E9" s="41">
        <v>4</v>
      </c>
      <c r="F9" s="42">
        <v>5</v>
      </c>
      <c r="G9" s="43">
        <v>6</v>
      </c>
      <c r="H9" s="43">
        <v>7</v>
      </c>
      <c r="I9" s="13"/>
      <c r="J9" s="13"/>
      <c r="K9" s="13"/>
      <c r="L9" s="13"/>
      <c r="M9" s="14"/>
      <c r="N9" s="15"/>
      <c r="O9" s="15"/>
      <c r="P9" s="16"/>
      <c r="Q9" s="16"/>
      <c r="R9" s="16"/>
      <c r="S9" s="16"/>
      <c r="T9" s="16"/>
      <c r="U9" s="16"/>
    </row>
    <row r="10" spans="1:21" s="17" customFormat="1" ht="13.9" customHeight="1" x14ac:dyDescent="0.2">
      <c r="A10" s="32" t="s">
        <v>166</v>
      </c>
      <c r="B10" s="108" t="s">
        <v>7</v>
      </c>
      <c r="C10" s="814" t="s">
        <v>167</v>
      </c>
      <c r="D10" s="814"/>
      <c r="E10" s="814"/>
      <c r="F10" s="815"/>
      <c r="G10" s="140"/>
      <c r="H10" s="132"/>
      <c r="I10" s="13"/>
      <c r="J10" s="13"/>
      <c r="K10" s="13"/>
      <c r="L10" s="13"/>
      <c r="M10" s="14"/>
      <c r="N10" s="15"/>
      <c r="O10" s="15"/>
      <c r="P10" s="16"/>
      <c r="Q10" s="16"/>
      <c r="R10" s="16"/>
      <c r="S10" s="16"/>
      <c r="T10" s="16"/>
      <c r="U10" s="16"/>
    </row>
    <row r="11" spans="1:21" ht="14.45" customHeight="1" x14ac:dyDescent="0.25">
      <c r="A11" s="32" t="s">
        <v>71</v>
      </c>
      <c r="B11" s="25"/>
      <c r="C11" s="122">
        <v>1</v>
      </c>
      <c r="D11" s="59" t="s">
        <v>9</v>
      </c>
      <c r="E11" s="816" t="s">
        <v>160</v>
      </c>
      <c r="F11" s="817"/>
      <c r="G11" s="82"/>
      <c r="H11" s="83"/>
      <c r="I11" s="6"/>
      <c r="M11" s="5"/>
    </row>
    <row r="12" spans="1:21" ht="16.899999999999999" customHeight="1" x14ac:dyDescent="0.25">
      <c r="A12" s="32"/>
      <c r="B12" s="121"/>
      <c r="C12" s="121"/>
      <c r="D12" s="60"/>
      <c r="E12" s="120" t="s">
        <v>171</v>
      </c>
      <c r="F12" s="120" t="s">
        <v>15</v>
      </c>
      <c r="G12" s="84"/>
      <c r="H12" s="84"/>
      <c r="I12" s="6"/>
      <c r="M12" s="5"/>
    </row>
    <row r="13" spans="1:21" x14ac:dyDescent="0.25">
      <c r="A13" s="61"/>
      <c r="B13" s="62"/>
      <c r="C13" s="56"/>
      <c r="D13" s="62">
        <v>1</v>
      </c>
      <c r="E13" s="44" t="s">
        <v>73</v>
      </c>
      <c r="F13" s="29" t="s">
        <v>11</v>
      </c>
      <c r="G13" s="138">
        <v>4000</v>
      </c>
      <c r="H13" s="85" t="s">
        <v>181</v>
      </c>
      <c r="I13" s="6"/>
      <c r="J13" s="6"/>
      <c r="K13" s="6"/>
      <c r="L13" s="6"/>
      <c r="M13" s="5"/>
    </row>
    <row r="14" spans="1:21" ht="16.899999999999999" customHeight="1" x14ac:dyDescent="0.25">
      <c r="A14" s="61"/>
      <c r="B14" s="62"/>
      <c r="C14" s="56"/>
      <c r="D14" s="62">
        <v>2</v>
      </c>
      <c r="E14" s="45" t="s">
        <v>74</v>
      </c>
      <c r="F14" s="63" t="s">
        <v>12</v>
      </c>
      <c r="G14" s="88">
        <v>3000</v>
      </c>
      <c r="H14" s="87" t="s">
        <v>181</v>
      </c>
      <c r="I14" s="6"/>
      <c r="J14" s="6"/>
      <c r="K14" s="6"/>
      <c r="L14" s="6"/>
      <c r="M14" s="5"/>
    </row>
    <row r="15" spans="1:21" ht="43.15" customHeight="1" x14ac:dyDescent="0.25">
      <c r="A15" s="61"/>
      <c r="B15" s="62"/>
      <c r="C15" s="56"/>
      <c r="D15" s="62">
        <v>3</v>
      </c>
      <c r="E15" s="45" t="s">
        <v>84</v>
      </c>
      <c r="F15" s="34" t="s">
        <v>75</v>
      </c>
      <c r="G15" s="88"/>
      <c r="H15" s="87" t="s">
        <v>181</v>
      </c>
      <c r="I15" s="6"/>
      <c r="J15" s="6"/>
      <c r="K15" s="6"/>
      <c r="L15" s="6"/>
      <c r="M15" s="5"/>
    </row>
    <row r="16" spans="1:21" ht="16.899999999999999" customHeight="1" x14ac:dyDescent="0.25">
      <c r="A16" s="61"/>
      <c r="B16" s="62"/>
      <c r="C16" s="56"/>
      <c r="D16" s="62"/>
      <c r="E16" s="45" t="s">
        <v>76</v>
      </c>
      <c r="F16" s="63" t="s">
        <v>11</v>
      </c>
      <c r="G16" s="88">
        <v>3000</v>
      </c>
      <c r="H16" s="87" t="s">
        <v>181</v>
      </c>
      <c r="I16" s="6"/>
      <c r="J16" s="6"/>
      <c r="K16" s="6"/>
      <c r="L16" s="6"/>
      <c r="M16" s="5"/>
    </row>
    <row r="17" spans="1:21" ht="16.899999999999999" customHeight="1" x14ac:dyDescent="0.25">
      <c r="A17" s="61"/>
      <c r="B17" s="62"/>
      <c r="C17" s="56"/>
      <c r="D17" s="62"/>
      <c r="E17" s="110" t="s">
        <v>77</v>
      </c>
      <c r="F17" s="111" t="s">
        <v>12</v>
      </c>
      <c r="G17" s="115">
        <v>2250</v>
      </c>
      <c r="H17" s="85" t="s">
        <v>181</v>
      </c>
      <c r="I17" s="6"/>
      <c r="J17" s="6"/>
      <c r="K17" s="6"/>
      <c r="L17" s="6"/>
      <c r="M17" s="5"/>
    </row>
    <row r="18" spans="1:21" s="4" customFormat="1" ht="15" customHeight="1" x14ac:dyDescent="0.25">
      <c r="A18" s="61"/>
      <c r="B18" s="124"/>
      <c r="C18" s="124"/>
      <c r="D18" s="114"/>
      <c r="E18" s="123" t="s">
        <v>172</v>
      </c>
      <c r="F18" s="123" t="s">
        <v>14</v>
      </c>
      <c r="G18" s="119"/>
      <c r="H18" s="118"/>
      <c r="I18" s="6"/>
      <c r="J18" s="6"/>
      <c r="K18" s="6"/>
      <c r="L18" s="6"/>
      <c r="M18" s="5"/>
      <c r="P18" s="1"/>
      <c r="Q18" s="1"/>
      <c r="R18" s="1"/>
      <c r="S18" s="1"/>
      <c r="T18" s="1"/>
      <c r="U18" s="1"/>
    </row>
    <row r="19" spans="1:21" s="4" customFormat="1" ht="15.6" customHeight="1" x14ac:dyDescent="0.25">
      <c r="A19" s="61"/>
      <c r="B19" s="62"/>
      <c r="C19" s="56"/>
      <c r="D19" s="62"/>
      <c r="E19" s="112" t="s">
        <v>78</v>
      </c>
      <c r="F19" s="113" t="s">
        <v>79</v>
      </c>
      <c r="G19" s="117"/>
      <c r="H19" s="116"/>
      <c r="I19" s="6"/>
      <c r="J19" s="6"/>
      <c r="K19" s="6"/>
      <c r="L19" s="6"/>
      <c r="M19" s="5"/>
      <c r="P19" s="1"/>
      <c r="Q19" s="1"/>
      <c r="R19" s="1"/>
      <c r="S19" s="1"/>
      <c r="T19" s="1"/>
      <c r="U19" s="1"/>
    </row>
    <row r="20" spans="1:21" s="4" customFormat="1" ht="16.899999999999999" customHeight="1" x14ac:dyDescent="0.25">
      <c r="A20" s="61"/>
      <c r="B20" s="62"/>
      <c r="C20" s="56"/>
      <c r="D20" s="62"/>
      <c r="E20" s="45" t="s">
        <v>80</v>
      </c>
      <c r="F20" s="64" t="s">
        <v>56</v>
      </c>
      <c r="G20" s="88">
        <v>5000</v>
      </c>
      <c r="H20" s="87" t="s">
        <v>182</v>
      </c>
      <c r="I20" s="6"/>
      <c r="J20" s="6"/>
      <c r="K20" s="6"/>
      <c r="L20" s="6"/>
      <c r="M20" s="5"/>
      <c r="P20" s="1"/>
      <c r="Q20" s="1"/>
      <c r="R20" s="1"/>
      <c r="S20" s="1"/>
      <c r="T20" s="1"/>
      <c r="U20" s="1"/>
    </row>
    <row r="21" spans="1:21" s="4" customFormat="1" ht="16.899999999999999" customHeight="1" x14ac:dyDescent="0.25">
      <c r="A21" s="61"/>
      <c r="B21" s="62"/>
      <c r="C21" s="56"/>
      <c r="D21" s="62"/>
      <c r="E21" s="45" t="s">
        <v>81</v>
      </c>
      <c r="F21" s="64" t="s">
        <v>57</v>
      </c>
      <c r="G21" s="88">
        <v>7500</v>
      </c>
      <c r="H21" s="87" t="s">
        <v>182</v>
      </c>
      <c r="I21" s="6"/>
      <c r="J21" s="6"/>
      <c r="K21" s="6"/>
      <c r="L21" s="6"/>
      <c r="M21" s="5"/>
      <c r="P21" s="1"/>
      <c r="Q21" s="1"/>
      <c r="R21" s="1"/>
      <c r="S21" s="1"/>
      <c r="T21" s="1"/>
      <c r="U21" s="1"/>
    </row>
    <row r="22" spans="1:21" s="4" customFormat="1" ht="16.899999999999999" customHeight="1" x14ac:dyDescent="0.25">
      <c r="A22" s="61"/>
      <c r="B22" s="62"/>
      <c r="C22" s="56"/>
      <c r="D22" s="62"/>
      <c r="E22" s="45" t="s">
        <v>82</v>
      </c>
      <c r="F22" s="64" t="s">
        <v>58</v>
      </c>
      <c r="G22" s="88">
        <v>7500</v>
      </c>
      <c r="H22" s="87" t="s">
        <v>182</v>
      </c>
      <c r="I22" s="6"/>
      <c r="J22" s="6"/>
      <c r="K22" s="6"/>
      <c r="L22" s="6"/>
      <c r="M22" s="5"/>
      <c r="P22" s="1"/>
      <c r="Q22" s="1"/>
      <c r="R22" s="1"/>
      <c r="S22" s="1"/>
      <c r="T22" s="1"/>
      <c r="U22" s="1"/>
    </row>
    <row r="23" spans="1:21" s="4" customFormat="1" ht="16.899999999999999" customHeight="1" x14ac:dyDescent="0.25">
      <c r="A23" s="61"/>
      <c r="B23" s="62"/>
      <c r="C23" s="56"/>
      <c r="D23" s="62"/>
      <c r="E23" s="45" t="s">
        <v>83</v>
      </c>
      <c r="F23" s="64" t="s">
        <v>59</v>
      </c>
      <c r="G23" s="88">
        <v>2500</v>
      </c>
      <c r="H23" s="87"/>
      <c r="I23" s="6"/>
      <c r="J23" s="6"/>
      <c r="K23" s="6"/>
      <c r="L23" s="6"/>
      <c r="M23" s="5"/>
      <c r="P23" s="1"/>
      <c r="Q23" s="1"/>
      <c r="R23" s="1"/>
      <c r="S23" s="1"/>
      <c r="T23" s="1"/>
      <c r="U23" s="1"/>
    </row>
    <row r="24" spans="1:21" s="4" customFormat="1" ht="16.899999999999999" customHeight="1" x14ac:dyDescent="0.25">
      <c r="A24" s="61"/>
      <c r="B24" s="62"/>
      <c r="C24" s="56"/>
      <c r="D24" s="62"/>
      <c r="E24" s="45" t="s">
        <v>85</v>
      </c>
      <c r="F24" s="63" t="s">
        <v>86</v>
      </c>
      <c r="G24" s="88"/>
      <c r="H24" s="87"/>
      <c r="I24" s="6"/>
      <c r="J24" s="6"/>
      <c r="K24" s="6"/>
      <c r="L24" s="6"/>
      <c r="M24" s="5"/>
      <c r="P24" s="1"/>
      <c r="Q24" s="1"/>
      <c r="R24" s="1"/>
      <c r="S24" s="1"/>
      <c r="T24" s="1"/>
      <c r="U24" s="1"/>
    </row>
    <row r="25" spans="1:21" s="4" customFormat="1" ht="16.899999999999999" customHeight="1" x14ac:dyDescent="0.25">
      <c r="A25" s="61"/>
      <c r="B25" s="62"/>
      <c r="C25" s="56"/>
      <c r="D25" s="62"/>
      <c r="E25" s="45" t="s">
        <v>87</v>
      </c>
      <c r="F25" s="63" t="s">
        <v>177</v>
      </c>
      <c r="G25" s="88">
        <v>6000</v>
      </c>
      <c r="H25" s="87" t="s">
        <v>181</v>
      </c>
      <c r="I25" s="6"/>
      <c r="J25" s="6"/>
      <c r="K25" s="6"/>
      <c r="L25" s="6"/>
      <c r="M25" s="5"/>
      <c r="P25" s="1"/>
      <c r="Q25" s="1"/>
      <c r="R25" s="1"/>
      <c r="S25" s="1"/>
      <c r="T25" s="1"/>
      <c r="U25" s="1"/>
    </row>
    <row r="26" spans="1:21" s="4" customFormat="1" ht="16.899999999999999" customHeight="1" x14ac:dyDescent="0.25">
      <c r="A26" s="61"/>
      <c r="B26" s="62"/>
      <c r="C26" s="56"/>
      <c r="D26" s="62"/>
      <c r="E26" s="45" t="s">
        <v>89</v>
      </c>
      <c r="F26" s="63" t="s">
        <v>90</v>
      </c>
      <c r="G26" s="88">
        <v>7500</v>
      </c>
      <c r="H26" s="87" t="s">
        <v>181</v>
      </c>
      <c r="I26" s="6"/>
      <c r="J26" s="6"/>
      <c r="K26" s="6"/>
      <c r="L26" s="6"/>
      <c r="M26" s="5"/>
      <c r="P26" s="1"/>
      <c r="Q26" s="1"/>
      <c r="R26" s="1"/>
      <c r="S26" s="1"/>
      <c r="T26" s="1"/>
      <c r="U26" s="1"/>
    </row>
    <row r="27" spans="1:21" s="4" customFormat="1" ht="42.6" customHeight="1" x14ac:dyDescent="0.25">
      <c r="A27" s="61"/>
      <c r="B27" s="62"/>
      <c r="C27" s="56"/>
      <c r="D27" s="62"/>
      <c r="E27" s="45" t="s">
        <v>92</v>
      </c>
      <c r="F27" s="35" t="s">
        <v>91</v>
      </c>
      <c r="G27" s="88"/>
      <c r="H27" s="87"/>
      <c r="I27" s="6"/>
      <c r="J27" s="6"/>
      <c r="K27" s="6"/>
      <c r="L27" s="6"/>
      <c r="M27" s="5"/>
      <c r="P27" s="1"/>
      <c r="Q27" s="1"/>
      <c r="R27" s="1"/>
      <c r="S27" s="1"/>
      <c r="T27" s="1"/>
      <c r="U27" s="1"/>
    </row>
    <row r="28" spans="1:21" s="4" customFormat="1" ht="16.899999999999999" customHeight="1" x14ac:dyDescent="0.25">
      <c r="A28" s="61"/>
      <c r="B28" s="62"/>
      <c r="C28" s="56"/>
      <c r="D28" s="62"/>
      <c r="E28" s="45" t="s">
        <v>93</v>
      </c>
      <c r="F28" s="63" t="s">
        <v>177</v>
      </c>
      <c r="G28" s="88">
        <v>4500</v>
      </c>
      <c r="H28" s="87" t="s">
        <v>181</v>
      </c>
      <c r="I28" s="6"/>
      <c r="J28" s="6"/>
      <c r="K28" s="6"/>
      <c r="L28" s="6"/>
      <c r="M28" s="5"/>
      <c r="P28" s="1"/>
      <c r="Q28" s="1"/>
      <c r="R28" s="1"/>
      <c r="S28" s="1"/>
      <c r="T28" s="1"/>
      <c r="U28" s="1"/>
    </row>
    <row r="29" spans="1:21" s="4" customFormat="1" ht="16.899999999999999" customHeight="1" x14ac:dyDescent="0.25">
      <c r="A29" s="61"/>
      <c r="B29" s="62"/>
      <c r="C29" s="56"/>
      <c r="D29" s="62"/>
      <c r="E29" s="45" t="s">
        <v>94</v>
      </c>
      <c r="F29" s="63" t="s">
        <v>90</v>
      </c>
      <c r="G29" s="88">
        <v>5625</v>
      </c>
      <c r="H29" s="87" t="s">
        <v>181</v>
      </c>
      <c r="I29" s="6"/>
      <c r="J29" s="6"/>
      <c r="K29" s="6"/>
      <c r="L29" s="6"/>
      <c r="M29" s="5"/>
      <c r="P29" s="1"/>
      <c r="Q29" s="1"/>
      <c r="R29" s="1"/>
      <c r="S29" s="1"/>
      <c r="T29" s="1"/>
      <c r="U29" s="1"/>
    </row>
    <row r="30" spans="1:21" s="4" customFormat="1" ht="16.899999999999999" customHeight="1" x14ac:dyDescent="0.25">
      <c r="A30" s="61"/>
      <c r="B30" s="62"/>
      <c r="C30" s="56"/>
      <c r="D30" s="62"/>
      <c r="E30" s="46" t="s">
        <v>95</v>
      </c>
      <c r="F30" s="29" t="s">
        <v>16</v>
      </c>
      <c r="G30" s="139">
        <v>10000</v>
      </c>
      <c r="H30" s="87" t="s">
        <v>181</v>
      </c>
      <c r="I30" s="6"/>
      <c r="J30" s="6"/>
      <c r="K30" s="6"/>
      <c r="L30" s="6"/>
      <c r="M30" s="5"/>
      <c r="P30" s="1"/>
      <c r="Q30" s="1"/>
      <c r="R30" s="1"/>
      <c r="S30" s="1"/>
      <c r="T30" s="1"/>
      <c r="U30" s="1"/>
    </row>
    <row r="31" spans="1:21" s="4" customFormat="1" ht="28.15" customHeight="1" x14ac:dyDescent="0.25">
      <c r="A31" s="61" t="s">
        <v>96</v>
      </c>
      <c r="B31" s="62"/>
      <c r="C31" s="141">
        <v>2</v>
      </c>
      <c r="D31" s="27">
        <v>5</v>
      </c>
      <c r="E31" s="818" t="s">
        <v>161</v>
      </c>
      <c r="F31" s="819"/>
      <c r="G31" s="89"/>
      <c r="H31" s="90"/>
      <c r="I31" s="6" t="s">
        <v>69</v>
      </c>
      <c r="J31" s="6"/>
      <c r="K31" s="6"/>
      <c r="L31" s="6"/>
      <c r="M31" s="5"/>
      <c r="P31" s="1"/>
      <c r="Q31" s="1"/>
      <c r="R31" s="1"/>
      <c r="S31" s="1"/>
      <c r="T31" s="1"/>
      <c r="U31" s="1"/>
    </row>
    <row r="32" spans="1:21" s="4" customFormat="1" ht="16.899999999999999" customHeight="1" x14ac:dyDescent="0.25">
      <c r="A32" s="61"/>
      <c r="B32" s="124"/>
      <c r="C32" s="127"/>
      <c r="D32" s="30"/>
      <c r="E32" s="126" t="s">
        <v>168</v>
      </c>
      <c r="F32" s="125" t="s">
        <v>14</v>
      </c>
      <c r="G32" s="91"/>
      <c r="H32" s="91"/>
      <c r="I32" s="6"/>
      <c r="J32" s="6"/>
      <c r="K32" s="6"/>
      <c r="L32" s="6"/>
      <c r="M32" s="5"/>
      <c r="P32" s="1"/>
      <c r="Q32" s="1"/>
      <c r="R32" s="1"/>
      <c r="S32" s="1"/>
      <c r="T32" s="1"/>
      <c r="U32" s="1"/>
    </row>
    <row r="33" spans="1:21" s="4" customFormat="1" ht="16.899999999999999" customHeight="1" x14ac:dyDescent="0.25">
      <c r="A33" s="61"/>
      <c r="B33" s="62"/>
      <c r="C33" s="57"/>
      <c r="D33" s="28">
        <v>6</v>
      </c>
      <c r="E33" s="47" t="s">
        <v>101</v>
      </c>
      <c r="F33" s="65" t="s">
        <v>97</v>
      </c>
      <c r="G33" s="91"/>
      <c r="H33" s="92"/>
      <c r="I33" s="6"/>
      <c r="J33" s="6"/>
      <c r="K33" s="6"/>
      <c r="L33" s="6"/>
      <c r="M33" s="5"/>
      <c r="P33" s="1"/>
      <c r="Q33" s="1"/>
      <c r="R33" s="1"/>
      <c r="S33" s="1"/>
      <c r="T33" s="1"/>
      <c r="U33" s="1"/>
    </row>
    <row r="34" spans="1:21" ht="16.899999999999999" customHeight="1" x14ac:dyDescent="0.25">
      <c r="A34" s="61"/>
      <c r="B34" s="62"/>
      <c r="C34" s="29"/>
      <c r="D34" s="29">
        <v>7</v>
      </c>
      <c r="E34" s="48" t="s">
        <v>102</v>
      </c>
      <c r="F34" s="66" t="s">
        <v>178</v>
      </c>
      <c r="G34" s="93">
        <v>10000</v>
      </c>
      <c r="H34" s="87" t="s">
        <v>183</v>
      </c>
      <c r="I34" s="6"/>
      <c r="J34" s="6"/>
      <c r="K34" s="6"/>
      <c r="L34" s="6"/>
      <c r="M34" s="5"/>
    </row>
    <row r="35" spans="1:21" ht="16.899999999999999" customHeight="1" x14ac:dyDescent="0.25">
      <c r="A35" s="61"/>
      <c r="B35" s="62"/>
      <c r="C35" s="29"/>
      <c r="D35" s="29">
        <v>8</v>
      </c>
      <c r="E35" s="48" t="s">
        <v>103</v>
      </c>
      <c r="F35" s="66" t="s">
        <v>99</v>
      </c>
      <c r="G35" s="93">
        <v>15000</v>
      </c>
      <c r="H35" s="87" t="s">
        <v>183</v>
      </c>
      <c r="I35" s="6"/>
      <c r="J35" s="6"/>
      <c r="K35" s="6"/>
      <c r="L35" s="6"/>
      <c r="M35" s="5"/>
    </row>
    <row r="36" spans="1:21" ht="16.899999999999999" customHeight="1" x14ac:dyDescent="0.25">
      <c r="A36" s="61"/>
      <c r="B36" s="62"/>
      <c r="C36" s="29"/>
      <c r="D36" s="29">
        <v>9</v>
      </c>
      <c r="E36" s="48" t="s">
        <v>104</v>
      </c>
      <c r="F36" s="66" t="s">
        <v>100</v>
      </c>
      <c r="G36" s="93">
        <v>1000000</v>
      </c>
      <c r="H36" s="87" t="s">
        <v>184</v>
      </c>
      <c r="I36" s="6"/>
      <c r="J36" s="6"/>
      <c r="K36" s="6"/>
      <c r="L36" s="6"/>
      <c r="M36" s="5"/>
    </row>
    <row r="37" spans="1:21" ht="16.899999999999999" customHeight="1" x14ac:dyDescent="0.25">
      <c r="A37" s="61" t="s">
        <v>105</v>
      </c>
      <c r="B37" s="62"/>
      <c r="C37" s="109">
        <v>3</v>
      </c>
      <c r="D37" s="27">
        <v>5</v>
      </c>
      <c r="E37" s="818" t="s">
        <v>162</v>
      </c>
      <c r="F37" s="819"/>
      <c r="G37" s="89"/>
      <c r="H37" s="90"/>
      <c r="I37" s="6"/>
      <c r="J37" s="6"/>
      <c r="K37" s="6"/>
      <c r="L37" s="6"/>
      <c r="M37" s="5"/>
    </row>
    <row r="38" spans="1:21" ht="16.899999999999999" customHeight="1" x14ac:dyDescent="0.25">
      <c r="A38" s="61"/>
      <c r="B38" s="124"/>
      <c r="C38" s="127"/>
      <c r="D38" s="30"/>
      <c r="E38" s="128" t="s">
        <v>169</v>
      </c>
      <c r="F38" s="128" t="s">
        <v>14</v>
      </c>
      <c r="G38" s="94"/>
      <c r="H38" s="95"/>
      <c r="I38" s="6"/>
      <c r="J38" s="6"/>
      <c r="K38" s="6"/>
      <c r="L38" s="6"/>
      <c r="M38" s="5"/>
    </row>
    <row r="39" spans="1:21" ht="16.899999999999999" customHeight="1" x14ac:dyDescent="0.25">
      <c r="A39" s="61"/>
      <c r="B39" s="62"/>
      <c r="C39" s="29"/>
      <c r="D39" s="29">
        <v>16</v>
      </c>
      <c r="E39" s="49" t="s">
        <v>112</v>
      </c>
      <c r="F39" s="57" t="s">
        <v>106</v>
      </c>
      <c r="G39" s="86"/>
      <c r="H39" s="85"/>
      <c r="I39" s="6"/>
      <c r="J39" s="6"/>
      <c r="K39" s="6"/>
      <c r="L39" s="6"/>
      <c r="M39" s="5"/>
    </row>
    <row r="40" spans="1:21" ht="16.899999999999999" customHeight="1" x14ac:dyDescent="0.25">
      <c r="A40" s="61"/>
      <c r="B40" s="62"/>
      <c r="C40" s="29"/>
      <c r="D40" s="29"/>
      <c r="E40" s="48" t="s">
        <v>113</v>
      </c>
      <c r="F40" s="66" t="s">
        <v>107</v>
      </c>
      <c r="G40" s="93">
        <v>15000</v>
      </c>
      <c r="H40" s="87" t="s">
        <v>183</v>
      </c>
      <c r="I40" s="6"/>
      <c r="J40" s="6"/>
      <c r="K40" s="6"/>
      <c r="L40" s="6"/>
      <c r="M40" s="5"/>
    </row>
    <row r="41" spans="1:21" ht="20.25" customHeight="1" x14ac:dyDescent="0.25">
      <c r="A41" s="133"/>
      <c r="B41" s="134"/>
      <c r="C41" s="37"/>
      <c r="D41" s="37"/>
      <c r="E41" s="50" t="s">
        <v>114</v>
      </c>
      <c r="F41" s="67" t="s">
        <v>108</v>
      </c>
      <c r="G41" s="93">
        <v>12500</v>
      </c>
      <c r="H41" s="87" t="s">
        <v>183</v>
      </c>
      <c r="I41" s="6"/>
      <c r="J41" s="6"/>
      <c r="K41" s="6"/>
      <c r="L41" s="6"/>
      <c r="M41" s="5"/>
    </row>
    <row r="42" spans="1:21" ht="20.25" customHeight="1" x14ac:dyDescent="0.25">
      <c r="A42" s="61"/>
      <c r="B42" s="62"/>
      <c r="C42" s="29"/>
      <c r="D42" s="29">
        <v>18</v>
      </c>
      <c r="E42" s="51" t="s">
        <v>115</v>
      </c>
      <c r="F42" s="36" t="s">
        <v>170</v>
      </c>
      <c r="G42" s="93">
        <v>6000</v>
      </c>
      <c r="H42" s="87" t="s">
        <v>183</v>
      </c>
      <c r="I42" s="6"/>
      <c r="J42" s="6"/>
      <c r="K42" s="6"/>
      <c r="L42" s="6"/>
      <c r="M42" s="5"/>
    </row>
    <row r="43" spans="1:21" ht="14.45" customHeight="1" x14ac:dyDescent="0.25">
      <c r="A43" s="61"/>
      <c r="B43" s="62"/>
      <c r="C43" s="29"/>
      <c r="D43" s="29">
        <v>19</v>
      </c>
      <c r="E43" s="48" t="s">
        <v>116</v>
      </c>
      <c r="F43" s="66" t="s">
        <v>110</v>
      </c>
      <c r="G43" s="93">
        <v>3000</v>
      </c>
      <c r="H43" s="87" t="s">
        <v>183</v>
      </c>
      <c r="I43" s="6"/>
      <c r="J43" s="6"/>
      <c r="K43" s="6"/>
      <c r="L43" s="6"/>
      <c r="M43" s="5"/>
    </row>
    <row r="44" spans="1:21" ht="16.899999999999999" customHeight="1" x14ac:dyDescent="0.25">
      <c r="A44" s="61"/>
      <c r="B44" s="62"/>
      <c r="C44" s="29"/>
      <c r="D44" s="29">
        <v>20</v>
      </c>
      <c r="E44" s="46" t="s">
        <v>117</v>
      </c>
      <c r="F44" s="57" t="s">
        <v>111</v>
      </c>
      <c r="G44" s="93">
        <v>1000</v>
      </c>
      <c r="H44" s="87" t="s">
        <v>183</v>
      </c>
      <c r="I44" s="6"/>
      <c r="J44" s="6"/>
      <c r="K44" s="6"/>
      <c r="L44" s="6"/>
      <c r="M44" s="5"/>
    </row>
    <row r="45" spans="1:21" ht="44.45" customHeight="1" x14ac:dyDescent="0.25">
      <c r="A45" s="68" t="s">
        <v>118</v>
      </c>
      <c r="B45" s="68"/>
      <c r="C45" s="142">
        <v>4</v>
      </c>
      <c r="D45" s="27">
        <v>5</v>
      </c>
      <c r="E45" s="820" t="s">
        <v>174</v>
      </c>
      <c r="F45" s="821"/>
      <c r="G45" s="96"/>
      <c r="H45" s="97"/>
      <c r="I45" s="6"/>
      <c r="J45" s="6"/>
      <c r="K45" s="6"/>
      <c r="L45" s="6"/>
      <c r="M45" s="5"/>
    </row>
    <row r="46" spans="1:21" ht="16.149999999999999" customHeight="1" x14ac:dyDescent="0.25">
      <c r="A46" s="68"/>
      <c r="B46" s="124"/>
      <c r="C46" s="127"/>
      <c r="D46" s="33"/>
      <c r="E46" s="128" t="s">
        <v>173</v>
      </c>
      <c r="F46" s="128" t="s">
        <v>14</v>
      </c>
      <c r="G46" s="98"/>
      <c r="H46" s="98"/>
      <c r="I46" s="6"/>
      <c r="J46" s="6"/>
      <c r="K46" s="6"/>
      <c r="L46" s="6"/>
      <c r="M46" s="5"/>
    </row>
    <row r="47" spans="1:21" ht="15" customHeight="1" x14ac:dyDescent="0.25">
      <c r="A47" s="68"/>
      <c r="B47" s="29"/>
      <c r="C47" s="62"/>
      <c r="D47" s="29">
        <v>36</v>
      </c>
      <c r="E47" s="51" t="s">
        <v>129</v>
      </c>
      <c r="F47" s="69" t="s">
        <v>119</v>
      </c>
      <c r="G47" s="100"/>
      <c r="H47" s="99"/>
      <c r="I47" s="6"/>
      <c r="J47" s="6"/>
      <c r="K47" s="6"/>
      <c r="L47" s="6"/>
      <c r="M47" s="5"/>
    </row>
    <row r="48" spans="1:21" ht="15" customHeight="1" x14ac:dyDescent="0.25">
      <c r="A48" s="68"/>
      <c r="B48" s="29"/>
      <c r="C48" s="62"/>
      <c r="D48" s="29">
        <v>37</v>
      </c>
      <c r="E48" s="51" t="s">
        <v>130</v>
      </c>
      <c r="F48" s="70" t="s">
        <v>120</v>
      </c>
      <c r="G48" s="101">
        <v>1500000</v>
      </c>
      <c r="H48" s="87" t="s">
        <v>183</v>
      </c>
      <c r="I48" s="6"/>
      <c r="J48" s="6"/>
      <c r="K48" s="6"/>
      <c r="L48" s="6"/>
      <c r="M48" s="5"/>
    </row>
    <row r="49" spans="1:21" s="2" customFormat="1" ht="15" customHeight="1" x14ac:dyDescent="0.25">
      <c r="A49" s="71"/>
      <c r="B49" s="30"/>
      <c r="C49" s="72"/>
      <c r="D49" s="30">
        <v>39</v>
      </c>
      <c r="E49" s="48" t="s">
        <v>131</v>
      </c>
      <c r="F49" s="73" t="s">
        <v>121</v>
      </c>
      <c r="G49" s="101">
        <v>2500000</v>
      </c>
      <c r="H49" s="87" t="s">
        <v>183</v>
      </c>
      <c r="I49" s="8"/>
      <c r="J49" s="8"/>
      <c r="K49" s="8"/>
      <c r="L49" s="8"/>
      <c r="M49" s="9"/>
      <c r="N49" s="10"/>
      <c r="O49" s="10"/>
      <c r="P49" s="11"/>
      <c r="Q49" s="11"/>
      <c r="R49" s="11"/>
      <c r="S49" s="11"/>
      <c r="T49" s="11"/>
      <c r="U49" s="11"/>
    </row>
    <row r="50" spans="1:21" s="4" customFormat="1" ht="15" customHeight="1" x14ac:dyDescent="0.25">
      <c r="A50" s="68"/>
      <c r="B50" s="29"/>
      <c r="C50" s="62"/>
      <c r="D50" s="29">
        <v>40</v>
      </c>
      <c r="E50" s="48" t="s">
        <v>132</v>
      </c>
      <c r="F50" s="73" t="s">
        <v>122</v>
      </c>
      <c r="G50" s="101">
        <v>500000</v>
      </c>
      <c r="H50" s="87" t="s">
        <v>183</v>
      </c>
      <c r="I50" s="6"/>
      <c r="J50" s="6"/>
      <c r="K50" s="6"/>
      <c r="L50" s="6"/>
      <c r="M50" s="5"/>
      <c r="P50" s="1"/>
      <c r="Q50" s="1"/>
      <c r="R50" s="1"/>
      <c r="S50" s="1"/>
      <c r="T50" s="1"/>
      <c r="U50" s="1"/>
    </row>
    <row r="51" spans="1:21" s="4" customFormat="1" ht="15" customHeight="1" x14ac:dyDescent="0.25">
      <c r="A51" s="68"/>
      <c r="B51" s="29"/>
      <c r="C51" s="62"/>
      <c r="D51" s="29">
        <v>41</v>
      </c>
      <c r="E51" s="48" t="s">
        <v>133</v>
      </c>
      <c r="F51" s="73" t="s">
        <v>123</v>
      </c>
      <c r="G51" s="101">
        <v>250000</v>
      </c>
      <c r="H51" s="87" t="s">
        <v>183</v>
      </c>
      <c r="I51" s="6"/>
      <c r="J51" s="6"/>
      <c r="K51" s="6"/>
      <c r="L51" s="6"/>
      <c r="M51" s="5"/>
      <c r="P51" s="1"/>
      <c r="Q51" s="1"/>
      <c r="R51" s="1"/>
      <c r="S51" s="1"/>
      <c r="T51" s="1"/>
      <c r="U51" s="1"/>
    </row>
    <row r="52" spans="1:21" s="4" customFormat="1" ht="15" customHeight="1" x14ac:dyDescent="0.25">
      <c r="A52" s="68"/>
      <c r="B52" s="29"/>
      <c r="C52" s="62"/>
      <c r="D52" s="29">
        <v>42</v>
      </c>
      <c r="E52" s="48" t="s">
        <v>134</v>
      </c>
      <c r="F52" s="73" t="s">
        <v>124</v>
      </c>
      <c r="G52" s="101">
        <v>750000</v>
      </c>
      <c r="H52" s="87" t="s">
        <v>183</v>
      </c>
      <c r="I52" s="6"/>
      <c r="J52" s="6"/>
      <c r="K52" s="6"/>
      <c r="L52" s="6"/>
      <c r="M52" s="5"/>
      <c r="P52" s="1"/>
      <c r="Q52" s="1"/>
      <c r="R52" s="1"/>
      <c r="S52" s="1"/>
      <c r="T52" s="1"/>
      <c r="U52" s="1"/>
    </row>
    <row r="53" spans="1:21" s="4" customFormat="1" ht="15" customHeight="1" x14ac:dyDescent="0.25">
      <c r="A53" s="68"/>
      <c r="B53" s="29"/>
      <c r="C53" s="62"/>
      <c r="D53" s="29">
        <v>43</v>
      </c>
      <c r="E53" s="48" t="s">
        <v>135</v>
      </c>
      <c r="F53" s="73" t="s">
        <v>60</v>
      </c>
      <c r="G53" s="101">
        <v>1000000</v>
      </c>
      <c r="H53" s="87" t="s">
        <v>183</v>
      </c>
      <c r="I53" s="6"/>
      <c r="J53" s="6"/>
      <c r="K53" s="6"/>
      <c r="L53" s="6"/>
      <c r="M53" s="5"/>
      <c r="P53" s="1"/>
      <c r="Q53" s="1"/>
      <c r="R53" s="1"/>
      <c r="S53" s="1"/>
      <c r="T53" s="1"/>
      <c r="U53" s="1"/>
    </row>
    <row r="54" spans="1:21" s="4" customFormat="1" ht="15" customHeight="1" x14ac:dyDescent="0.25">
      <c r="A54" s="68"/>
      <c r="B54" s="29"/>
      <c r="C54" s="62"/>
      <c r="D54" s="29"/>
      <c r="E54" s="48" t="s">
        <v>136</v>
      </c>
      <c r="F54" s="73" t="s">
        <v>125</v>
      </c>
      <c r="G54" s="101">
        <v>250000</v>
      </c>
      <c r="H54" s="87" t="s">
        <v>183</v>
      </c>
      <c r="I54" s="6"/>
      <c r="J54" s="6"/>
      <c r="K54" s="6"/>
      <c r="L54" s="6"/>
      <c r="M54" s="5"/>
      <c r="P54" s="1"/>
      <c r="Q54" s="1"/>
      <c r="R54" s="1"/>
      <c r="S54" s="1"/>
      <c r="T54" s="1"/>
      <c r="U54" s="1"/>
    </row>
    <row r="55" spans="1:21" s="4" customFormat="1" ht="15" customHeight="1" x14ac:dyDescent="0.25">
      <c r="A55" s="68"/>
      <c r="B55" s="29"/>
      <c r="C55" s="62"/>
      <c r="D55" s="29"/>
      <c r="E55" s="48" t="s">
        <v>137</v>
      </c>
      <c r="F55" s="73" t="s">
        <v>126</v>
      </c>
      <c r="G55" s="101">
        <v>2000</v>
      </c>
      <c r="H55" s="87" t="s">
        <v>185</v>
      </c>
      <c r="I55" s="6"/>
      <c r="J55" s="6"/>
      <c r="K55" s="6"/>
      <c r="L55" s="6"/>
      <c r="M55" s="5"/>
      <c r="P55" s="1"/>
      <c r="Q55" s="1"/>
      <c r="R55" s="1"/>
      <c r="S55" s="1"/>
      <c r="T55" s="1"/>
      <c r="U55" s="1"/>
    </row>
    <row r="56" spans="1:21" s="4" customFormat="1" ht="15" customHeight="1" x14ac:dyDescent="0.25">
      <c r="A56" s="68"/>
      <c r="B56" s="29"/>
      <c r="C56" s="62"/>
      <c r="D56" s="29"/>
      <c r="E56" s="48" t="s">
        <v>138</v>
      </c>
      <c r="F56" s="73" t="s">
        <v>127</v>
      </c>
      <c r="G56" s="101">
        <v>100000</v>
      </c>
      <c r="H56" s="87" t="s">
        <v>186</v>
      </c>
      <c r="I56" s="6"/>
      <c r="J56" s="6"/>
      <c r="K56" s="6"/>
      <c r="L56" s="6"/>
      <c r="M56" s="5"/>
      <c r="P56" s="1"/>
      <c r="Q56" s="1"/>
      <c r="R56" s="1"/>
      <c r="S56" s="1"/>
      <c r="T56" s="1"/>
      <c r="U56" s="1"/>
    </row>
    <row r="57" spans="1:21" s="4" customFormat="1" ht="15" customHeight="1" x14ac:dyDescent="0.25">
      <c r="A57" s="68"/>
      <c r="B57" s="29"/>
      <c r="C57" s="62"/>
      <c r="D57" s="29"/>
      <c r="E57" s="48" t="s">
        <v>139</v>
      </c>
      <c r="F57" s="73" t="s">
        <v>128</v>
      </c>
      <c r="G57" s="101">
        <v>100000</v>
      </c>
      <c r="H57" s="87" t="s">
        <v>186</v>
      </c>
      <c r="I57" s="6"/>
      <c r="J57" s="6"/>
      <c r="K57" s="6"/>
      <c r="L57" s="6"/>
      <c r="M57" s="5"/>
      <c r="P57" s="1"/>
      <c r="Q57" s="1"/>
      <c r="R57" s="1"/>
      <c r="S57" s="1"/>
      <c r="T57" s="1"/>
      <c r="U57" s="1"/>
    </row>
    <row r="58" spans="1:21" s="4" customFormat="1" ht="15" customHeight="1" x14ac:dyDescent="0.25">
      <c r="A58" s="68"/>
      <c r="B58" s="29"/>
      <c r="C58" s="62"/>
      <c r="D58" s="29">
        <v>44</v>
      </c>
      <c r="E58" s="48" t="s">
        <v>148</v>
      </c>
      <c r="F58" s="73" t="s">
        <v>158</v>
      </c>
      <c r="G58" s="101">
        <v>250000</v>
      </c>
      <c r="H58" s="87" t="s">
        <v>183</v>
      </c>
      <c r="I58" s="6"/>
      <c r="J58" s="6"/>
      <c r="K58" s="6"/>
      <c r="L58" s="6"/>
      <c r="M58" s="5"/>
      <c r="N58" s="12"/>
      <c r="P58" s="1"/>
      <c r="Q58" s="1"/>
      <c r="R58" s="1"/>
      <c r="S58" s="1"/>
      <c r="T58" s="1"/>
      <c r="U58" s="1"/>
    </row>
    <row r="59" spans="1:21" s="4" customFormat="1" ht="15" customHeight="1" x14ac:dyDescent="0.25">
      <c r="A59" s="68"/>
      <c r="B59" s="29"/>
      <c r="C59" s="62"/>
      <c r="D59" s="29"/>
      <c r="E59" s="48" t="s">
        <v>149</v>
      </c>
      <c r="F59" s="73" t="s">
        <v>163</v>
      </c>
      <c r="G59" s="101">
        <v>300000</v>
      </c>
      <c r="H59" s="87" t="s">
        <v>183</v>
      </c>
      <c r="I59" s="6"/>
      <c r="J59" s="6"/>
      <c r="K59" s="6"/>
      <c r="L59" s="6"/>
      <c r="M59" s="5"/>
      <c r="N59" s="12"/>
      <c r="P59" s="1"/>
      <c r="Q59" s="1"/>
      <c r="R59" s="1"/>
      <c r="S59" s="1"/>
      <c r="T59" s="1"/>
      <c r="U59" s="1"/>
    </row>
    <row r="60" spans="1:21" s="4" customFormat="1" ht="15" customHeight="1" x14ac:dyDescent="0.25">
      <c r="A60" s="68"/>
      <c r="B60" s="29"/>
      <c r="C60" s="62"/>
      <c r="D60" s="29"/>
      <c r="E60" s="48" t="s">
        <v>150</v>
      </c>
      <c r="F60" s="73" t="s">
        <v>140</v>
      </c>
      <c r="G60" s="101">
        <v>750000</v>
      </c>
      <c r="H60" s="87" t="s">
        <v>183</v>
      </c>
      <c r="I60" s="6"/>
      <c r="J60" s="6"/>
      <c r="K60" s="6"/>
      <c r="L60" s="6"/>
      <c r="M60" s="5"/>
      <c r="N60" s="12"/>
      <c r="P60" s="1"/>
      <c r="Q60" s="1"/>
      <c r="R60" s="1"/>
      <c r="S60" s="1"/>
      <c r="T60" s="1"/>
      <c r="U60" s="1"/>
    </row>
    <row r="61" spans="1:21" s="4" customFormat="1" ht="15" customHeight="1" x14ac:dyDescent="0.25">
      <c r="A61" s="68"/>
      <c r="B61" s="29"/>
      <c r="C61" s="62"/>
      <c r="D61" s="29"/>
      <c r="E61" s="48" t="s">
        <v>151</v>
      </c>
      <c r="F61" s="73" t="s">
        <v>141</v>
      </c>
      <c r="G61" s="101">
        <v>1000000</v>
      </c>
      <c r="H61" s="87" t="s">
        <v>183</v>
      </c>
      <c r="I61" s="6"/>
      <c r="J61" s="6"/>
      <c r="K61" s="6"/>
      <c r="L61" s="6"/>
      <c r="M61" s="5"/>
      <c r="N61" s="12"/>
      <c r="P61" s="1"/>
      <c r="Q61" s="1"/>
      <c r="R61" s="1"/>
      <c r="S61" s="1"/>
      <c r="T61" s="1"/>
      <c r="U61" s="1"/>
    </row>
    <row r="62" spans="1:21" s="4" customFormat="1" ht="15" customHeight="1" x14ac:dyDescent="0.25">
      <c r="A62" s="68"/>
      <c r="B62" s="29"/>
      <c r="C62" s="62"/>
      <c r="D62" s="29"/>
      <c r="E62" s="48" t="s">
        <v>152</v>
      </c>
      <c r="F62" s="73" t="s">
        <v>142</v>
      </c>
      <c r="G62" s="101">
        <v>100000</v>
      </c>
      <c r="H62" s="87" t="s">
        <v>183</v>
      </c>
      <c r="I62" s="6"/>
      <c r="J62" s="6"/>
      <c r="K62" s="6"/>
      <c r="L62" s="6"/>
      <c r="M62" s="5"/>
      <c r="N62" s="12"/>
      <c r="P62" s="1"/>
      <c r="Q62" s="1"/>
      <c r="R62" s="1"/>
      <c r="S62" s="1"/>
      <c r="T62" s="1"/>
      <c r="U62" s="1"/>
    </row>
    <row r="63" spans="1:21" s="4" customFormat="1" ht="15" customHeight="1" x14ac:dyDescent="0.25">
      <c r="A63" s="68"/>
      <c r="B63" s="29"/>
      <c r="C63" s="62"/>
      <c r="D63" s="29"/>
      <c r="E63" s="48" t="s">
        <v>153</v>
      </c>
      <c r="F63" s="73" t="s">
        <v>176</v>
      </c>
      <c r="G63" s="101">
        <v>15000</v>
      </c>
      <c r="H63" s="87" t="s">
        <v>183</v>
      </c>
      <c r="I63" s="6"/>
      <c r="J63" s="6"/>
      <c r="K63" s="6"/>
      <c r="L63" s="6"/>
      <c r="M63" s="5"/>
      <c r="N63" s="12"/>
      <c r="P63" s="1"/>
      <c r="Q63" s="1"/>
      <c r="R63" s="1"/>
      <c r="S63" s="1"/>
      <c r="T63" s="1"/>
      <c r="U63" s="1"/>
    </row>
    <row r="64" spans="1:21" s="4" customFormat="1" ht="15" customHeight="1" x14ac:dyDescent="0.25">
      <c r="A64" s="68"/>
      <c r="B64" s="29"/>
      <c r="C64" s="62"/>
      <c r="D64" s="29"/>
      <c r="E64" s="48" t="s">
        <v>154</v>
      </c>
      <c r="F64" s="73" t="s">
        <v>144</v>
      </c>
      <c r="G64" s="101">
        <v>5000</v>
      </c>
      <c r="H64" s="87" t="s">
        <v>187</v>
      </c>
      <c r="I64" s="6"/>
      <c r="J64" s="6"/>
      <c r="K64" s="6"/>
      <c r="L64" s="6"/>
      <c r="M64" s="5"/>
      <c r="N64" s="12"/>
      <c r="P64" s="1"/>
      <c r="Q64" s="1"/>
      <c r="R64" s="1"/>
      <c r="S64" s="1"/>
      <c r="T64" s="1"/>
      <c r="U64" s="1"/>
    </row>
    <row r="65" spans="1:21" s="4" customFormat="1" ht="15" customHeight="1" x14ac:dyDescent="0.25">
      <c r="A65" s="68"/>
      <c r="B65" s="29"/>
      <c r="C65" s="62"/>
      <c r="D65" s="29"/>
      <c r="E65" s="48" t="s">
        <v>155</v>
      </c>
      <c r="F65" s="73" t="s">
        <v>145</v>
      </c>
      <c r="G65" s="101">
        <v>150000</v>
      </c>
      <c r="H65" s="87" t="s">
        <v>188</v>
      </c>
      <c r="I65" s="6"/>
      <c r="J65" s="6"/>
      <c r="K65" s="6"/>
      <c r="L65" s="6"/>
      <c r="M65" s="5"/>
      <c r="N65" s="12"/>
      <c r="P65" s="1"/>
      <c r="Q65" s="1"/>
      <c r="R65" s="1"/>
      <c r="S65" s="1"/>
      <c r="T65" s="1"/>
      <c r="U65" s="1"/>
    </row>
    <row r="66" spans="1:21" ht="15" customHeight="1" x14ac:dyDescent="0.25">
      <c r="A66" s="68"/>
      <c r="B66" s="29"/>
      <c r="C66" s="62"/>
      <c r="D66" s="29"/>
      <c r="E66" s="48" t="s">
        <v>156</v>
      </c>
      <c r="F66" s="73" t="s">
        <v>175</v>
      </c>
      <c r="G66" s="101">
        <v>75000</v>
      </c>
      <c r="H66" s="87" t="s">
        <v>189</v>
      </c>
      <c r="I66" s="6"/>
      <c r="J66" s="6"/>
      <c r="K66" s="6"/>
      <c r="L66" s="6"/>
      <c r="M66" s="5"/>
      <c r="N66" s="12"/>
    </row>
    <row r="67" spans="1:21" ht="15" customHeight="1" x14ac:dyDescent="0.25">
      <c r="A67" s="68"/>
      <c r="B67" s="29"/>
      <c r="C67" s="62"/>
      <c r="D67" s="29"/>
      <c r="E67" s="46" t="s">
        <v>157</v>
      </c>
      <c r="F67" s="74" t="s">
        <v>147</v>
      </c>
      <c r="G67" s="101">
        <v>100000</v>
      </c>
      <c r="H67" s="87" t="s">
        <v>189</v>
      </c>
      <c r="I67" s="6"/>
      <c r="J67" s="6"/>
      <c r="K67" s="6"/>
      <c r="L67" s="6"/>
      <c r="M67" s="5"/>
      <c r="N67" s="12"/>
    </row>
    <row r="68" spans="1:21" s="4" customFormat="1" ht="15.6" customHeight="1" x14ac:dyDescent="0.25">
      <c r="A68" s="32" t="s">
        <v>61</v>
      </c>
      <c r="B68" s="106" t="s">
        <v>13</v>
      </c>
      <c r="C68" s="129" t="s">
        <v>68</v>
      </c>
      <c r="D68" s="129" t="s">
        <v>66</v>
      </c>
      <c r="E68" s="129"/>
      <c r="F68" s="130"/>
      <c r="G68" s="102"/>
      <c r="H68" s="102"/>
      <c r="I68" s="6"/>
      <c r="J68" s="6"/>
      <c r="K68" s="6"/>
      <c r="L68" s="6"/>
      <c r="M68" s="5"/>
      <c r="P68" s="1"/>
      <c r="Q68" s="1"/>
      <c r="R68" s="1"/>
      <c r="S68" s="1"/>
      <c r="T68" s="1"/>
      <c r="U68" s="1"/>
    </row>
    <row r="69" spans="1:21" s="4" customFormat="1" ht="16.149999999999999" customHeight="1" x14ac:dyDescent="0.25">
      <c r="A69" s="32" t="s">
        <v>63</v>
      </c>
      <c r="B69" s="106" t="s">
        <v>17</v>
      </c>
      <c r="C69" s="800" t="s">
        <v>65</v>
      </c>
      <c r="D69" s="801"/>
      <c r="E69" s="801"/>
      <c r="F69" s="802"/>
      <c r="G69" s="102"/>
      <c r="H69" s="103"/>
      <c r="I69" s="6"/>
      <c r="J69" s="6"/>
      <c r="K69" s="6"/>
      <c r="L69" s="6"/>
      <c r="M69" s="5"/>
      <c r="P69" s="1"/>
      <c r="Q69" s="1"/>
      <c r="R69" s="1"/>
      <c r="S69" s="1"/>
      <c r="T69" s="1"/>
      <c r="U69" s="1"/>
    </row>
    <row r="70" spans="1:21" s="4" customFormat="1" ht="14.45" customHeight="1" x14ac:dyDescent="0.25">
      <c r="A70" s="32" t="s">
        <v>62</v>
      </c>
      <c r="B70" s="107" t="s">
        <v>18</v>
      </c>
      <c r="C70" s="794" t="s">
        <v>64</v>
      </c>
      <c r="D70" s="795"/>
      <c r="E70" s="795"/>
      <c r="F70" s="796"/>
      <c r="G70" s="102"/>
      <c r="H70" s="104"/>
      <c r="I70" s="6"/>
      <c r="J70" s="6"/>
      <c r="K70" s="6"/>
      <c r="L70" s="6"/>
      <c r="M70" s="5"/>
      <c r="P70" s="1"/>
      <c r="Q70" s="1"/>
      <c r="R70" s="1"/>
      <c r="S70" s="1"/>
      <c r="T70" s="1"/>
      <c r="U70" s="1"/>
    </row>
    <row r="71" spans="1:21" s="4" customFormat="1" ht="18.600000000000001" customHeight="1" x14ac:dyDescent="0.25">
      <c r="A71" s="797" t="s">
        <v>70</v>
      </c>
      <c r="B71" s="798"/>
      <c r="C71" s="798"/>
      <c r="D71" s="798"/>
      <c r="E71" s="798"/>
      <c r="F71" s="799"/>
      <c r="G71" s="105"/>
      <c r="H71" s="105"/>
      <c r="I71" s="7"/>
      <c r="J71" s="7"/>
      <c r="K71" s="7"/>
      <c r="L71" s="7"/>
      <c r="M71" s="5"/>
      <c r="P71" s="1"/>
      <c r="Q71" s="1"/>
      <c r="R71" s="1"/>
      <c r="S71" s="1"/>
      <c r="T71" s="1"/>
      <c r="U71" s="1"/>
    </row>
    <row r="72" spans="1:21" s="4" customFormat="1" x14ac:dyDescent="0.25">
      <c r="A72" s="52"/>
      <c r="B72" s="52"/>
      <c r="C72" s="52"/>
      <c r="D72" s="52"/>
      <c r="E72" s="52"/>
      <c r="F72" s="52"/>
      <c r="G72" s="75"/>
      <c r="H72" s="76"/>
      <c r="P72" s="1"/>
      <c r="Q72" s="1"/>
      <c r="R72" s="1"/>
      <c r="S72" s="1"/>
      <c r="T72" s="1"/>
      <c r="U72" s="1"/>
    </row>
    <row r="73" spans="1:21" s="4" customFormat="1" ht="15.6" customHeight="1" x14ac:dyDescent="0.25">
      <c r="A73" s="77"/>
      <c r="B73" s="77"/>
      <c r="C73" s="78"/>
      <c r="D73" s="78"/>
      <c r="E73" s="78"/>
      <c r="F73" s="76"/>
      <c r="G73" s="793"/>
      <c r="H73" s="793"/>
      <c r="I73" s="793"/>
      <c r="P73" s="1"/>
      <c r="Q73" s="1"/>
      <c r="R73" s="1"/>
      <c r="S73" s="1"/>
      <c r="T73" s="1"/>
      <c r="U73" s="1"/>
    </row>
    <row r="74" spans="1:21" s="4" customFormat="1" ht="15.6" customHeight="1" x14ac:dyDescent="0.25">
      <c r="A74" s="77"/>
      <c r="B74" s="77"/>
      <c r="C74" s="78"/>
      <c r="D74" s="78"/>
      <c r="E74" s="78"/>
      <c r="F74" s="76"/>
      <c r="G74" s="793"/>
      <c r="H74" s="793"/>
      <c r="I74" s="793"/>
      <c r="P74" s="1"/>
      <c r="Q74" s="1"/>
      <c r="R74" s="1"/>
      <c r="S74" s="1"/>
      <c r="T74" s="1"/>
      <c r="U74" s="1"/>
    </row>
    <row r="75" spans="1:21" s="4" customFormat="1" ht="15.6" customHeight="1" x14ac:dyDescent="0.25">
      <c r="A75" s="77"/>
      <c r="B75" s="77"/>
      <c r="C75" s="79"/>
      <c r="D75" s="79"/>
      <c r="E75" s="79"/>
      <c r="F75" s="76"/>
      <c r="G75" s="793"/>
      <c r="H75" s="793"/>
      <c r="I75" s="793"/>
      <c r="P75" s="1"/>
      <c r="Q75" s="1"/>
      <c r="R75" s="1"/>
      <c r="S75" s="1"/>
      <c r="T75" s="1"/>
      <c r="U75" s="1"/>
    </row>
    <row r="76" spans="1:21" s="4" customFormat="1" ht="15.6" customHeight="1" x14ac:dyDescent="0.25">
      <c r="A76" s="77"/>
      <c r="B76" s="77"/>
      <c r="C76" s="79"/>
      <c r="D76" s="79"/>
      <c r="E76" s="79"/>
      <c r="F76" s="76"/>
      <c r="G76" s="793"/>
      <c r="H76" s="793"/>
      <c r="I76" s="793"/>
      <c r="P76" s="1"/>
      <c r="Q76" s="1"/>
      <c r="R76" s="1"/>
      <c r="S76" s="1"/>
      <c r="T76" s="1"/>
      <c r="U76" s="1"/>
    </row>
    <row r="77" spans="1:21" s="4" customFormat="1" x14ac:dyDescent="0.25">
      <c r="A77" s="77"/>
      <c r="B77" s="77"/>
      <c r="C77" s="79"/>
      <c r="D77" s="79"/>
      <c r="E77" s="79"/>
      <c r="F77" s="76"/>
      <c r="G77" s="792"/>
      <c r="H77" s="792"/>
      <c r="I77" s="136"/>
      <c r="P77" s="1"/>
      <c r="Q77" s="1"/>
      <c r="R77" s="1"/>
      <c r="S77" s="1"/>
      <c r="T77" s="1"/>
      <c r="U77" s="1"/>
    </row>
    <row r="78" spans="1:21" s="4" customFormat="1" x14ac:dyDescent="0.25">
      <c r="A78" s="77"/>
      <c r="B78" s="77"/>
      <c r="C78" s="79"/>
      <c r="D78" s="79"/>
      <c r="E78" s="79"/>
      <c r="F78" s="76"/>
      <c r="G78" s="136"/>
      <c r="H78" s="136"/>
      <c r="I78" s="136"/>
      <c r="P78" s="1"/>
      <c r="Q78" s="1"/>
      <c r="R78" s="1"/>
      <c r="S78" s="1"/>
      <c r="T78" s="1"/>
      <c r="U78" s="1"/>
    </row>
    <row r="79" spans="1:21" s="4" customFormat="1" x14ac:dyDescent="0.25">
      <c r="A79" s="77"/>
      <c r="B79" s="77"/>
      <c r="C79" s="79"/>
      <c r="D79" s="79"/>
      <c r="E79" s="79"/>
      <c r="F79" s="76"/>
      <c r="G79" s="137"/>
      <c r="H79" s="137"/>
      <c r="I79" s="135"/>
      <c r="P79" s="1"/>
      <c r="Q79" s="1"/>
      <c r="R79" s="1"/>
      <c r="S79" s="1"/>
      <c r="T79" s="1"/>
      <c r="U79" s="1"/>
    </row>
    <row r="80" spans="1:21" s="4" customFormat="1" ht="15.6" customHeight="1" x14ac:dyDescent="0.25">
      <c r="A80" s="77"/>
      <c r="B80" s="77"/>
      <c r="C80" s="79"/>
      <c r="D80" s="79"/>
      <c r="E80" s="79"/>
      <c r="F80" s="76"/>
      <c r="G80" s="793"/>
      <c r="H80" s="793"/>
      <c r="I80" s="793"/>
      <c r="P80" s="1"/>
      <c r="Q80" s="1"/>
      <c r="R80" s="1"/>
      <c r="S80" s="1"/>
      <c r="T80" s="1"/>
      <c r="U80" s="1"/>
    </row>
    <row r="81" spans="1:21" s="4" customFormat="1" ht="15.6" customHeight="1" x14ac:dyDescent="0.25">
      <c r="A81" s="77"/>
      <c r="B81" s="77"/>
      <c r="C81" s="77"/>
      <c r="D81" s="77"/>
      <c r="E81" s="77"/>
      <c r="F81" s="76"/>
      <c r="G81" s="793"/>
      <c r="H81" s="793"/>
      <c r="I81" s="793"/>
      <c r="P81" s="1"/>
      <c r="Q81" s="1"/>
      <c r="R81" s="1"/>
      <c r="S81" s="1"/>
      <c r="T81" s="1"/>
      <c r="U81" s="1"/>
    </row>
    <row r="82" spans="1:21" s="4" customFormat="1" x14ac:dyDescent="0.25">
      <c r="A82" s="80"/>
      <c r="B82" s="80"/>
      <c r="C82" s="80"/>
      <c r="D82" s="80"/>
      <c r="E82" s="80"/>
      <c r="F82" s="81"/>
      <c r="G82" s="81"/>
      <c r="H82" s="81"/>
      <c r="P82" s="1"/>
      <c r="Q82" s="1"/>
      <c r="R82" s="1"/>
      <c r="S82" s="1"/>
      <c r="T82" s="1"/>
      <c r="U82" s="1"/>
    </row>
  </sheetData>
  <sheetProtection selectLockedCells="1" selectUnlockedCells="1"/>
  <mergeCells count="23">
    <mergeCell ref="C69:F69"/>
    <mergeCell ref="A1:H1"/>
    <mergeCell ref="A3:H3"/>
    <mergeCell ref="A4:H4"/>
    <mergeCell ref="A7:A8"/>
    <mergeCell ref="C7:C8"/>
    <mergeCell ref="E7:E8"/>
    <mergeCell ref="F7:F8"/>
    <mergeCell ref="G7:H7"/>
    <mergeCell ref="C10:F10"/>
    <mergeCell ref="E11:F11"/>
    <mergeCell ref="E31:F31"/>
    <mergeCell ref="E37:F37"/>
    <mergeCell ref="E45:F45"/>
    <mergeCell ref="G77:H77"/>
    <mergeCell ref="G80:I80"/>
    <mergeCell ref="G81:I81"/>
    <mergeCell ref="C70:F70"/>
    <mergeCell ref="A71:F71"/>
    <mergeCell ref="G73:I73"/>
    <mergeCell ref="G74:I74"/>
    <mergeCell ref="G75:I75"/>
    <mergeCell ref="G76:I76"/>
  </mergeCells>
  <printOptions horizontalCentered="1"/>
  <pageMargins left="0.70866141732283472" right="0.70866141732283472" top="0.55118110236220474" bottom="0.35433070866141736" header="0.31496062992125984" footer="0.31496062992125984"/>
  <pageSetup paperSize="122" scale="65" fitToWidth="2" fitToHeight="2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/>
  <dimension ref="A1:M23"/>
  <sheetViews>
    <sheetView workbookViewId="0">
      <selection activeCell="M24" sqref="M24"/>
    </sheetView>
  </sheetViews>
  <sheetFormatPr defaultRowHeight="15" x14ac:dyDescent="0.2"/>
  <cols>
    <col min="13" max="13" width="19.109375" customWidth="1"/>
  </cols>
  <sheetData>
    <row r="1" spans="1:13" x14ac:dyDescent="0.2">
      <c r="A1" s="20" t="s">
        <v>21</v>
      </c>
      <c r="B1" s="20" t="s">
        <v>22</v>
      </c>
    </row>
    <row r="2" spans="1:13" x14ac:dyDescent="0.2">
      <c r="A2" s="20" t="s">
        <v>23</v>
      </c>
      <c r="B2" s="20" t="s">
        <v>48</v>
      </c>
      <c r="M2" s="143">
        <v>22000</v>
      </c>
    </row>
    <row r="3" spans="1:13" x14ac:dyDescent="0.2">
      <c r="A3" s="20" t="s">
        <v>24</v>
      </c>
      <c r="B3" s="20" t="s">
        <v>26</v>
      </c>
      <c r="M3" s="143">
        <v>21966500</v>
      </c>
    </row>
    <row r="4" spans="1:13" x14ac:dyDescent="0.2">
      <c r="A4" s="20" t="s">
        <v>25</v>
      </c>
      <c r="B4" s="20" t="s">
        <v>40</v>
      </c>
      <c r="M4" s="143">
        <v>141628500</v>
      </c>
    </row>
    <row r="5" spans="1:13" x14ac:dyDescent="0.2">
      <c r="A5" s="20" t="s">
        <v>27</v>
      </c>
      <c r="B5" s="20" t="s">
        <v>28</v>
      </c>
      <c r="M5" s="143">
        <v>42846000</v>
      </c>
    </row>
    <row r="6" spans="1:13" x14ac:dyDescent="0.2">
      <c r="A6" s="20" t="s">
        <v>29</v>
      </c>
      <c r="B6" s="20" t="s">
        <v>30</v>
      </c>
      <c r="M6" s="143">
        <v>98784375</v>
      </c>
    </row>
    <row r="7" spans="1:13" x14ac:dyDescent="0.2">
      <c r="A7" s="20" t="s">
        <v>31</v>
      </c>
      <c r="B7" s="20" t="s">
        <v>32</v>
      </c>
      <c r="M7" s="143">
        <v>6700000</v>
      </c>
    </row>
    <row r="8" spans="1:13" x14ac:dyDescent="0.2">
      <c r="A8" s="20" t="s">
        <v>33</v>
      </c>
      <c r="B8" s="20" t="s">
        <v>34</v>
      </c>
      <c r="M8" s="143">
        <v>33876000</v>
      </c>
    </row>
    <row r="9" spans="1:13" x14ac:dyDescent="0.2">
      <c r="A9" s="20" t="s">
        <v>35</v>
      </c>
      <c r="B9" s="20" t="s">
        <v>36</v>
      </c>
      <c r="M9" s="143">
        <v>20419000</v>
      </c>
    </row>
    <row r="10" spans="1:13" x14ac:dyDescent="0.2">
      <c r="A10" s="20" t="s">
        <v>37</v>
      </c>
      <c r="B10" s="20" t="s">
        <v>39</v>
      </c>
      <c r="M10" s="143">
        <v>29650000</v>
      </c>
    </row>
    <row r="11" spans="1:13" x14ac:dyDescent="0.2">
      <c r="A11" s="20" t="s">
        <v>38</v>
      </c>
      <c r="B11" s="20" t="s">
        <v>49</v>
      </c>
      <c r="M11" s="143">
        <v>3250000</v>
      </c>
    </row>
    <row r="12" spans="1:13" x14ac:dyDescent="0.2">
      <c r="A12" s="20" t="s">
        <v>41</v>
      </c>
      <c r="B12" s="20" t="s">
        <v>43</v>
      </c>
      <c r="M12" s="143">
        <v>2500000</v>
      </c>
    </row>
    <row r="13" spans="1:13" x14ac:dyDescent="0.2">
      <c r="A13" s="20" t="s">
        <v>42</v>
      </c>
      <c r="B13" s="20" t="s">
        <v>44</v>
      </c>
      <c r="M13" s="143">
        <v>3750000</v>
      </c>
    </row>
    <row r="14" spans="1:13" x14ac:dyDescent="0.2">
      <c r="A14" s="20" t="s">
        <v>45</v>
      </c>
      <c r="B14" s="20" t="s">
        <v>46</v>
      </c>
      <c r="M14" s="143">
        <v>475000</v>
      </c>
    </row>
    <row r="15" spans="1:13" x14ac:dyDescent="0.2">
      <c r="A15" s="20" t="s">
        <v>47</v>
      </c>
      <c r="B15" s="20" t="s">
        <v>52</v>
      </c>
      <c r="M15" s="143">
        <v>170000</v>
      </c>
    </row>
    <row r="16" spans="1:13" x14ac:dyDescent="0.2">
      <c r="M16" s="143">
        <v>4005000</v>
      </c>
    </row>
    <row r="17" spans="13:13" x14ac:dyDescent="0.2">
      <c r="M17" s="143">
        <v>8370500</v>
      </c>
    </row>
    <row r="18" spans="13:13" x14ac:dyDescent="0.2">
      <c r="M18" s="143">
        <v>5022000</v>
      </c>
    </row>
    <row r="19" spans="13:13" x14ac:dyDescent="0.2">
      <c r="M19" s="143">
        <v>2292000</v>
      </c>
    </row>
    <row r="20" spans="13:13" x14ac:dyDescent="0.2">
      <c r="M20" s="143"/>
    </row>
    <row r="21" spans="13:13" x14ac:dyDescent="0.2">
      <c r="M21" s="144">
        <f>SUM(M2:M20)</f>
        <v>425726875</v>
      </c>
    </row>
    <row r="22" spans="13:13" x14ac:dyDescent="0.2">
      <c r="M22" s="144">
        <v>2512013540</v>
      </c>
    </row>
    <row r="23" spans="13:13" x14ac:dyDescent="0.2">
      <c r="M23" s="144">
        <f>SUM(M21:M22)</f>
        <v>2937740415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CE63-536D-4EF9-9306-2E46FC9B0405}">
  <dimension ref="A1"/>
  <sheetViews>
    <sheetView workbookViewId="0">
      <selection activeCell="E27" sqref="E27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37</vt:i4>
      </vt:variant>
    </vt:vector>
  </HeadingPairs>
  <TitlesOfParts>
    <vt:vector size="58" baseType="lpstr">
      <vt:lpstr>Januari 26</vt:lpstr>
      <vt:lpstr>Februari 26</vt:lpstr>
      <vt:lpstr>mARET 26</vt:lpstr>
      <vt:lpstr>April 26</vt:lpstr>
      <vt:lpstr>Mei 26</vt:lpstr>
      <vt:lpstr>Juni 26</vt:lpstr>
      <vt:lpstr>Juli 26</vt:lpstr>
      <vt:lpstr>Agustus 26</vt:lpstr>
      <vt:lpstr>September 26</vt:lpstr>
      <vt:lpstr>September 26 (2)</vt:lpstr>
      <vt:lpstr>Agustus 26 (2)</vt:lpstr>
      <vt:lpstr>Juli 26 (2)</vt:lpstr>
      <vt:lpstr>Juni 26 (2)</vt:lpstr>
      <vt:lpstr>Mei 26 (2)</vt:lpstr>
      <vt:lpstr>April 26 (2)</vt:lpstr>
      <vt:lpstr>mARET 26 (2)</vt:lpstr>
      <vt:lpstr>Februari 26 (2)</vt:lpstr>
      <vt:lpstr>Januari 26 (2)</vt:lpstr>
      <vt:lpstr>RETRIBUSI</vt:lpstr>
      <vt:lpstr>Sheet1</vt:lpstr>
      <vt:lpstr>Sheet2</vt:lpstr>
      <vt:lpstr>'Agustus 26'!Print_Area</vt:lpstr>
      <vt:lpstr>'Agustus 26 (2)'!Print_Area</vt:lpstr>
      <vt:lpstr>'April 26'!Print_Area</vt:lpstr>
      <vt:lpstr>'April 26 (2)'!Print_Area</vt:lpstr>
      <vt:lpstr>'Februari 26'!Print_Area</vt:lpstr>
      <vt:lpstr>'Februari 26 (2)'!Print_Area</vt:lpstr>
      <vt:lpstr>'Januari 26'!Print_Area</vt:lpstr>
      <vt:lpstr>'Januari 26 (2)'!Print_Area</vt:lpstr>
      <vt:lpstr>'Juli 26'!Print_Area</vt:lpstr>
      <vt:lpstr>'Juli 26 (2)'!Print_Area</vt:lpstr>
      <vt:lpstr>'Juni 26'!Print_Area</vt:lpstr>
      <vt:lpstr>'Juni 26 (2)'!Print_Area</vt:lpstr>
      <vt:lpstr>'mARET 26'!Print_Area</vt:lpstr>
      <vt:lpstr>'mARET 26 (2)'!Print_Area</vt:lpstr>
      <vt:lpstr>'Mei 26 (2)'!Print_Area</vt:lpstr>
      <vt:lpstr>RETRIBUSI!Print_Area</vt:lpstr>
      <vt:lpstr>'September 26'!Print_Area</vt:lpstr>
      <vt:lpstr>'September 26 (2)'!Print_Area</vt:lpstr>
      <vt:lpstr>'Agustus 26'!Print_Titles</vt:lpstr>
      <vt:lpstr>'Agustus 26 (2)'!Print_Titles</vt:lpstr>
      <vt:lpstr>'April 26'!Print_Titles</vt:lpstr>
      <vt:lpstr>'April 26 (2)'!Print_Titles</vt:lpstr>
      <vt:lpstr>'Februari 26'!Print_Titles</vt:lpstr>
      <vt:lpstr>'Februari 26 (2)'!Print_Titles</vt:lpstr>
      <vt:lpstr>'Januari 26'!Print_Titles</vt:lpstr>
      <vt:lpstr>'Januari 26 (2)'!Print_Titles</vt:lpstr>
      <vt:lpstr>'Juli 26'!Print_Titles</vt:lpstr>
      <vt:lpstr>'Juli 26 (2)'!Print_Titles</vt:lpstr>
      <vt:lpstr>'Juni 26'!Print_Titles</vt:lpstr>
      <vt:lpstr>'Juni 26 (2)'!Print_Titles</vt:lpstr>
      <vt:lpstr>'mARET 26'!Print_Titles</vt:lpstr>
      <vt:lpstr>'mARET 26 (2)'!Print_Titles</vt:lpstr>
      <vt:lpstr>'Mei 26'!Print_Titles</vt:lpstr>
      <vt:lpstr>'Mei 26 (2)'!Print_Titles</vt:lpstr>
      <vt:lpstr>RETRIBUSI!Print_Titles</vt:lpstr>
      <vt:lpstr>'September 26'!Print_Titles</vt:lpstr>
      <vt:lpstr>'September 26 (2)'!Print_Titles</vt:lpstr>
    </vt:vector>
  </TitlesOfParts>
  <Company>- ETH0 -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 x</dc:creator>
  <cp:lastModifiedBy>USER</cp:lastModifiedBy>
  <cp:lastPrinted>2026-10-01T12:07:52Z</cp:lastPrinted>
  <dcterms:created xsi:type="dcterms:W3CDTF">2009-12-01T02:46:02Z</dcterms:created>
  <dcterms:modified xsi:type="dcterms:W3CDTF">2026-10-01T12:10:36Z</dcterms:modified>
</cp:coreProperties>
</file>